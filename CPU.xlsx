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33D6DA6F-1237-4370-B25D-71E26ED2D3C4}" xr6:coauthVersionLast="47" xr6:coauthVersionMax="47" xr10:uidLastSave="{00000000-0000-0000-0000-000000000000}"/>
  <bookViews>
    <workbookView xWindow="-120" yWindow="-120" windowWidth="29040" windowHeight="15720" xr2:uid="{F7265DFD-A4ED-4024-BA02-7B31292EBA95}"/>
  </bookViews>
  <sheets>
    <sheet name="CPU" sheetId="29" r:id="rId1"/>
    <sheet name="Contoller" sheetId="39" r:id="rId2"/>
    <sheet name="ROM" sheetId="35" r:id="rId3"/>
    <sheet name="Instruction Set" sheetId="40" r:id="rId4"/>
  </sheets>
  <definedNames>
    <definedName name="A999999999">'Instruction Set'!$AAK$2</definedName>
    <definedName name="CurFolder">CPU!$A$1</definedName>
    <definedName name="ExternalData_1" localSheetId="2" hidden="1">'ROM'!$A$1:$IV$257</definedName>
    <definedName name="XFD1048590">'Instruction Set'!#REF!</definedName>
    <definedName name="XFD1048600">'Instruction Set'!#REF!</definedName>
    <definedName name="XFD1048700">'Instruction Set'!#REF!</definedName>
    <definedName name="XFD1049000">'Instruction Set'!#REF!</definedName>
    <definedName name="XFD1050000">'Instruction Set'!#REF!</definedName>
    <definedName name="XFD1100000">'Instruction Set'!#REF!</definedName>
    <definedName name="XFD1999999">'Instruction Set'!#REF!</definedName>
    <definedName name="XFD9999999">'Instruction Set'!#REF!</definedName>
    <definedName name="XFE1">'Instruction Set'!$XAJ$2</definedName>
    <definedName name="XFF1">'Instruction Set'!$XAJ$2</definedName>
    <definedName name="XFG1">'Instruction Set'!#REF!</definedName>
    <definedName name="XGG1">'Instruction Set'!$XAJ$2</definedName>
    <definedName name="XZZ1">'Instruction Set'!$QAJ$2</definedName>
    <definedName name="ZZZ1">'Instruction Set'!$A$100027</definedName>
    <definedName name="ZZZZ1">'Instruction Set'!$A$100027</definedName>
    <definedName name="ZZZZZ">'Instruction Set'!$A$100027</definedName>
    <definedName name="ZZZZZ1">'Instruction Set'!$A$100027</definedName>
  </definedNames>
  <calcPr calcId="191029" calcMode="manual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9" l="1" a="1"/>
  <c r="A1" i="29" s="1"/>
  <c r="S162" i="29"/>
  <c r="H19" i="39"/>
  <c r="J162" i="29" s="1"/>
  <c r="G19" i="39"/>
  <c r="I162" i="29" s="1"/>
  <c r="F19" i="39"/>
  <c r="H162" i="29" s="1"/>
  <c r="E19" i="39"/>
  <c r="G162" i="29" s="1"/>
  <c r="N162" i="29"/>
  <c r="O162" i="29"/>
  <c r="P162" i="29"/>
  <c r="Q162" i="29"/>
  <c r="R162" i="29"/>
  <c r="T162" i="29"/>
  <c r="M162" i="29"/>
  <c r="D19" i="29"/>
  <c r="H19" i="29" s="1"/>
  <c r="D7" i="29"/>
  <c r="L10" i="29" s="1"/>
  <c r="AG225" i="29"/>
  <c r="AH230" i="29" s="1"/>
  <c r="O111" i="29"/>
  <c r="H119" i="29" s="1"/>
  <c r="L123" i="29" s="1"/>
  <c r="T131" i="29" s="1"/>
  <c r="D152" i="29"/>
  <c r="M37" i="29"/>
  <c r="D226" i="29"/>
  <c r="F290" i="29"/>
  <c r="M303" i="29" s="1"/>
  <c r="F254" i="29"/>
  <c r="B4" i="39"/>
  <c r="L2" i="29"/>
  <c r="B152" i="29" s="1"/>
  <c r="B10" i="29"/>
  <c r="I13" i="29" s="1"/>
  <c r="H10" i="29"/>
  <c r="F19" i="29"/>
  <c r="G19" i="29"/>
  <c r="J19" i="29"/>
  <c r="K19" i="29"/>
  <c r="M19" i="29"/>
  <c r="S37" i="29"/>
  <c r="J89" i="29" s="1"/>
  <c r="U37" i="29"/>
  <c r="X37" i="29"/>
  <c r="O89" i="29" s="1"/>
  <c r="AA37" i="29"/>
  <c r="AC37" i="29"/>
  <c r="T89" i="29" s="1"/>
  <c r="R89" i="29"/>
  <c r="G119" i="29"/>
  <c r="K123" i="29" s="1"/>
  <c r="S131" i="29" s="1"/>
  <c r="I119" i="29"/>
  <c r="M123" i="29" s="1"/>
  <c r="U131" i="29" s="1"/>
  <c r="K119" i="29"/>
  <c r="O123" i="29" s="1"/>
  <c r="W131" i="29" s="1"/>
  <c r="M119" i="29"/>
  <c r="N119" i="29"/>
  <c r="N118" i="29" s="1"/>
  <c r="Q123" i="29"/>
  <c r="Y131" i="29" s="1"/>
  <c r="R123" i="29"/>
  <c r="Z131" i="29"/>
  <c r="C155" i="29"/>
  <c r="D155" i="29"/>
  <c r="E155" i="29"/>
  <c r="F155" i="29"/>
  <c r="G155" i="29"/>
  <c r="H155" i="29"/>
  <c r="I155" i="29"/>
  <c r="J155" i="29"/>
  <c r="M155" i="29"/>
  <c r="N155" i="29"/>
  <c r="O155" i="29"/>
  <c r="P155" i="29"/>
  <c r="Q155" i="29"/>
  <c r="R155" i="29"/>
  <c r="S155" i="29"/>
  <c r="T155" i="29"/>
  <c r="C156" i="29"/>
  <c r="D156" i="29"/>
  <c r="E156" i="29"/>
  <c r="F156" i="29"/>
  <c r="G156" i="29"/>
  <c r="H156" i="29"/>
  <c r="I156" i="29"/>
  <c r="J156" i="29"/>
  <c r="M156" i="29"/>
  <c r="N156" i="29"/>
  <c r="O156" i="29"/>
  <c r="P156" i="29"/>
  <c r="Q156" i="29"/>
  <c r="R156" i="29"/>
  <c r="S156" i="29"/>
  <c r="T156" i="29"/>
  <c r="C157" i="29"/>
  <c r="D157" i="29"/>
  <c r="E157" i="29"/>
  <c r="F157" i="29"/>
  <c r="G157" i="29"/>
  <c r="H157" i="29"/>
  <c r="I157" i="29"/>
  <c r="J157" i="29"/>
  <c r="M157" i="29"/>
  <c r="N157" i="29"/>
  <c r="O157" i="29"/>
  <c r="P157" i="29"/>
  <c r="Q157" i="29"/>
  <c r="R157" i="29"/>
  <c r="S157" i="29"/>
  <c r="T157" i="29"/>
  <c r="C158" i="29"/>
  <c r="D158" i="29"/>
  <c r="E158" i="29"/>
  <c r="F158" i="29"/>
  <c r="G158" i="29"/>
  <c r="H158" i="29"/>
  <c r="I158" i="29"/>
  <c r="J158" i="29"/>
  <c r="M158" i="29"/>
  <c r="N158" i="29"/>
  <c r="O158" i="29"/>
  <c r="P158" i="29"/>
  <c r="Q158" i="29"/>
  <c r="R158" i="29"/>
  <c r="S158" i="29"/>
  <c r="T158" i="29"/>
  <c r="C159" i="29"/>
  <c r="D159" i="29"/>
  <c r="E159" i="29"/>
  <c r="F159" i="29"/>
  <c r="G159" i="29"/>
  <c r="H159" i="29"/>
  <c r="I159" i="29"/>
  <c r="J159" i="29"/>
  <c r="M159" i="29"/>
  <c r="N159" i="29"/>
  <c r="O159" i="29"/>
  <c r="P159" i="29"/>
  <c r="Q159" i="29"/>
  <c r="R159" i="29"/>
  <c r="S159" i="29"/>
  <c r="T159" i="29"/>
  <c r="C160" i="29"/>
  <c r="D160" i="29"/>
  <c r="E160" i="29"/>
  <c r="F160" i="29"/>
  <c r="G160" i="29"/>
  <c r="H160" i="29"/>
  <c r="I160" i="29"/>
  <c r="J160" i="29"/>
  <c r="M160" i="29"/>
  <c r="N160" i="29"/>
  <c r="O160" i="29"/>
  <c r="P160" i="29"/>
  <c r="Q160" i="29"/>
  <c r="R160" i="29"/>
  <c r="S160" i="29"/>
  <c r="T160" i="29"/>
  <c r="C161" i="29"/>
  <c r="D161" i="29"/>
  <c r="E161" i="29"/>
  <c r="F161" i="29"/>
  <c r="G161" i="29"/>
  <c r="H161" i="29"/>
  <c r="I161" i="29"/>
  <c r="J161" i="29"/>
  <c r="M161" i="29"/>
  <c r="N161" i="29"/>
  <c r="O161" i="29"/>
  <c r="P161" i="29"/>
  <c r="Q161" i="29"/>
  <c r="R161" i="29"/>
  <c r="S161" i="29"/>
  <c r="T161" i="29"/>
  <c r="C229" i="29"/>
  <c r="D229" i="29"/>
  <c r="E229" i="29"/>
  <c r="F229" i="29"/>
  <c r="G229" i="29"/>
  <c r="H229" i="29"/>
  <c r="I229" i="29"/>
  <c r="J229" i="29"/>
  <c r="M229" i="29"/>
  <c r="N229" i="29"/>
  <c r="O229" i="29"/>
  <c r="P229" i="29"/>
  <c r="Q229" i="29"/>
  <c r="R229" i="29"/>
  <c r="S229" i="29"/>
  <c r="T229" i="29"/>
  <c r="C230" i="29"/>
  <c r="D230" i="29"/>
  <c r="E230" i="29"/>
  <c r="F230" i="29"/>
  <c r="G230" i="29"/>
  <c r="H230" i="29"/>
  <c r="I230" i="29"/>
  <c r="J230" i="29"/>
  <c r="M230" i="29"/>
  <c r="N230" i="29"/>
  <c r="O230" i="29"/>
  <c r="P230" i="29"/>
  <c r="Q230" i="29"/>
  <c r="R230" i="29"/>
  <c r="S230" i="29"/>
  <c r="T230" i="29"/>
  <c r="C231" i="29"/>
  <c r="D231" i="29"/>
  <c r="E231" i="29"/>
  <c r="F231" i="29"/>
  <c r="G231" i="29"/>
  <c r="H231" i="29"/>
  <c r="I231" i="29"/>
  <c r="J231" i="29"/>
  <c r="M231" i="29"/>
  <c r="N231" i="29"/>
  <c r="O231" i="29"/>
  <c r="P231" i="29"/>
  <c r="Q231" i="29"/>
  <c r="R231" i="29"/>
  <c r="S231" i="29"/>
  <c r="T231" i="29"/>
  <c r="C232" i="29"/>
  <c r="D232" i="29"/>
  <c r="E232" i="29"/>
  <c r="F232" i="29"/>
  <c r="G232" i="29"/>
  <c r="H232" i="29"/>
  <c r="I232" i="29"/>
  <c r="J232" i="29"/>
  <c r="M232" i="29"/>
  <c r="N232" i="29"/>
  <c r="O232" i="29"/>
  <c r="P232" i="29"/>
  <c r="Q232" i="29"/>
  <c r="R232" i="29"/>
  <c r="S232" i="29"/>
  <c r="T232" i="29"/>
  <c r="C233" i="29"/>
  <c r="D233" i="29"/>
  <c r="E233" i="29"/>
  <c r="F233" i="29"/>
  <c r="G233" i="29"/>
  <c r="H233" i="29"/>
  <c r="I233" i="29"/>
  <c r="J233" i="29"/>
  <c r="M233" i="29"/>
  <c r="N233" i="29"/>
  <c r="O233" i="29"/>
  <c r="P233" i="29"/>
  <c r="Q233" i="29"/>
  <c r="R233" i="29"/>
  <c r="S233" i="29"/>
  <c r="T233" i="29"/>
  <c r="C234" i="29"/>
  <c r="D234" i="29"/>
  <c r="E234" i="29"/>
  <c r="F234" i="29"/>
  <c r="G234" i="29"/>
  <c r="H234" i="29"/>
  <c r="I234" i="29"/>
  <c r="J234" i="29"/>
  <c r="M234" i="29"/>
  <c r="N234" i="29"/>
  <c r="O234" i="29"/>
  <c r="P234" i="29"/>
  <c r="Q234" i="29"/>
  <c r="R234" i="29"/>
  <c r="S234" i="29"/>
  <c r="T234" i="29"/>
  <c r="C235" i="29"/>
  <c r="D235" i="29"/>
  <c r="E235" i="29"/>
  <c r="F235" i="29"/>
  <c r="G235" i="29"/>
  <c r="H235" i="29"/>
  <c r="I235" i="29"/>
  <c r="J235" i="29"/>
  <c r="M235" i="29"/>
  <c r="N235" i="29"/>
  <c r="O235" i="29"/>
  <c r="P235" i="29"/>
  <c r="Q235" i="29"/>
  <c r="R235" i="29"/>
  <c r="S235" i="29"/>
  <c r="T235" i="29"/>
  <c r="C236" i="29"/>
  <c r="D236" i="29"/>
  <c r="E236" i="29"/>
  <c r="F236" i="29"/>
  <c r="G236" i="29"/>
  <c r="H236" i="29"/>
  <c r="I236" i="29"/>
  <c r="J236" i="29"/>
  <c r="M236" i="29"/>
  <c r="N236" i="29"/>
  <c r="O236" i="29"/>
  <c r="P236" i="29"/>
  <c r="Q236" i="29"/>
  <c r="R236" i="29"/>
  <c r="S236" i="29"/>
  <c r="T236" i="29"/>
  <c r="M261" i="29"/>
  <c r="E28" i="29" s="1"/>
  <c r="N261" i="29"/>
  <c r="F28" i="29" s="1"/>
  <c r="O261" i="29"/>
  <c r="P261" i="29"/>
  <c r="H28" i="29" s="1"/>
  <c r="Q261" i="29"/>
  <c r="R261" i="29"/>
  <c r="J28" i="29" s="1"/>
  <c r="S261" i="29"/>
  <c r="K28" i="29" s="1"/>
  <c r="T261" i="29"/>
  <c r="L28" i="29" s="1"/>
  <c r="U261" i="29"/>
  <c r="M28" i="29" s="1"/>
  <c r="V261" i="29"/>
  <c r="N28" i="29" s="1"/>
  <c r="W261" i="29"/>
  <c r="X261" i="29"/>
  <c r="P28" i="29" s="1"/>
  <c r="E265" i="29"/>
  <c r="G303" i="29"/>
  <c r="J303" i="29"/>
  <c r="O303" i="29"/>
  <c r="AC303" i="29"/>
  <c r="AE303" i="29"/>
  <c r="AK303" i="29"/>
  <c r="AX303" i="29"/>
  <c r="BA303" i="29"/>
  <c r="BF303" i="29"/>
  <c r="BS303" i="29"/>
  <c r="BV303" i="29"/>
  <c r="CA303" i="29"/>
  <c r="CO303" i="29"/>
  <c r="CQ303" i="29"/>
  <c r="CW303" i="29"/>
  <c r="DJ303" i="29"/>
  <c r="DM303" i="29"/>
  <c r="DR303" i="29"/>
  <c r="EE303" i="29"/>
  <c r="EH303" i="29"/>
  <c r="EM303" i="29"/>
  <c r="FA303" i="29"/>
  <c r="FC303" i="29"/>
  <c r="FI303" i="29"/>
  <c r="FV303" i="29"/>
  <c r="FY303" i="29"/>
  <c r="GD303" i="29"/>
  <c r="GQ303" i="29"/>
  <c r="GT303" i="29"/>
  <c r="GY303" i="29"/>
  <c r="HM303" i="29"/>
  <c r="HO303" i="29"/>
  <c r="HU303" i="29"/>
  <c r="IH303" i="29"/>
  <c r="IK303" i="29"/>
  <c r="IP303" i="29"/>
  <c r="JC303" i="29"/>
  <c r="JF303" i="29"/>
  <c r="JK303" i="29"/>
  <c r="JY303" i="29"/>
  <c r="KA303" i="29"/>
  <c r="KG303" i="29"/>
  <c r="KS303" i="29"/>
  <c r="KT303" i="29"/>
  <c r="KY303" i="29"/>
  <c r="LI303" i="29"/>
  <c r="LJ303" i="29"/>
  <c r="LO303" i="29"/>
  <c r="LY303" i="29"/>
  <c r="LZ303" i="29"/>
  <c r="ME303" i="29"/>
  <c r="MO303" i="29"/>
  <c r="MP303" i="29"/>
  <c r="MU303" i="29"/>
  <c r="NE303" i="29"/>
  <c r="NF303" i="29"/>
  <c r="NK303" i="29"/>
  <c r="NU303" i="29"/>
  <c r="NV303" i="29"/>
  <c r="OA303" i="29"/>
  <c r="OK303" i="29"/>
  <c r="OL303" i="29"/>
  <c r="OQ303" i="29"/>
  <c r="PA303" i="29"/>
  <c r="PB303" i="29"/>
  <c r="PG303" i="29"/>
  <c r="PO303" i="29"/>
  <c r="PQ303" i="29"/>
  <c r="PT303" i="29"/>
  <c r="QB303" i="29"/>
  <c r="QC303" i="29"/>
  <c r="QG303" i="29"/>
  <c r="QO303" i="29"/>
  <c r="QP303" i="29"/>
  <c r="QS303" i="29"/>
  <c r="RA303" i="29"/>
  <c r="RC303" i="29"/>
  <c r="RF303" i="29"/>
  <c r="RN303" i="29"/>
  <c r="RP303" i="29"/>
  <c r="RS303" i="29"/>
  <c r="SA303" i="29"/>
  <c r="SC303" i="29"/>
  <c r="SF303" i="29"/>
  <c r="SN303" i="29"/>
  <c r="SO303" i="29"/>
  <c r="SS303" i="29"/>
  <c r="I304" i="29"/>
  <c r="J304" i="29"/>
  <c r="M304" i="29"/>
  <c r="U304" i="29"/>
  <c r="W304" i="29"/>
  <c r="Z304" i="29"/>
  <c r="AH304" i="29"/>
  <c r="AJ304" i="29"/>
  <c r="AM304" i="29"/>
  <c r="AU304" i="29"/>
  <c r="AW304" i="29"/>
  <c r="AZ304" i="29"/>
  <c r="BE304" i="29"/>
  <c r="BF304" i="29"/>
  <c r="BI304" i="29"/>
  <c r="BN304" i="29"/>
  <c r="BO304" i="29"/>
  <c r="BQ304" i="29"/>
  <c r="BV304" i="29"/>
  <c r="BW304" i="29"/>
  <c r="BY304" i="29"/>
  <c r="CD304" i="29"/>
  <c r="CE304" i="29"/>
  <c r="CG304" i="29"/>
  <c r="CL304" i="29"/>
  <c r="CM304" i="29"/>
  <c r="CO304" i="29"/>
  <c r="CS304" i="29"/>
  <c r="CT304" i="29"/>
  <c r="CU304" i="29"/>
  <c r="CW304" i="29"/>
  <c r="DA304" i="29"/>
  <c r="DB304" i="29"/>
  <c r="DC304" i="29"/>
  <c r="DE304" i="29"/>
  <c r="DI304" i="29"/>
  <c r="DJ304" i="29"/>
  <c r="DK304" i="29"/>
  <c r="DM304" i="29"/>
  <c r="DQ304" i="29"/>
  <c r="DR304" i="29"/>
  <c r="DS304" i="29"/>
  <c r="DU304" i="29"/>
  <c r="DY304" i="29"/>
  <c r="DZ304" i="29"/>
  <c r="EA304" i="29"/>
  <c r="EC304" i="29"/>
  <c r="EG304" i="29"/>
  <c r="EH304" i="29"/>
  <c r="EI304" i="29"/>
  <c r="EK304" i="29"/>
  <c r="EO304" i="29"/>
  <c r="EP304" i="29"/>
  <c r="EQ304" i="29"/>
  <c r="ES304" i="29"/>
  <c r="EW304" i="29"/>
  <c r="EX304" i="29"/>
  <c r="EY304" i="29"/>
  <c r="FA304" i="29"/>
  <c r="FE304" i="29"/>
  <c r="FF304" i="29"/>
  <c r="FG304" i="29"/>
  <c r="FI304" i="29"/>
  <c r="FM304" i="29"/>
  <c r="FN304" i="29"/>
  <c r="FO304" i="29"/>
  <c r="FQ304" i="29"/>
  <c r="FU304" i="29"/>
  <c r="FV304" i="29"/>
  <c r="FW304" i="29"/>
  <c r="FY304" i="29"/>
  <c r="GC304" i="29"/>
  <c r="GD304" i="29"/>
  <c r="GE304" i="29"/>
  <c r="GG304" i="29"/>
  <c r="GK304" i="29"/>
  <c r="GL304" i="29"/>
  <c r="GM304" i="29"/>
  <c r="GO304" i="29"/>
  <c r="GS304" i="29"/>
  <c r="GT304" i="29"/>
  <c r="GU304" i="29"/>
  <c r="GW304" i="29"/>
  <c r="HA304" i="29"/>
  <c r="HB304" i="29"/>
  <c r="HC304" i="29"/>
  <c r="HE304" i="29"/>
  <c r="HI304" i="29"/>
  <c r="HJ304" i="29"/>
  <c r="HK304" i="29"/>
  <c r="HM304" i="29"/>
  <c r="HQ304" i="29"/>
  <c r="HR304" i="29"/>
  <c r="HS304" i="29"/>
  <c r="HU304" i="29"/>
  <c r="HY304" i="29"/>
  <c r="HZ304" i="29"/>
  <c r="IA304" i="29"/>
  <c r="IC304" i="29"/>
  <c r="IG304" i="29"/>
  <c r="IH304" i="29"/>
  <c r="II304" i="29"/>
  <c r="IK304" i="29"/>
  <c r="IO304" i="29"/>
  <c r="IP304" i="29"/>
  <c r="IQ304" i="29"/>
  <c r="IS304" i="29"/>
  <c r="IW304" i="29"/>
  <c r="IX304" i="29"/>
  <c r="IY304" i="29"/>
  <c r="JA304" i="29"/>
  <c r="JE304" i="29"/>
  <c r="JF304" i="29"/>
  <c r="JG304" i="29"/>
  <c r="JI304" i="29"/>
  <c r="JM304" i="29"/>
  <c r="JN304" i="29"/>
  <c r="JO304" i="29"/>
  <c r="JQ304" i="29"/>
  <c r="JU304" i="29"/>
  <c r="JV304" i="29"/>
  <c r="JW304" i="29"/>
  <c r="JY304" i="29"/>
  <c r="KC304" i="29"/>
  <c r="KD304" i="29"/>
  <c r="KE304" i="29"/>
  <c r="KG304" i="29"/>
  <c r="KK304" i="29"/>
  <c r="KL304" i="29"/>
  <c r="KM304" i="29"/>
  <c r="KO304" i="29"/>
  <c r="KS304" i="29"/>
  <c r="KT304" i="29"/>
  <c r="KU304" i="29"/>
  <c r="KW304" i="29"/>
  <c r="LA304" i="29"/>
  <c r="LB304" i="29"/>
  <c r="LC304" i="29"/>
  <c r="LE304" i="29"/>
  <c r="LI304" i="29"/>
  <c r="LJ304" i="29"/>
  <c r="LK304" i="29"/>
  <c r="LM304" i="29"/>
  <c r="LQ304" i="29"/>
  <c r="LR304" i="29"/>
  <c r="LS304" i="29"/>
  <c r="LU304" i="29"/>
  <c r="LY304" i="29"/>
  <c r="LZ304" i="29"/>
  <c r="MA304" i="29"/>
  <c r="MC304" i="29"/>
  <c r="MG304" i="29"/>
  <c r="MH304" i="29"/>
  <c r="MI304" i="29"/>
  <c r="MK304" i="29"/>
  <c r="MO304" i="29"/>
  <c r="MP304" i="29"/>
  <c r="MQ304" i="29"/>
  <c r="MS304" i="29"/>
  <c r="MW304" i="29"/>
  <c r="MX304" i="29"/>
  <c r="MY304" i="29"/>
  <c r="MZ304" i="29"/>
  <c r="NA304" i="29"/>
  <c r="NB304" i="29"/>
  <c r="NC304" i="29"/>
  <c r="ND304" i="29"/>
  <c r="NE304" i="29"/>
  <c r="NF304" i="29"/>
  <c r="NG304" i="29"/>
  <c r="NH304" i="29"/>
  <c r="NI304" i="29"/>
  <c r="NJ304" i="29"/>
  <c r="NK304" i="29"/>
  <c r="NL304" i="29"/>
  <c r="NM304" i="29"/>
  <c r="NN304" i="29"/>
  <c r="NO304" i="29"/>
  <c r="NP304" i="29"/>
  <c r="NQ304" i="29"/>
  <c r="NR304" i="29"/>
  <c r="NS304" i="29"/>
  <c r="NT304" i="29"/>
  <c r="NU304" i="29"/>
  <c r="NV304" i="29"/>
  <c r="NW304" i="29"/>
  <c r="NX304" i="29"/>
  <c r="NY304" i="29"/>
  <c r="NZ304" i="29"/>
  <c r="OA304" i="29"/>
  <c r="OB304" i="29"/>
  <c r="OC304" i="29"/>
  <c r="OD304" i="29"/>
  <c r="OE304" i="29"/>
  <c r="OF304" i="29"/>
  <c r="OG304" i="29"/>
  <c r="OH304" i="29"/>
  <c r="OI304" i="29"/>
  <c r="OJ304" i="29"/>
  <c r="OK304" i="29"/>
  <c r="OL304" i="29"/>
  <c r="OM304" i="29"/>
  <c r="ON304" i="29"/>
  <c r="OO304" i="29"/>
  <c r="OP304" i="29"/>
  <c r="OQ304" i="29"/>
  <c r="OR304" i="29"/>
  <c r="OS304" i="29"/>
  <c r="OT304" i="29"/>
  <c r="OU304" i="29"/>
  <c r="OV304" i="29"/>
  <c r="OW304" i="29"/>
  <c r="OX304" i="29"/>
  <c r="OY304" i="29"/>
  <c r="OZ304" i="29"/>
  <c r="PA304" i="29"/>
  <c r="PB304" i="29"/>
  <c r="PC304" i="29"/>
  <c r="PD304" i="29"/>
  <c r="PE304" i="29"/>
  <c r="PF304" i="29"/>
  <c r="PG304" i="29"/>
  <c r="PH304" i="29"/>
  <c r="PI304" i="29"/>
  <c r="PJ304" i="29"/>
  <c r="PK304" i="29"/>
  <c r="PL304" i="29"/>
  <c r="PM304" i="29"/>
  <c r="PN304" i="29"/>
  <c r="PO304" i="29"/>
  <c r="PP304" i="29"/>
  <c r="PQ304" i="29"/>
  <c r="PR304" i="29"/>
  <c r="PS304" i="29"/>
  <c r="PT304" i="29"/>
  <c r="PU304" i="29"/>
  <c r="PV304" i="29"/>
  <c r="PW304" i="29"/>
  <c r="PX304" i="29"/>
  <c r="PY304" i="29"/>
  <c r="PZ304" i="29"/>
  <c r="QA304" i="29"/>
  <c r="QB304" i="29"/>
  <c r="QC304" i="29"/>
  <c r="QD304" i="29"/>
  <c r="QE304" i="29"/>
  <c r="QF304" i="29"/>
  <c r="QG304" i="29"/>
  <c r="QH304" i="29"/>
  <c r="QI304" i="29"/>
  <c r="QJ304" i="29"/>
  <c r="QK304" i="29"/>
  <c r="QL304" i="29"/>
  <c r="QM304" i="29"/>
  <c r="QN304" i="29"/>
  <c r="QO304" i="29"/>
  <c r="QP304" i="29"/>
  <c r="QQ304" i="29"/>
  <c r="QR304" i="29"/>
  <c r="QS304" i="29"/>
  <c r="QT304" i="29"/>
  <c r="QU304" i="29"/>
  <c r="QV304" i="29"/>
  <c r="QW304" i="29"/>
  <c r="QX304" i="29"/>
  <c r="QY304" i="29"/>
  <c r="QZ304" i="29"/>
  <c r="RA304" i="29"/>
  <c r="RB304" i="29"/>
  <c r="RC304" i="29"/>
  <c r="RD304" i="29"/>
  <c r="RE304" i="29"/>
  <c r="RF304" i="29"/>
  <c r="RG304" i="29"/>
  <c r="RH304" i="29"/>
  <c r="RI304" i="29"/>
  <c r="RJ304" i="29"/>
  <c r="RK304" i="29"/>
  <c r="RL304" i="29"/>
  <c r="RM304" i="29"/>
  <c r="RN304" i="29"/>
  <c r="RO304" i="29"/>
  <c r="RP304" i="29"/>
  <c r="RQ304" i="29"/>
  <c r="RR304" i="29"/>
  <c r="RS304" i="29"/>
  <c r="RT304" i="29"/>
  <c r="RU304" i="29"/>
  <c r="RV304" i="29"/>
  <c r="RW304" i="29"/>
  <c r="RX304" i="29"/>
  <c r="RY304" i="29"/>
  <c r="RZ304" i="29"/>
  <c r="SA304" i="29"/>
  <c r="SB304" i="29"/>
  <c r="SC304" i="29"/>
  <c r="SD304" i="29"/>
  <c r="SE304" i="29"/>
  <c r="SF304" i="29"/>
  <c r="SG304" i="29"/>
  <c r="SH304" i="29"/>
  <c r="SI304" i="29"/>
  <c r="SJ304" i="29"/>
  <c r="SK304" i="29"/>
  <c r="SL304" i="29"/>
  <c r="SM304" i="29"/>
  <c r="SN304" i="29"/>
  <c r="SO304" i="29"/>
  <c r="SP304" i="29"/>
  <c r="SQ304" i="29"/>
  <c r="SR304" i="29"/>
  <c r="SS304" i="29"/>
  <c r="B305" i="29"/>
  <c r="C305" i="29"/>
  <c r="D305" i="29"/>
  <c r="E305" i="29"/>
  <c r="F305" i="29"/>
  <c r="G305" i="29"/>
  <c r="H305" i="29"/>
  <c r="I305" i="29"/>
  <c r="J305" i="29"/>
  <c r="K305" i="29"/>
  <c r="L305" i="29"/>
  <c r="M305" i="29"/>
  <c r="N305" i="29"/>
  <c r="O305" i="29"/>
  <c r="P305" i="29"/>
  <c r="Q305" i="29"/>
  <c r="R305" i="29"/>
  <c r="S305" i="29"/>
  <c r="T305" i="29"/>
  <c r="U305" i="29"/>
  <c r="V305" i="29"/>
  <c r="W305" i="29"/>
  <c r="X305" i="29"/>
  <c r="Y305" i="29"/>
  <c r="Z305" i="29"/>
  <c r="AA305" i="29"/>
  <c r="AB305" i="29"/>
  <c r="AC305" i="29"/>
  <c r="AD305" i="29"/>
  <c r="AE305" i="29"/>
  <c r="AF305" i="29"/>
  <c r="AG305" i="29"/>
  <c r="AH305" i="29"/>
  <c r="AI305" i="29"/>
  <c r="AJ305" i="29"/>
  <c r="AK305" i="29"/>
  <c r="AL305" i="29"/>
  <c r="AM305" i="29"/>
  <c r="AN305" i="29"/>
  <c r="AO305" i="29"/>
  <c r="AP305" i="29"/>
  <c r="AQ305" i="29"/>
  <c r="AR305" i="29"/>
  <c r="AS305" i="29"/>
  <c r="AT305" i="29"/>
  <c r="AU305" i="29"/>
  <c r="AV305" i="29"/>
  <c r="AW305" i="29"/>
  <c r="AX305" i="29"/>
  <c r="AY305" i="29"/>
  <c r="AZ305" i="29"/>
  <c r="BA305" i="29"/>
  <c r="BB305" i="29"/>
  <c r="BC305" i="29"/>
  <c r="BD305" i="29"/>
  <c r="BE305" i="29"/>
  <c r="BF305" i="29"/>
  <c r="BG305" i="29"/>
  <c r="BH305" i="29"/>
  <c r="BI305" i="29"/>
  <c r="BJ305" i="29"/>
  <c r="BK305" i="29"/>
  <c r="BL305" i="29"/>
  <c r="BM305" i="29"/>
  <c r="BN305" i="29"/>
  <c r="BO305" i="29"/>
  <c r="BP305" i="29"/>
  <c r="BQ305" i="29"/>
  <c r="BR305" i="29"/>
  <c r="BS305" i="29"/>
  <c r="BT305" i="29"/>
  <c r="BU305" i="29"/>
  <c r="BV305" i="29"/>
  <c r="BW305" i="29"/>
  <c r="BX305" i="29"/>
  <c r="BY305" i="29"/>
  <c r="BZ305" i="29"/>
  <c r="CA305" i="29"/>
  <c r="CB305" i="29"/>
  <c r="CC305" i="29"/>
  <c r="CD305" i="29"/>
  <c r="CE305" i="29"/>
  <c r="CF305" i="29"/>
  <c r="CG305" i="29"/>
  <c r="CH305" i="29"/>
  <c r="CI305" i="29"/>
  <c r="CJ305" i="29"/>
  <c r="CK305" i="29"/>
  <c r="CL305" i="29"/>
  <c r="CM305" i="29"/>
  <c r="CN305" i="29"/>
  <c r="CO305" i="29"/>
  <c r="CP305" i="29"/>
  <c r="CQ305" i="29"/>
  <c r="CR305" i="29"/>
  <c r="CS305" i="29"/>
  <c r="CT305" i="29"/>
  <c r="CU305" i="29"/>
  <c r="CV305" i="29"/>
  <c r="CW305" i="29"/>
  <c r="CX305" i="29"/>
  <c r="CY305" i="29"/>
  <c r="CZ305" i="29"/>
  <c r="DA305" i="29"/>
  <c r="DB305" i="29"/>
  <c r="DC305" i="29"/>
  <c r="DD305" i="29"/>
  <c r="DE305" i="29"/>
  <c r="DF305" i="29"/>
  <c r="DG305" i="29"/>
  <c r="DH305" i="29"/>
  <c r="DI305" i="29"/>
  <c r="DJ305" i="29"/>
  <c r="DK305" i="29"/>
  <c r="DL305" i="29"/>
  <c r="DM305" i="29"/>
  <c r="DN305" i="29"/>
  <c r="DO305" i="29"/>
  <c r="DP305" i="29"/>
  <c r="DQ305" i="29"/>
  <c r="DR305" i="29"/>
  <c r="DS305" i="29"/>
  <c r="DT305" i="29"/>
  <c r="DU305" i="29"/>
  <c r="DV305" i="29"/>
  <c r="DW305" i="29"/>
  <c r="DX305" i="29"/>
  <c r="DY305" i="29"/>
  <c r="DZ305" i="29"/>
  <c r="EA305" i="29"/>
  <c r="EB305" i="29"/>
  <c r="EC305" i="29"/>
  <c r="ED305" i="29"/>
  <c r="EE305" i="29"/>
  <c r="EF305" i="29"/>
  <c r="EG305" i="29"/>
  <c r="EH305" i="29"/>
  <c r="EI305" i="29"/>
  <c r="EJ305" i="29"/>
  <c r="EK305" i="29"/>
  <c r="EL305" i="29"/>
  <c r="EM305" i="29"/>
  <c r="EN305" i="29"/>
  <c r="EO305" i="29"/>
  <c r="EP305" i="29"/>
  <c r="EQ305" i="29"/>
  <c r="ER305" i="29"/>
  <c r="ES305" i="29"/>
  <c r="ET305" i="29"/>
  <c r="EU305" i="29"/>
  <c r="EV305" i="29"/>
  <c r="EW305" i="29"/>
  <c r="EX305" i="29"/>
  <c r="EY305" i="29"/>
  <c r="EZ305" i="29"/>
  <c r="FA305" i="29"/>
  <c r="FB305" i="29"/>
  <c r="FC305" i="29"/>
  <c r="FD305" i="29"/>
  <c r="FE305" i="29"/>
  <c r="FF305" i="29"/>
  <c r="FG305" i="29"/>
  <c r="FH305" i="29"/>
  <c r="FI305" i="29"/>
  <c r="FJ305" i="29"/>
  <c r="FK305" i="29"/>
  <c r="FL305" i="29"/>
  <c r="FM305" i="29"/>
  <c r="FN305" i="29"/>
  <c r="FO305" i="29"/>
  <c r="FP305" i="29"/>
  <c r="FQ305" i="29"/>
  <c r="FR305" i="29"/>
  <c r="FS305" i="29"/>
  <c r="FT305" i="29"/>
  <c r="FU305" i="29"/>
  <c r="FV305" i="29"/>
  <c r="FW305" i="29"/>
  <c r="FX305" i="29"/>
  <c r="FY305" i="29"/>
  <c r="FZ305" i="29"/>
  <c r="GA305" i="29"/>
  <c r="GB305" i="29"/>
  <c r="GC305" i="29"/>
  <c r="GD305" i="29"/>
  <c r="GE305" i="29"/>
  <c r="GF305" i="29"/>
  <c r="GG305" i="29"/>
  <c r="GH305" i="29"/>
  <c r="GI305" i="29"/>
  <c r="GJ305" i="29"/>
  <c r="GK305" i="29"/>
  <c r="GL305" i="29"/>
  <c r="GM305" i="29"/>
  <c r="GN305" i="29"/>
  <c r="GO305" i="29"/>
  <c r="GP305" i="29"/>
  <c r="GQ305" i="29"/>
  <c r="GR305" i="29"/>
  <c r="GS305" i="29"/>
  <c r="GT305" i="29"/>
  <c r="GU305" i="29"/>
  <c r="GV305" i="29"/>
  <c r="GW305" i="29"/>
  <c r="GX305" i="29"/>
  <c r="GY305" i="29"/>
  <c r="GZ305" i="29"/>
  <c r="HA305" i="29"/>
  <c r="HB305" i="29"/>
  <c r="HC305" i="29"/>
  <c r="HD305" i="29"/>
  <c r="HE305" i="29"/>
  <c r="HF305" i="29"/>
  <c r="HG305" i="29"/>
  <c r="HH305" i="29"/>
  <c r="HI305" i="29"/>
  <c r="HJ305" i="29"/>
  <c r="HK305" i="29"/>
  <c r="HL305" i="29"/>
  <c r="HM305" i="29"/>
  <c r="HN305" i="29"/>
  <c r="HO305" i="29"/>
  <c r="HP305" i="29"/>
  <c r="HQ305" i="29"/>
  <c r="HR305" i="29"/>
  <c r="HS305" i="29"/>
  <c r="HT305" i="29"/>
  <c r="HU305" i="29"/>
  <c r="HV305" i="29"/>
  <c r="HW305" i="29"/>
  <c r="HX305" i="29"/>
  <c r="HY305" i="29"/>
  <c r="HZ305" i="29"/>
  <c r="IA305" i="29"/>
  <c r="IB305" i="29"/>
  <c r="IC305" i="29"/>
  <c r="ID305" i="29"/>
  <c r="IE305" i="29"/>
  <c r="IF305" i="29"/>
  <c r="IG305" i="29"/>
  <c r="IH305" i="29"/>
  <c r="II305" i="29"/>
  <c r="IJ305" i="29"/>
  <c r="IK305" i="29"/>
  <c r="IL305" i="29"/>
  <c r="IM305" i="29"/>
  <c r="IN305" i="29"/>
  <c r="IO305" i="29"/>
  <c r="IP305" i="29"/>
  <c r="IQ305" i="29"/>
  <c r="IR305" i="29"/>
  <c r="IS305" i="29"/>
  <c r="IT305" i="29"/>
  <c r="IU305" i="29"/>
  <c r="IV305" i="29"/>
  <c r="IW305" i="29"/>
  <c r="IX305" i="29"/>
  <c r="IY305" i="29"/>
  <c r="IZ305" i="29"/>
  <c r="JA305" i="29"/>
  <c r="JB305" i="29"/>
  <c r="JC305" i="29"/>
  <c r="JD305" i="29"/>
  <c r="JE305" i="29"/>
  <c r="JF305" i="29"/>
  <c r="JG305" i="29"/>
  <c r="JH305" i="29"/>
  <c r="JI305" i="29"/>
  <c r="JJ305" i="29"/>
  <c r="JK305" i="29"/>
  <c r="JL305" i="29"/>
  <c r="JM305" i="29"/>
  <c r="JN305" i="29"/>
  <c r="JO305" i="29"/>
  <c r="JP305" i="29"/>
  <c r="JQ305" i="29"/>
  <c r="JR305" i="29"/>
  <c r="JS305" i="29"/>
  <c r="JT305" i="29"/>
  <c r="JU305" i="29"/>
  <c r="JV305" i="29"/>
  <c r="JW305" i="29"/>
  <c r="JX305" i="29"/>
  <c r="JY305" i="29"/>
  <c r="JZ305" i="29"/>
  <c r="KA305" i="29"/>
  <c r="KB305" i="29"/>
  <c r="KC305" i="29"/>
  <c r="KD305" i="29"/>
  <c r="KE305" i="29"/>
  <c r="KF305" i="29"/>
  <c r="KG305" i="29"/>
  <c r="KH305" i="29"/>
  <c r="KI305" i="29"/>
  <c r="KJ305" i="29"/>
  <c r="KK305" i="29"/>
  <c r="KL305" i="29"/>
  <c r="KM305" i="29"/>
  <c r="KN305" i="29"/>
  <c r="KO305" i="29"/>
  <c r="KP305" i="29"/>
  <c r="KQ305" i="29"/>
  <c r="KR305" i="29"/>
  <c r="KS305" i="29"/>
  <c r="KT305" i="29"/>
  <c r="KU305" i="29"/>
  <c r="KV305" i="29"/>
  <c r="KW305" i="29"/>
  <c r="KX305" i="29"/>
  <c r="KY305" i="29"/>
  <c r="KZ305" i="29"/>
  <c r="LA305" i="29"/>
  <c r="LB305" i="29"/>
  <c r="LC305" i="29"/>
  <c r="LD305" i="29"/>
  <c r="LE305" i="29"/>
  <c r="LF305" i="29"/>
  <c r="LG305" i="29"/>
  <c r="LH305" i="29"/>
  <c r="LI305" i="29"/>
  <c r="LJ305" i="29"/>
  <c r="LK305" i="29"/>
  <c r="LL305" i="29"/>
  <c r="LM305" i="29"/>
  <c r="LN305" i="29"/>
  <c r="LO305" i="29"/>
  <c r="LP305" i="29"/>
  <c r="LQ305" i="29"/>
  <c r="LR305" i="29"/>
  <c r="LS305" i="29"/>
  <c r="LT305" i="29"/>
  <c r="LU305" i="29"/>
  <c r="LV305" i="29"/>
  <c r="LW305" i="29"/>
  <c r="LX305" i="29"/>
  <c r="LY305" i="29"/>
  <c r="LZ305" i="29"/>
  <c r="MA305" i="29"/>
  <c r="MB305" i="29"/>
  <c r="MC305" i="29"/>
  <c r="MD305" i="29"/>
  <c r="ME305" i="29"/>
  <c r="MF305" i="29"/>
  <c r="MG305" i="29"/>
  <c r="MH305" i="29"/>
  <c r="MI305" i="29"/>
  <c r="MJ305" i="29"/>
  <c r="MK305" i="29"/>
  <c r="ML305" i="29"/>
  <c r="MM305" i="29"/>
  <c r="MN305" i="29"/>
  <c r="MO305" i="29"/>
  <c r="MP305" i="29"/>
  <c r="MQ305" i="29"/>
  <c r="MR305" i="29"/>
  <c r="MS305" i="29"/>
  <c r="MT305" i="29"/>
  <c r="MU305" i="29"/>
  <c r="MV305" i="29"/>
  <c r="MW305" i="29"/>
  <c r="MX305" i="29"/>
  <c r="MY305" i="29"/>
  <c r="MZ305" i="29"/>
  <c r="NA305" i="29"/>
  <c r="NB305" i="29"/>
  <c r="NC305" i="29"/>
  <c r="ND305" i="29"/>
  <c r="NE305" i="29"/>
  <c r="NF305" i="29"/>
  <c r="NG305" i="29"/>
  <c r="NH305" i="29"/>
  <c r="NI305" i="29"/>
  <c r="NJ305" i="29"/>
  <c r="NK305" i="29"/>
  <c r="NL305" i="29"/>
  <c r="NM305" i="29"/>
  <c r="NN305" i="29"/>
  <c r="NO305" i="29"/>
  <c r="NP305" i="29"/>
  <c r="NQ305" i="29"/>
  <c r="NR305" i="29"/>
  <c r="NS305" i="29"/>
  <c r="NT305" i="29"/>
  <c r="NU305" i="29"/>
  <c r="NV305" i="29"/>
  <c r="NW305" i="29"/>
  <c r="NX305" i="29"/>
  <c r="NY305" i="29"/>
  <c r="NZ305" i="29"/>
  <c r="OA305" i="29"/>
  <c r="OB305" i="29"/>
  <c r="OC305" i="29"/>
  <c r="OD305" i="29"/>
  <c r="OE305" i="29"/>
  <c r="OF305" i="29"/>
  <c r="OG305" i="29"/>
  <c r="OH305" i="29"/>
  <c r="OI305" i="29"/>
  <c r="OJ305" i="29"/>
  <c r="OK305" i="29"/>
  <c r="OL305" i="29"/>
  <c r="OM305" i="29"/>
  <c r="ON305" i="29"/>
  <c r="OO305" i="29"/>
  <c r="OP305" i="29"/>
  <c r="OQ305" i="29"/>
  <c r="OR305" i="29"/>
  <c r="OS305" i="29"/>
  <c r="OT305" i="29"/>
  <c r="OU305" i="29"/>
  <c r="OV305" i="29"/>
  <c r="OW305" i="29"/>
  <c r="OX305" i="29"/>
  <c r="OY305" i="29"/>
  <c r="OZ305" i="29"/>
  <c r="PA305" i="29"/>
  <c r="PB305" i="29"/>
  <c r="PC305" i="29"/>
  <c r="PD305" i="29"/>
  <c r="PE305" i="29"/>
  <c r="PF305" i="29"/>
  <c r="PG305" i="29"/>
  <c r="PH305" i="29"/>
  <c r="PI305" i="29"/>
  <c r="PJ305" i="29"/>
  <c r="PK305" i="29"/>
  <c r="PL305" i="29"/>
  <c r="PM305" i="29"/>
  <c r="PN305" i="29"/>
  <c r="PO305" i="29"/>
  <c r="PP305" i="29"/>
  <c r="PQ305" i="29"/>
  <c r="PR305" i="29"/>
  <c r="PS305" i="29"/>
  <c r="PT305" i="29"/>
  <c r="PU305" i="29"/>
  <c r="PV305" i="29"/>
  <c r="PW305" i="29"/>
  <c r="PX305" i="29"/>
  <c r="PY305" i="29"/>
  <c r="PZ305" i="29"/>
  <c r="QA305" i="29"/>
  <c r="QB305" i="29"/>
  <c r="QC305" i="29"/>
  <c r="QD305" i="29"/>
  <c r="QE305" i="29"/>
  <c r="QF305" i="29"/>
  <c r="QG305" i="29"/>
  <c r="QH305" i="29"/>
  <c r="QI305" i="29"/>
  <c r="QJ305" i="29"/>
  <c r="QK305" i="29"/>
  <c r="QL305" i="29"/>
  <c r="QM305" i="29"/>
  <c r="QN305" i="29"/>
  <c r="QO305" i="29"/>
  <c r="QP305" i="29"/>
  <c r="QQ305" i="29"/>
  <c r="QR305" i="29"/>
  <c r="QS305" i="29"/>
  <c r="QT305" i="29"/>
  <c r="QU305" i="29"/>
  <c r="QV305" i="29"/>
  <c r="QW305" i="29"/>
  <c r="QX305" i="29"/>
  <c r="QY305" i="29"/>
  <c r="QZ305" i="29"/>
  <c r="RA305" i="29"/>
  <c r="RB305" i="29"/>
  <c r="RC305" i="29"/>
  <c r="RD305" i="29"/>
  <c r="RE305" i="29"/>
  <c r="RF305" i="29"/>
  <c r="RG305" i="29"/>
  <c r="RH305" i="29"/>
  <c r="RI305" i="29"/>
  <c r="RJ305" i="29"/>
  <c r="RK305" i="29"/>
  <c r="RL305" i="29"/>
  <c r="RM305" i="29"/>
  <c r="RN305" i="29"/>
  <c r="RO305" i="29"/>
  <c r="RP305" i="29"/>
  <c r="RQ305" i="29"/>
  <c r="RR305" i="29"/>
  <c r="RS305" i="29"/>
  <c r="RT305" i="29"/>
  <c r="RU305" i="29"/>
  <c r="RV305" i="29"/>
  <c r="RW305" i="29"/>
  <c r="RX305" i="29"/>
  <c r="RY305" i="29"/>
  <c r="RZ305" i="29"/>
  <c r="SA305" i="29"/>
  <c r="SB305" i="29"/>
  <c r="SC305" i="29"/>
  <c r="SD305" i="29"/>
  <c r="SE305" i="29"/>
  <c r="SF305" i="29"/>
  <c r="SG305" i="29"/>
  <c r="SH305" i="29"/>
  <c r="SI305" i="29"/>
  <c r="SJ305" i="29"/>
  <c r="SK305" i="29"/>
  <c r="SL305" i="29"/>
  <c r="SM305" i="29"/>
  <c r="SN305" i="29"/>
  <c r="SO305" i="29"/>
  <c r="SP305" i="29"/>
  <c r="SQ305" i="29"/>
  <c r="SR305" i="29"/>
  <c r="SS305" i="29"/>
  <c r="B306" i="29"/>
  <c r="C306" i="29"/>
  <c r="D306" i="29"/>
  <c r="E306" i="29"/>
  <c r="F306" i="29"/>
  <c r="G306" i="29"/>
  <c r="H306" i="29"/>
  <c r="I306" i="29"/>
  <c r="J306" i="29"/>
  <c r="K306" i="29"/>
  <c r="L306" i="29"/>
  <c r="M306" i="29"/>
  <c r="N306" i="29"/>
  <c r="O306" i="29"/>
  <c r="P306" i="29"/>
  <c r="Q306" i="29"/>
  <c r="R306" i="29"/>
  <c r="S306" i="29"/>
  <c r="T306" i="29"/>
  <c r="U306" i="29"/>
  <c r="V306" i="29"/>
  <c r="W306" i="29"/>
  <c r="X306" i="29"/>
  <c r="Y306" i="29"/>
  <c r="Z306" i="29"/>
  <c r="AA306" i="29"/>
  <c r="AB306" i="29"/>
  <c r="AC306" i="29"/>
  <c r="AD306" i="29"/>
  <c r="AE306" i="29"/>
  <c r="AF306" i="29"/>
  <c r="AG306" i="29"/>
  <c r="AH306" i="29"/>
  <c r="AI306" i="29"/>
  <c r="AJ306" i="29"/>
  <c r="AK306" i="29"/>
  <c r="AL306" i="29"/>
  <c r="AM306" i="29"/>
  <c r="AN306" i="29"/>
  <c r="AO306" i="29"/>
  <c r="AP306" i="29"/>
  <c r="AQ306" i="29"/>
  <c r="AR306" i="29"/>
  <c r="AS306" i="29"/>
  <c r="AT306" i="29"/>
  <c r="AU306" i="29"/>
  <c r="AV306" i="29"/>
  <c r="AW306" i="29"/>
  <c r="AX306" i="29"/>
  <c r="AY306" i="29"/>
  <c r="AZ306" i="29"/>
  <c r="BA306" i="29"/>
  <c r="BB306" i="29"/>
  <c r="BC306" i="29"/>
  <c r="BD306" i="29"/>
  <c r="BE306" i="29"/>
  <c r="BF306" i="29"/>
  <c r="BG306" i="29"/>
  <c r="BH306" i="29"/>
  <c r="BI306" i="29"/>
  <c r="BJ306" i="29"/>
  <c r="BK306" i="29"/>
  <c r="BL306" i="29"/>
  <c r="BM306" i="29"/>
  <c r="BN306" i="29"/>
  <c r="BO306" i="29"/>
  <c r="BP306" i="29"/>
  <c r="BQ306" i="29"/>
  <c r="BR306" i="29"/>
  <c r="BS306" i="29"/>
  <c r="BT306" i="29"/>
  <c r="BU306" i="29"/>
  <c r="BV306" i="29"/>
  <c r="BW306" i="29"/>
  <c r="BX306" i="29"/>
  <c r="BY306" i="29"/>
  <c r="BZ306" i="29"/>
  <c r="CA306" i="29"/>
  <c r="CB306" i="29"/>
  <c r="CC306" i="29"/>
  <c r="CD306" i="29"/>
  <c r="CE306" i="29"/>
  <c r="CF306" i="29"/>
  <c r="CG306" i="29"/>
  <c r="CH306" i="29"/>
  <c r="CI306" i="29"/>
  <c r="CJ306" i="29"/>
  <c r="CK306" i="29"/>
  <c r="CL306" i="29"/>
  <c r="CM306" i="29"/>
  <c r="CN306" i="29"/>
  <c r="CO306" i="29"/>
  <c r="CP306" i="29"/>
  <c r="CQ306" i="29"/>
  <c r="CR306" i="29"/>
  <c r="CS306" i="29"/>
  <c r="CT306" i="29"/>
  <c r="CU306" i="29"/>
  <c r="CV306" i="29"/>
  <c r="CW306" i="29"/>
  <c r="CX306" i="29"/>
  <c r="CY306" i="29"/>
  <c r="CZ306" i="29"/>
  <c r="DA306" i="29"/>
  <c r="DB306" i="29"/>
  <c r="DC306" i="29"/>
  <c r="DD306" i="29"/>
  <c r="DE306" i="29"/>
  <c r="DF306" i="29"/>
  <c r="DG306" i="29"/>
  <c r="DH306" i="29"/>
  <c r="DI306" i="29"/>
  <c r="DJ306" i="29"/>
  <c r="DK306" i="29"/>
  <c r="DL306" i="29"/>
  <c r="DM306" i="29"/>
  <c r="DN306" i="29"/>
  <c r="DO306" i="29"/>
  <c r="DP306" i="29"/>
  <c r="DQ306" i="29"/>
  <c r="DR306" i="29"/>
  <c r="DS306" i="29"/>
  <c r="DT306" i="29"/>
  <c r="DU306" i="29"/>
  <c r="DV306" i="29"/>
  <c r="DW306" i="29"/>
  <c r="DX306" i="29"/>
  <c r="DY306" i="29"/>
  <c r="DZ306" i="29"/>
  <c r="EA306" i="29"/>
  <c r="EB306" i="29"/>
  <c r="EC306" i="29"/>
  <c r="ED306" i="29"/>
  <c r="EE306" i="29"/>
  <c r="EF306" i="29"/>
  <c r="EG306" i="29"/>
  <c r="EH306" i="29"/>
  <c r="EI306" i="29"/>
  <c r="EJ306" i="29"/>
  <c r="EK306" i="29"/>
  <c r="EL306" i="29"/>
  <c r="EM306" i="29"/>
  <c r="EN306" i="29"/>
  <c r="EO306" i="29"/>
  <c r="EP306" i="29"/>
  <c r="EQ306" i="29"/>
  <c r="ER306" i="29"/>
  <c r="ES306" i="29"/>
  <c r="ET306" i="29"/>
  <c r="EU306" i="29"/>
  <c r="EV306" i="29"/>
  <c r="EW306" i="29"/>
  <c r="EX306" i="29"/>
  <c r="EY306" i="29"/>
  <c r="EZ306" i="29"/>
  <c r="FA306" i="29"/>
  <c r="FB306" i="29"/>
  <c r="FC306" i="29"/>
  <c r="FD306" i="29"/>
  <c r="FE306" i="29"/>
  <c r="FF306" i="29"/>
  <c r="FG306" i="29"/>
  <c r="FH306" i="29"/>
  <c r="FI306" i="29"/>
  <c r="FJ306" i="29"/>
  <c r="FK306" i="29"/>
  <c r="FL306" i="29"/>
  <c r="FM306" i="29"/>
  <c r="FN306" i="29"/>
  <c r="FO306" i="29"/>
  <c r="FP306" i="29"/>
  <c r="FQ306" i="29"/>
  <c r="FR306" i="29"/>
  <c r="FS306" i="29"/>
  <c r="FT306" i="29"/>
  <c r="FU306" i="29"/>
  <c r="FV306" i="29"/>
  <c r="FW306" i="29"/>
  <c r="FX306" i="29"/>
  <c r="FY306" i="29"/>
  <c r="FZ306" i="29"/>
  <c r="GA306" i="29"/>
  <c r="GB306" i="29"/>
  <c r="GC306" i="29"/>
  <c r="GD306" i="29"/>
  <c r="GE306" i="29"/>
  <c r="GF306" i="29"/>
  <c r="GG306" i="29"/>
  <c r="GH306" i="29"/>
  <c r="GI306" i="29"/>
  <c r="GJ306" i="29"/>
  <c r="GK306" i="29"/>
  <c r="GL306" i="29"/>
  <c r="GM306" i="29"/>
  <c r="GN306" i="29"/>
  <c r="GO306" i="29"/>
  <c r="GP306" i="29"/>
  <c r="GQ306" i="29"/>
  <c r="GR306" i="29"/>
  <c r="GS306" i="29"/>
  <c r="GT306" i="29"/>
  <c r="GU306" i="29"/>
  <c r="GV306" i="29"/>
  <c r="GW306" i="29"/>
  <c r="GX306" i="29"/>
  <c r="GY306" i="29"/>
  <c r="GZ306" i="29"/>
  <c r="HA306" i="29"/>
  <c r="HB306" i="29"/>
  <c r="HC306" i="29"/>
  <c r="HD306" i="29"/>
  <c r="HE306" i="29"/>
  <c r="HF306" i="29"/>
  <c r="HG306" i="29"/>
  <c r="HH306" i="29"/>
  <c r="HI306" i="29"/>
  <c r="HJ306" i="29"/>
  <c r="HK306" i="29"/>
  <c r="HL306" i="29"/>
  <c r="HM306" i="29"/>
  <c r="HN306" i="29"/>
  <c r="HO306" i="29"/>
  <c r="HP306" i="29"/>
  <c r="HQ306" i="29"/>
  <c r="HR306" i="29"/>
  <c r="HS306" i="29"/>
  <c r="HT306" i="29"/>
  <c r="HU306" i="29"/>
  <c r="HV306" i="29"/>
  <c r="HW306" i="29"/>
  <c r="HX306" i="29"/>
  <c r="HY306" i="29"/>
  <c r="HZ306" i="29"/>
  <c r="IA306" i="29"/>
  <c r="IB306" i="29"/>
  <c r="IC306" i="29"/>
  <c r="ID306" i="29"/>
  <c r="IE306" i="29"/>
  <c r="IF306" i="29"/>
  <c r="IG306" i="29"/>
  <c r="IH306" i="29"/>
  <c r="II306" i="29"/>
  <c r="IJ306" i="29"/>
  <c r="IK306" i="29"/>
  <c r="IL306" i="29"/>
  <c r="IM306" i="29"/>
  <c r="IN306" i="29"/>
  <c r="IO306" i="29"/>
  <c r="IP306" i="29"/>
  <c r="IQ306" i="29"/>
  <c r="IR306" i="29"/>
  <c r="IS306" i="29"/>
  <c r="IT306" i="29"/>
  <c r="IU306" i="29"/>
  <c r="IV306" i="29"/>
  <c r="IW306" i="29"/>
  <c r="IX306" i="29"/>
  <c r="IY306" i="29"/>
  <c r="IZ306" i="29"/>
  <c r="JA306" i="29"/>
  <c r="JB306" i="29"/>
  <c r="JC306" i="29"/>
  <c r="JD306" i="29"/>
  <c r="JE306" i="29"/>
  <c r="JF306" i="29"/>
  <c r="JG306" i="29"/>
  <c r="JH306" i="29"/>
  <c r="JI306" i="29"/>
  <c r="JJ306" i="29"/>
  <c r="JK306" i="29"/>
  <c r="JL306" i="29"/>
  <c r="JM306" i="29"/>
  <c r="JN306" i="29"/>
  <c r="JO306" i="29"/>
  <c r="JP306" i="29"/>
  <c r="JQ306" i="29"/>
  <c r="JR306" i="29"/>
  <c r="JS306" i="29"/>
  <c r="JT306" i="29"/>
  <c r="JU306" i="29"/>
  <c r="JV306" i="29"/>
  <c r="JW306" i="29"/>
  <c r="JX306" i="29"/>
  <c r="JY306" i="29"/>
  <c r="JZ306" i="29"/>
  <c r="KA306" i="29"/>
  <c r="KB306" i="29"/>
  <c r="KC306" i="29"/>
  <c r="KD306" i="29"/>
  <c r="KE306" i="29"/>
  <c r="KF306" i="29"/>
  <c r="KG306" i="29"/>
  <c r="KH306" i="29"/>
  <c r="KI306" i="29"/>
  <c r="KJ306" i="29"/>
  <c r="KK306" i="29"/>
  <c r="KL306" i="29"/>
  <c r="KM306" i="29"/>
  <c r="KN306" i="29"/>
  <c r="KO306" i="29"/>
  <c r="KP306" i="29"/>
  <c r="KQ306" i="29"/>
  <c r="KR306" i="29"/>
  <c r="KS306" i="29"/>
  <c r="KT306" i="29"/>
  <c r="KU306" i="29"/>
  <c r="KV306" i="29"/>
  <c r="KW306" i="29"/>
  <c r="KX306" i="29"/>
  <c r="KY306" i="29"/>
  <c r="KZ306" i="29"/>
  <c r="LA306" i="29"/>
  <c r="LB306" i="29"/>
  <c r="LC306" i="29"/>
  <c r="LD306" i="29"/>
  <c r="LE306" i="29"/>
  <c r="LF306" i="29"/>
  <c r="LG306" i="29"/>
  <c r="LH306" i="29"/>
  <c r="LI306" i="29"/>
  <c r="LJ306" i="29"/>
  <c r="LK306" i="29"/>
  <c r="LL306" i="29"/>
  <c r="LM306" i="29"/>
  <c r="LN306" i="29"/>
  <c r="LO306" i="29"/>
  <c r="LP306" i="29"/>
  <c r="LQ306" i="29"/>
  <c r="LR306" i="29"/>
  <c r="LS306" i="29"/>
  <c r="LT306" i="29"/>
  <c r="LU306" i="29"/>
  <c r="LV306" i="29"/>
  <c r="LW306" i="29"/>
  <c r="LX306" i="29"/>
  <c r="LY306" i="29"/>
  <c r="LZ306" i="29"/>
  <c r="MA306" i="29"/>
  <c r="MB306" i="29"/>
  <c r="MC306" i="29"/>
  <c r="MD306" i="29"/>
  <c r="ME306" i="29"/>
  <c r="MF306" i="29"/>
  <c r="MG306" i="29"/>
  <c r="MH306" i="29"/>
  <c r="MI306" i="29"/>
  <c r="MJ306" i="29"/>
  <c r="MK306" i="29"/>
  <c r="ML306" i="29"/>
  <c r="MM306" i="29"/>
  <c r="MN306" i="29"/>
  <c r="MO306" i="29"/>
  <c r="MP306" i="29"/>
  <c r="MQ306" i="29"/>
  <c r="MR306" i="29"/>
  <c r="MS306" i="29"/>
  <c r="MT306" i="29"/>
  <c r="MU306" i="29"/>
  <c r="MV306" i="29"/>
  <c r="MW306" i="29"/>
  <c r="MX306" i="29"/>
  <c r="MY306" i="29"/>
  <c r="MZ306" i="29"/>
  <c r="NA306" i="29"/>
  <c r="NB306" i="29"/>
  <c r="NC306" i="29"/>
  <c r="ND306" i="29"/>
  <c r="NE306" i="29"/>
  <c r="NF306" i="29"/>
  <c r="NG306" i="29"/>
  <c r="NH306" i="29"/>
  <c r="NI306" i="29"/>
  <c r="NJ306" i="29"/>
  <c r="NK306" i="29"/>
  <c r="NL306" i="29"/>
  <c r="NM306" i="29"/>
  <c r="NN306" i="29"/>
  <c r="NO306" i="29"/>
  <c r="NP306" i="29"/>
  <c r="NQ306" i="29"/>
  <c r="NR306" i="29"/>
  <c r="NS306" i="29"/>
  <c r="NT306" i="29"/>
  <c r="NU306" i="29"/>
  <c r="NV306" i="29"/>
  <c r="NW306" i="29"/>
  <c r="NX306" i="29"/>
  <c r="NY306" i="29"/>
  <c r="NZ306" i="29"/>
  <c r="OA306" i="29"/>
  <c r="OB306" i="29"/>
  <c r="OC306" i="29"/>
  <c r="OD306" i="29"/>
  <c r="OE306" i="29"/>
  <c r="OF306" i="29"/>
  <c r="OG306" i="29"/>
  <c r="OH306" i="29"/>
  <c r="OI306" i="29"/>
  <c r="OJ306" i="29"/>
  <c r="OK306" i="29"/>
  <c r="OL306" i="29"/>
  <c r="OM306" i="29"/>
  <c r="ON306" i="29"/>
  <c r="OO306" i="29"/>
  <c r="OP306" i="29"/>
  <c r="OQ306" i="29"/>
  <c r="OR306" i="29"/>
  <c r="OS306" i="29"/>
  <c r="OT306" i="29"/>
  <c r="OU306" i="29"/>
  <c r="OV306" i="29"/>
  <c r="OW306" i="29"/>
  <c r="OX306" i="29"/>
  <c r="OY306" i="29"/>
  <c r="OZ306" i="29"/>
  <c r="PA306" i="29"/>
  <c r="PB306" i="29"/>
  <c r="PC306" i="29"/>
  <c r="PD306" i="29"/>
  <c r="PE306" i="29"/>
  <c r="PF306" i="29"/>
  <c r="PG306" i="29"/>
  <c r="PH306" i="29"/>
  <c r="PI306" i="29"/>
  <c r="PJ306" i="29"/>
  <c r="PK306" i="29"/>
  <c r="PL306" i="29"/>
  <c r="PM306" i="29"/>
  <c r="PN306" i="29"/>
  <c r="PO306" i="29"/>
  <c r="PP306" i="29"/>
  <c r="PQ306" i="29"/>
  <c r="PR306" i="29"/>
  <c r="PS306" i="29"/>
  <c r="PT306" i="29"/>
  <c r="PU306" i="29"/>
  <c r="PV306" i="29"/>
  <c r="PW306" i="29"/>
  <c r="PX306" i="29"/>
  <c r="PY306" i="29"/>
  <c r="PZ306" i="29"/>
  <c r="QA306" i="29"/>
  <c r="QB306" i="29"/>
  <c r="QC306" i="29"/>
  <c r="QD306" i="29"/>
  <c r="QE306" i="29"/>
  <c r="QF306" i="29"/>
  <c r="QG306" i="29"/>
  <c r="QH306" i="29"/>
  <c r="QI306" i="29"/>
  <c r="QJ306" i="29"/>
  <c r="QK306" i="29"/>
  <c r="QL306" i="29"/>
  <c r="QM306" i="29"/>
  <c r="QN306" i="29"/>
  <c r="QO306" i="29"/>
  <c r="QP306" i="29"/>
  <c r="QQ306" i="29"/>
  <c r="QR306" i="29"/>
  <c r="QS306" i="29"/>
  <c r="QT306" i="29"/>
  <c r="QU306" i="29"/>
  <c r="QV306" i="29"/>
  <c r="QW306" i="29"/>
  <c r="QX306" i="29"/>
  <c r="QY306" i="29"/>
  <c r="QZ306" i="29"/>
  <c r="RA306" i="29"/>
  <c r="RB306" i="29"/>
  <c r="RC306" i="29"/>
  <c r="RD306" i="29"/>
  <c r="RE306" i="29"/>
  <c r="RF306" i="29"/>
  <c r="RG306" i="29"/>
  <c r="RH306" i="29"/>
  <c r="RI306" i="29"/>
  <c r="RJ306" i="29"/>
  <c r="RK306" i="29"/>
  <c r="RL306" i="29"/>
  <c r="RM306" i="29"/>
  <c r="RN306" i="29"/>
  <c r="RO306" i="29"/>
  <c r="RP306" i="29"/>
  <c r="RQ306" i="29"/>
  <c r="RR306" i="29"/>
  <c r="RS306" i="29"/>
  <c r="RT306" i="29"/>
  <c r="RU306" i="29"/>
  <c r="RV306" i="29"/>
  <c r="RW306" i="29"/>
  <c r="RX306" i="29"/>
  <c r="RY306" i="29"/>
  <c r="RZ306" i="29"/>
  <c r="SA306" i="29"/>
  <c r="SB306" i="29"/>
  <c r="SC306" i="29"/>
  <c r="SD306" i="29"/>
  <c r="SE306" i="29"/>
  <c r="SF306" i="29"/>
  <c r="SG306" i="29"/>
  <c r="SH306" i="29"/>
  <c r="SI306" i="29"/>
  <c r="SJ306" i="29"/>
  <c r="SK306" i="29"/>
  <c r="SL306" i="29"/>
  <c r="SM306" i="29"/>
  <c r="SN306" i="29"/>
  <c r="SO306" i="29"/>
  <c r="SP306" i="29"/>
  <c r="SQ306" i="29"/>
  <c r="SR306" i="29"/>
  <c r="SS306" i="29"/>
  <c r="B307" i="29"/>
  <c r="C307" i="29"/>
  <c r="D307" i="29"/>
  <c r="E307" i="29"/>
  <c r="F307" i="29"/>
  <c r="G307" i="29"/>
  <c r="H307" i="29"/>
  <c r="I307" i="29"/>
  <c r="J307" i="29"/>
  <c r="K307" i="29"/>
  <c r="L307" i="29"/>
  <c r="M307" i="29"/>
  <c r="N307" i="29"/>
  <c r="O307" i="29"/>
  <c r="P307" i="29"/>
  <c r="Q307" i="29"/>
  <c r="R307" i="29"/>
  <c r="S307" i="29"/>
  <c r="T307" i="29"/>
  <c r="U307" i="29"/>
  <c r="V307" i="29"/>
  <c r="W307" i="29"/>
  <c r="X307" i="29"/>
  <c r="Y307" i="29"/>
  <c r="Z307" i="29"/>
  <c r="AA307" i="29"/>
  <c r="AB307" i="29"/>
  <c r="AC307" i="29"/>
  <c r="AD307" i="29"/>
  <c r="AE307" i="29"/>
  <c r="AF307" i="29"/>
  <c r="AG307" i="29"/>
  <c r="AH307" i="29"/>
  <c r="AI307" i="29"/>
  <c r="AJ307" i="29"/>
  <c r="AK307" i="29"/>
  <c r="AL307" i="29"/>
  <c r="AM307" i="29"/>
  <c r="AN307" i="29"/>
  <c r="AO307" i="29"/>
  <c r="AP307" i="29"/>
  <c r="AQ307" i="29"/>
  <c r="AR307" i="29"/>
  <c r="AS307" i="29"/>
  <c r="AT307" i="29"/>
  <c r="AU307" i="29"/>
  <c r="AV307" i="29"/>
  <c r="AW307" i="29"/>
  <c r="AX307" i="29"/>
  <c r="AY307" i="29"/>
  <c r="AZ307" i="29"/>
  <c r="BA307" i="29"/>
  <c r="BB307" i="29"/>
  <c r="BC307" i="29"/>
  <c r="BD307" i="29"/>
  <c r="BE307" i="29"/>
  <c r="BF307" i="29"/>
  <c r="BG307" i="29"/>
  <c r="BH307" i="29"/>
  <c r="BI307" i="29"/>
  <c r="BJ307" i="29"/>
  <c r="BK307" i="29"/>
  <c r="BL307" i="29"/>
  <c r="BM307" i="29"/>
  <c r="BN307" i="29"/>
  <c r="BO307" i="29"/>
  <c r="BP307" i="29"/>
  <c r="BQ307" i="29"/>
  <c r="BR307" i="29"/>
  <c r="BS307" i="29"/>
  <c r="BT307" i="29"/>
  <c r="BU307" i="29"/>
  <c r="BV307" i="29"/>
  <c r="BW307" i="29"/>
  <c r="BX307" i="29"/>
  <c r="BY307" i="29"/>
  <c r="BZ307" i="29"/>
  <c r="CA307" i="29"/>
  <c r="CB307" i="29"/>
  <c r="CC307" i="29"/>
  <c r="CD307" i="29"/>
  <c r="CE307" i="29"/>
  <c r="CF307" i="29"/>
  <c r="CG307" i="29"/>
  <c r="CH307" i="29"/>
  <c r="CI307" i="29"/>
  <c r="CJ307" i="29"/>
  <c r="CK307" i="29"/>
  <c r="CL307" i="29"/>
  <c r="CM307" i="29"/>
  <c r="CN307" i="29"/>
  <c r="CO307" i="29"/>
  <c r="CP307" i="29"/>
  <c r="CQ307" i="29"/>
  <c r="CR307" i="29"/>
  <c r="CS307" i="29"/>
  <c r="CT307" i="29"/>
  <c r="CU307" i="29"/>
  <c r="CV307" i="29"/>
  <c r="CW307" i="29"/>
  <c r="CX307" i="29"/>
  <c r="CY307" i="29"/>
  <c r="CZ307" i="29"/>
  <c r="DA307" i="29"/>
  <c r="DB307" i="29"/>
  <c r="DC307" i="29"/>
  <c r="DD307" i="29"/>
  <c r="DE307" i="29"/>
  <c r="DF307" i="29"/>
  <c r="DG307" i="29"/>
  <c r="DH307" i="29"/>
  <c r="DI307" i="29"/>
  <c r="DJ307" i="29"/>
  <c r="DK307" i="29"/>
  <c r="DL307" i="29"/>
  <c r="DM307" i="29"/>
  <c r="DN307" i="29"/>
  <c r="DO307" i="29"/>
  <c r="DP307" i="29"/>
  <c r="DQ307" i="29"/>
  <c r="DR307" i="29"/>
  <c r="DS307" i="29"/>
  <c r="DT307" i="29"/>
  <c r="DU307" i="29"/>
  <c r="DV307" i="29"/>
  <c r="DW307" i="29"/>
  <c r="DX307" i="29"/>
  <c r="DY307" i="29"/>
  <c r="DZ307" i="29"/>
  <c r="EA307" i="29"/>
  <c r="EB307" i="29"/>
  <c r="EC307" i="29"/>
  <c r="ED307" i="29"/>
  <c r="EE307" i="29"/>
  <c r="EF307" i="29"/>
  <c r="EG307" i="29"/>
  <c r="EH307" i="29"/>
  <c r="EI307" i="29"/>
  <c r="EJ307" i="29"/>
  <c r="EK307" i="29"/>
  <c r="EL307" i="29"/>
  <c r="EM307" i="29"/>
  <c r="EN307" i="29"/>
  <c r="EO307" i="29"/>
  <c r="EP307" i="29"/>
  <c r="EQ307" i="29"/>
  <c r="ER307" i="29"/>
  <c r="ES307" i="29"/>
  <c r="ET307" i="29"/>
  <c r="EU307" i="29"/>
  <c r="EV307" i="29"/>
  <c r="EW307" i="29"/>
  <c r="EX307" i="29"/>
  <c r="EY307" i="29"/>
  <c r="EZ307" i="29"/>
  <c r="FA307" i="29"/>
  <c r="FB307" i="29"/>
  <c r="FC307" i="29"/>
  <c r="FD307" i="29"/>
  <c r="FE307" i="29"/>
  <c r="FF307" i="29"/>
  <c r="FG307" i="29"/>
  <c r="FH307" i="29"/>
  <c r="FI307" i="29"/>
  <c r="FJ307" i="29"/>
  <c r="FK307" i="29"/>
  <c r="FL307" i="29"/>
  <c r="FM307" i="29"/>
  <c r="FN307" i="29"/>
  <c r="FO307" i="29"/>
  <c r="FP307" i="29"/>
  <c r="FQ307" i="29"/>
  <c r="FR307" i="29"/>
  <c r="FS307" i="29"/>
  <c r="FT307" i="29"/>
  <c r="FU307" i="29"/>
  <c r="FV307" i="29"/>
  <c r="FW307" i="29"/>
  <c r="FX307" i="29"/>
  <c r="FY307" i="29"/>
  <c r="FZ307" i="29"/>
  <c r="GA307" i="29"/>
  <c r="GB307" i="29"/>
  <c r="GC307" i="29"/>
  <c r="GD307" i="29"/>
  <c r="GE307" i="29"/>
  <c r="GF307" i="29"/>
  <c r="GG307" i="29"/>
  <c r="GH307" i="29"/>
  <c r="GI307" i="29"/>
  <c r="GJ307" i="29"/>
  <c r="GK307" i="29"/>
  <c r="GL307" i="29"/>
  <c r="GM307" i="29"/>
  <c r="GN307" i="29"/>
  <c r="GO307" i="29"/>
  <c r="GP307" i="29"/>
  <c r="GQ307" i="29"/>
  <c r="GR307" i="29"/>
  <c r="GS307" i="29"/>
  <c r="GT307" i="29"/>
  <c r="GU307" i="29"/>
  <c r="GV307" i="29"/>
  <c r="GW307" i="29"/>
  <c r="GX307" i="29"/>
  <c r="GY307" i="29"/>
  <c r="GZ307" i="29"/>
  <c r="HA307" i="29"/>
  <c r="HB307" i="29"/>
  <c r="HC307" i="29"/>
  <c r="HD307" i="29"/>
  <c r="HE307" i="29"/>
  <c r="HF307" i="29"/>
  <c r="HG307" i="29"/>
  <c r="HH307" i="29"/>
  <c r="HI307" i="29"/>
  <c r="HJ307" i="29"/>
  <c r="HK307" i="29"/>
  <c r="HL307" i="29"/>
  <c r="HM307" i="29"/>
  <c r="HN307" i="29"/>
  <c r="HO307" i="29"/>
  <c r="HP307" i="29"/>
  <c r="HQ307" i="29"/>
  <c r="HR307" i="29"/>
  <c r="HS307" i="29"/>
  <c r="HT307" i="29"/>
  <c r="HU307" i="29"/>
  <c r="HV307" i="29"/>
  <c r="HW307" i="29"/>
  <c r="HX307" i="29"/>
  <c r="HY307" i="29"/>
  <c r="HZ307" i="29"/>
  <c r="IA307" i="29"/>
  <c r="IB307" i="29"/>
  <c r="IC307" i="29"/>
  <c r="ID307" i="29"/>
  <c r="IE307" i="29"/>
  <c r="IF307" i="29"/>
  <c r="IG307" i="29"/>
  <c r="IH307" i="29"/>
  <c r="II307" i="29"/>
  <c r="IJ307" i="29"/>
  <c r="IK307" i="29"/>
  <c r="IL307" i="29"/>
  <c r="IM307" i="29"/>
  <c r="IN307" i="29"/>
  <c r="IO307" i="29"/>
  <c r="IP307" i="29"/>
  <c r="IQ307" i="29"/>
  <c r="IR307" i="29"/>
  <c r="IS307" i="29"/>
  <c r="IT307" i="29"/>
  <c r="IU307" i="29"/>
  <c r="IV307" i="29"/>
  <c r="IW307" i="29"/>
  <c r="IX307" i="29"/>
  <c r="IY307" i="29"/>
  <c r="IZ307" i="29"/>
  <c r="JA307" i="29"/>
  <c r="JB307" i="29"/>
  <c r="JC307" i="29"/>
  <c r="JD307" i="29"/>
  <c r="JE307" i="29"/>
  <c r="JF307" i="29"/>
  <c r="JG307" i="29"/>
  <c r="JH307" i="29"/>
  <c r="JI307" i="29"/>
  <c r="JJ307" i="29"/>
  <c r="JK307" i="29"/>
  <c r="JL307" i="29"/>
  <c r="JM307" i="29"/>
  <c r="JN307" i="29"/>
  <c r="JO307" i="29"/>
  <c r="JP307" i="29"/>
  <c r="JQ307" i="29"/>
  <c r="JR307" i="29"/>
  <c r="JS307" i="29"/>
  <c r="JT307" i="29"/>
  <c r="JU307" i="29"/>
  <c r="JV307" i="29"/>
  <c r="JW307" i="29"/>
  <c r="JX307" i="29"/>
  <c r="JY307" i="29"/>
  <c r="JZ307" i="29"/>
  <c r="KA307" i="29"/>
  <c r="KB307" i="29"/>
  <c r="KC307" i="29"/>
  <c r="KD307" i="29"/>
  <c r="KE307" i="29"/>
  <c r="KF307" i="29"/>
  <c r="KG307" i="29"/>
  <c r="KH307" i="29"/>
  <c r="KI307" i="29"/>
  <c r="KJ307" i="29"/>
  <c r="KK307" i="29"/>
  <c r="KL307" i="29"/>
  <c r="KM307" i="29"/>
  <c r="KN307" i="29"/>
  <c r="KO307" i="29"/>
  <c r="KP307" i="29"/>
  <c r="KQ307" i="29"/>
  <c r="KR307" i="29"/>
  <c r="KS307" i="29"/>
  <c r="KT307" i="29"/>
  <c r="KU307" i="29"/>
  <c r="KV307" i="29"/>
  <c r="KW307" i="29"/>
  <c r="KX307" i="29"/>
  <c r="KY307" i="29"/>
  <c r="KZ307" i="29"/>
  <c r="LA307" i="29"/>
  <c r="LB307" i="29"/>
  <c r="LC307" i="29"/>
  <c r="LD307" i="29"/>
  <c r="LE307" i="29"/>
  <c r="LF307" i="29"/>
  <c r="LG307" i="29"/>
  <c r="LH307" i="29"/>
  <c r="LI307" i="29"/>
  <c r="LJ307" i="29"/>
  <c r="LK307" i="29"/>
  <c r="LL307" i="29"/>
  <c r="LM307" i="29"/>
  <c r="LN307" i="29"/>
  <c r="LO307" i="29"/>
  <c r="LP307" i="29"/>
  <c r="LQ307" i="29"/>
  <c r="LR307" i="29"/>
  <c r="LS307" i="29"/>
  <c r="LT307" i="29"/>
  <c r="LU307" i="29"/>
  <c r="LV307" i="29"/>
  <c r="LW307" i="29"/>
  <c r="LX307" i="29"/>
  <c r="LY307" i="29"/>
  <c r="LZ307" i="29"/>
  <c r="MA307" i="29"/>
  <c r="MB307" i="29"/>
  <c r="MC307" i="29"/>
  <c r="MD307" i="29"/>
  <c r="ME307" i="29"/>
  <c r="MF307" i="29"/>
  <c r="MG307" i="29"/>
  <c r="MH307" i="29"/>
  <c r="MI307" i="29"/>
  <c r="MJ307" i="29"/>
  <c r="MK307" i="29"/>
  <c r="ML307" i="29"/>
  <c r="MM307" i="29"/>
  <c r="MN307" i="29"/>
  <c r="MO307" i="29"/>
  <c r="MP307" i="29"/>
  <c r="MQ307" i="29"/>
  <c r="MR307" i="29"/>
  <c r="MS307" i="29"/>
  <c r="MT307" i="29"/>
  <c r="MU307" i="29"/>
  <c r="MV307" i="29"/>
  <c r="MW307" i="29"/>
  <c r="MX307" i="29"/>
  <c r="MY307" i="29"/>
  <c r="MZ307" i="29"/>
  <c r="NA307" i="29"/>
  <c r="NB307" i="29"/>
  <c r="NC307" i="29"/>
  <c r="ND307" i="29"/>
  <c r="NE307" i="29"/>
  <c r="NF307" i="29"/>
  <c r="NG307" i="29"/>
  <c r="NH307" i="29"/>
  <c r="NI307" i="29"/>
  <c r="NJ307" i="29"/>
  <c r="NK307" i="29"/>
  <c r="NL307" i="29"/>
  <c r="NM307" i="29"/>
  <c r="NN307" i="29"/>
  <c r="NO307" i="29"/>
  <c r="NP307" i="29"/>
  <c r="NQ307" i="29"/>
  <c r="NR307" i="29"/>
  <c r="NS307" i="29"/>
  <c r="NT307" i="29"/>
  <c r="NU307" i="29"/>
  <c r="NV307" i="29"/>
  <c r="NW307" i="29"/>
  <c r="NX307" i="29"/>
  <c r="NY307" i="29"/>
  <c r="NZ307" i="29"/>
  <c r="OA307" i="29"/>
  <c r="OB307" i="29"/>
  <c r="OC307" i="29"/>
  <c r="OD307" i="29"/>
  <c r="OE307" i="29"/>
  <c r="OF307" i="29"/>
  <c r="OG307" i="29"/>
  <c r="OH307" i="29"/>
  <c r="OI307" i="29"/>
  <c r="OJ307" i="29"/>
  <c r="OK307" i="29"/>
  <c r="OL307" i="29"/>
  <c r="OM307" i="29"/>
  <c r="ON307" i="29"/>
  <c r="OO307" i="29"/>
  <c r="OP307" i="29"/>
  <c r="OQ307" i="29"/>
  <c r="OR307" i="29"/>
  <c r="OS307" i="29"/>
  <c r="OT307" i="29"/>
  <c r="OU307" i="29"/>
  <c r="OV307" i="29"/>
  <c r="OW307" i="29"/>
  <c r="OX307" i="29"/>
  <c r="OY307" i="29"/>
  <c r="OZ307" i="29"/>
  <c r="PA307" i="29"/>
  <c r="PB307" i="29"/>
  <c r="PC307" i="29"/>
  <c r="PD307" i="29"/>
  <c r="PE307" i="29"/>
  <c r="PF307" i="29"/>
  <c r="PG307" i="29"/>
  <c r="PH307" i="29"/>
  <c r="PI307" i="29"/>
  <c r="PJ307" i="29"/>
  <c r="PK307" i="29"/>
  <c r="PL307" i="29"/>
  <c r="PM307" i="29"/>
  <c r="PN307" i="29"/>
  <c r="PO307" i="29"/>
  <c r="PP307" i="29"/>
  <c r="PQ307" i="29"/>
  <c r="PR307" i="29"/>
  <c r="PS307" i="29"/>
  <c r="PT307" i="29"/>
  <c r="PU307" i="29"/>
  <c r="PV307" i="29"/>
  <c r="PW307" i="29"/>
  <c r="PX307" i="29"/>
  <c r="PY307" i="29"/>
  <c r="PZ307" i="29"/>
  <c r="QA307" i="29"/>
  <c r="QB307" i="29"/>
  <c r="QC307" i="29"/>
  <c r="QD307" i="29"/>
  <c r="QE307" i="29"/>
  <c r="QF307" i="29"/>
  <c r="QG307" i="29"/>
  <c r="QH307" i="29"/>
  <c r="QI307" i="29"/>
  <c r="QJ307" i="29"/>
  <c r="QK307" i="29"/>
  <c r="QL307" i="29"/>
  <c r="QM307" i="29"/>
  <c r="QN307" i="29"/>
  <c r="QO307" i="29"/>
  <c r="QP307" i="29"/>
  <c r="QQ307" i="29"/>
  <c r="QR307" i="29"/>
  <c r="QS307" i="29"/>
  <c r="QT307" i="29"/>
  <c r="QU307" i="29"/>
  <c r="QV307" i="29"/>
  <c r="QW307" i="29"/>
  <c r="QX307" i="29"/>
  <c r="QY307" i="29"/>
  <c r="QZ307" i="29"/>
  <c r="RA307" i="29"/>
  <c r="RB307" i="29"/>
  <c r="RC307" i="29"/>
  <c r="RD307" i="29"/>
  <c r="RE307" i="29"/>
  <c r="RF307" i="29"/>
  <c r="RG307" i="29"/>
  <c r="RH307" i="29"/>
  <c r="RI307" i="29"/>
  <c r="RJ307" i="29"/>
  <c r="RK307" i="29"/>
  <c r="RL307" i="29"/>
  <c r="RM307" i="29"/>
  <c r="RN307" i="29"/>
  <c r="RO307" i="29"/>
  <c r="RP307" i="29"/>
  <c r="RQ307" i="29"/>
  <c r="RR307" i="29"/>
  <c r="RS307" i="29"/>
  <c r="RT307" i="29"/>
  <c r="RU307" i="29"/>
  <c r="RV307" i="29"/>
  <c r="RW307" i="29"/>
  <c r="RX307" i="29"/>
  <c r="RY307" i="29"/>
  <c r="RZ307" i="29"/>
  <c r="SA307" i="29"/>
  <c r="SB307" i="29"/>
  <c r="SC307" i="29"/>
  <c r="SD307" i="29"/>
  <c r="SE307" i="29"/>
  <c r="SF307" i="29"/>
  <c r="SG307" i="29"/>
  <c r="SH307" i="29"/>
  <c r="SI307" i="29"/>
  <c r="SJ307" i="29"/>
  <c r="SK307" i="29"/>
  <c r="SL307" i="29"/>
  <c r="SM307" i="29"/>
  <c r="SN307" i="29"/>
  <c r="SO307" i="29"/>
  <c r="SP307" i="29"/>
  <c r="SQ307" i="29"/>
  <c r="SR307" i="29"/>
  <c r="SS307" i="29"/>
  <c r="B308" i="29"/>
  <c r="C308" i="29"/>
  <c r="D308" i="29"/>
  <c r="E308" i="29"/>
  <c r="F308" i="29"/>
  <c r="G308" i="29"/>
  <c r="H308" i="29"/>
  <c r="I308" i="29"/>
  <c r="J308" i="29"/>
  <c r="K308" i="29"/>
  <c r="L308" i="29"/>
  <c r="M308" i="29"/>
  <c r="N308" i="29"/>
  <c r="O308" i="29"/>
  <c r="P308" i="29"/>
  <c r="Q308" i="29"/>
  <c r="R308" i="29"/>
  <c r="S308" i="29"/>
  <c r="T308" i="29"/>
  <c r="U308" i="29"/>
  <c r="V308" i="29"/>
  <c r="W308" i="29"/>
  <c r="X308" i="29"/>
  <c r="Y308" i="29"/>
  <c r="Z308" i="29"/>
  <c r="AA308" i="29"/>
  <c r="AB308" i="29"/>
  <c r="AC308" i="29"/>
  <c r="AD308" i="29"/>
  <c r="AE308" i="29"/>
  <c r="AF308" i="29"/>
  <c r="AG308" i="29"/>
  <c r="AH308" i="29"/>
  <c r="AI308" i="29"/>
  <c r="AJ308" i="29"/>
  <c r="AK308" i="29"/>
  <c r="AL308" i="29"/>
  <c r="AM308" i="29"/>
  <c r="AN308" i="29"/>
  <c r="AO308" i="29"/>
  <c r="AP308" i="29"/>
  <c r="AQ308" i="29"/>
  <c r="AR308" i="29"/>
  <c r="AS308" i="29"/>
  <c r="AT308" i="29"/>
  <c r="AU308" i="29"/>
  <c r="AV308" i="29"/>
  <c r="AW308" i="29"/>
  <c r="AX308" i="29"/>
  <c r="AY308" i="29"/>
  <c r="AZ308" i="29"/>
  <c r="BA308" i="29"/>
  <c r="BB308" i="29"/>
  <c r="BC308" i="29"/>
  <c r="BD308" i="29"/>
  <c r="BE308" i="29"/>
  <c r="BF308" i="29"/>
  <c r="BG308" i="29"/>
  <c r="BH308" i="29"/>
  <c r="BI308" i="29"/>
  <c r="BJ308" i="29"/>
  <c r="BK308" i="29"/>
  <c r="BL308" i="29"/>
  <c r="BM308" i="29"/>
  <c r="BN308" i="29"/>
  <c r="BO308" i="29"/>
  <c r="BP308" i="29"/>
  <c r="BQ308" i="29"/>
  <c r="BR308" i="29"/>
  <c r="BS308" i="29"/>
  <c r="BT308" i="29"/>
  <c r="BU308" i="29"/>
  <c r="BV308" i="29"/>
  <c r="BW308" i="29"/>
  <c r="BX308" i="29"/>
  <c r="BY308" i="29"/>
  <c r="BZ308" i="29"/>
  <c r="CA308" i="29"/>
  <c r="CB308" i="29"/>
  <c r="CC308" i="29"/>
  <c r="CD308" i="29"/>
  <c r="CE308" i="29"/>
  <c r="CF308" i="29"/>
  <c r="CG308" i="29"/>
  <c r="CH308" i="29"/>
  <c r="CI308" i="29"/>
  <c r="CJ308" i="29"/>
  <c r="CK308" i="29"/>
  <c r="CL308" i="29"/>
  <c r="CM308" i="29"/>
  <c r="CN308" i="29"/>
  <c r="CO308" i="29"/>
  <c r="CP308" i="29"/>
  <c r="CQ308" i="29"/>
  <c r="CR308" i="29"/>
  <c r="CS308" i="29"/>
  <c r="CT308" i="29"/>
  <c r="CU308" i="29"/>
  <c r="CV308" i="29"/>
  <c r="CW308" i="29"/>
  <c r="CX308" i="29"/>
  <c r="CY308" i="29"/>
  <c r="CZ308" i="29"/>
  <c r="DA308" i="29"/>
  <c r="DB308" i="29"/>
  <c r="DC308" i="29"/>
  <c r="DD308" i="29"/>
  <c r="DE308" i="29"/>
  <c r="DF308" i="29"/>
  <c r="DG308" i="29"/>
  <c r="DH308" i="29"/>
  <c r="DI308" i="29"/>
  <c r="DJ308" i="29"/>
  <c r="DK308" i="29"/>
  <c r="DL308" i="29"/>
  <c r="DM308" i="29"/>
  <c r="DN308" i="29"/>
  <c r="DO308" i="29"/>
  <c r="DP308" i="29"/>
  <c r="DQ308" i="29"/>
  <c r="DR308" i="29"/>
  <c r="DS308" i="29"/>
  <c r="DT308" i="29"/>
  <c r="DU308" i="29"/>
  <c r="DV308" i="29"/>
  <c r="DW308" i="29"/>
  <c r="DX308" i="29"/>
  <c r="DY308" i="29"/>
  <c r="DZ308" i="29"/>
  <c r="EA308" i="29"/>
  <c r="EB308" i="29"/>
  <c r="EC308" i="29"/>
  <c r="ED308" i="29"/>
  <c r="EE308" i="29"/>
  <c r="EF308" i="29"/>
  <c r="EG308" i="29"/>
  <c r="EH308" i="29"/>
  <c r="EI308" i="29"/>
  <c r="EJ308" i="29"/>
  <c r="EK308" i="29"/>
  <c r="EL308" i="29"/>
  <c r="EM308" i="29"/>
  <c r="EN308" i="29"/>
  <c r="EO308" i="29"/>
  <c r="EP308" i="29"/>
  <c r="EQ308" i="29"/>
  <c r="ER308" i="29"/>
  <c r="ES308" i="29"/>
  <c r="ET308" i="29"/>
  <c r="EU308" i="29"/>
  <c r="EV308" i="29"/>
  <c r="EW308" i="29"/>
  <c r="EX308" i="29"/>
  <c r="EY308" i="29"/>
  <c r="EZ308" i="29"/>
  <c r="FA308" i="29"/>
  <c r="FB308" i="29"/>
  <c r="FC308" i="29"/>
  <c r="FD308" i="29"/>
  <c r="FE308" i="29"/>
  <c r="FF308" i="29"/>
  <c r="FG308" i="29"/>
  <c r="FH308" i="29"/>
  <c r="FI308" i="29"/>
  <c r="FJ308" i="29"/>
  <c r="FK308" i="29"/>
  <c r="FL308" i="29"/>
  <c r="FM308" i="29"/>
  <c r="FN308" i="29"/>
  <c r="FO308" i="29"/>
  <c r="FP308" i="29"/>
  <c r="FQ308" i="29"/>
  <c r="FR308" i="29"/>
  <c r="FS308" i="29"/>
  <c r="FT308" i="29"/>
  <c r="FU308" i="29"/>
  <c r="FV308" i="29"/>
  <c r="FW308" i="29"/>
  <c r="FX308" i="29"/>
  <c r="FY308" i="29"/>
  <c r="FZ308" i="29"/>
  <c r="GA308" i="29"/>
  <c r="GB308" i="29"/>
  <c r="GC308" i="29"/>
  <c r="GD308" i="29"/>
  <c r="GE308" i="29"/>
  <c r="GF308" i="29"/>
  <c r="GG308" i="29"/>
  <c r="GH308" i="29"/>
  <c r="GI308" i="29"/>
  <c r="GJ308" i="29"/>
  <c r="GK308" i="29"/>
  <c r="GL308" i="29"/>
  <c r="GM308" i="29"/>
  <c r="GN308" i="29"/>
  <c r="GO308" i="29"/>
  <c r="GP308" i="29"/>
  <c r="GQ308" i="29"/>
  <c r="GR308" i="29"/>
  <c r="GS308" i="29"/>
  <c r="GT308" i="29"/>
  <c r="GU308" i="29"/>
  <c r="GV308" i="29"/>
  <c r="GW308" i="29"/>
  <c r="GX308" i="29"/>
  <c r="GY308" i="29"/>
  <c r="GZ308" i="29"/>
  <c r="HA308" i="29"/>
  <c r="HB308" i="29"/>
  <c r="HC308" i="29"/>
  <c r="HD308" i="29"/>
  <c r="HE308" i="29"/>
  <c r="HF308" i="29"/>
  <c r="HG308" i="29"/>
  <c r="HH308" i="29"/>
  <c r="HI308" i="29"/>
  <c r="HJ308" i="29"/>
  <c r="HK308" i="29"/>
  <c r="HL308" i="29"/>
  <c r="HM308" i="29"/>
  <c r="HN308" i="29"/>
  <c r="HO308" i="29"/>
  <c r="HP308" i="29"/>
  <c r="HQ308" i="29"/>
  <c r="HR308" i="29"/>
  <c r="HS308" i="29"/>
  <c r="HT308" i="29"/>
  <c r="HU308" i="29"/>
  <c r="HV308" i="29"/>
  <c r="HW308" i="29"/>
  <c r="HX308" i="29"/>
  <c r="HY308" i="29"/>
  <c r="HZ308" i="29"/>
  <c r="IA308" i="29"/>
  <c r="IB308" i="29"/>
  <c r="IC308" i="29"/>
  <c r="ID308" i="29"/>
  <c r="IE308" i="29"/>
  <c r="IF308" i="29"/>
  <c r="IG308" i="29"/>
  <c r="IH308" i="29"/>
  <c r="II308" i="29"/>
  <c r="IJ308" i="29"/>
  <c r="IK308" i="29"/>
  <c r="IL308" i="29"/>
  <c r="IM308" i="29"/>
  <c r="IN308" i="29"/>
  <c r="IO308" i="29"/>
  <c r="IP308" i="29"/>
  <c r="IQ308" i="29"/>
  <c r="IR308" i="29"/>
  <c r="IS308" i="29"/>
  <c r="IT308" i="29"/>
  <c r="IU308" i="29"/>
  <c r="IV308" i="29"/>
  <c r="IW308" i="29"/>
  <c r="IX308" i="29"/>
  <c r="IY308" i="29"/>
  <c r="IZ308" i="29"/>
  <c r="JA308" i="29"/>
  <c r="JB308" i="29"/>
  <c r="JC308" i="29"/>
  <c r="JD308" i="29"/>
  <c r="JE308" i="29"/>
  <c r="JF308" i="29"/>
  <c r="JG308" i="29"/>
  <c r="JH308" i="29"/>
  <c r="JI308" i="29"/>
  <c r="JJ308" i="29"/>
  <c r="JK308" i="29"/>
  <c r="JL308" i="29"/>
  <c r="JM308" i="29"/>
  <c r="JN308" i="29"/>
  <c r="JO308" i="29"/>
  <c r="JP308" i="29"/>
  <c r="JQ308" i="29"/>
  <c r="JR308" i="29"/>
  <c r="JS308" i="29"/>
  <c r="JT308" i="29"/>
  <c r="JU308" i="29"/>
  <c r="JV308" i="29"/>
  <c r="JW308" i="29"/>
  <c r="JX308" i="29"/>
  <c r="JY308" i="29"/>
  <c r="JZ308" i="29"/>
  <c r="KA308" i="29"/>
  <c r="KB308" i="29"/>
  <c r="KC308" i="29"/>
  <c r="KD308" i="29"/>
  <c r="KE308" i="29"/>
  <c r="KF308" i="29"/>
  <c r="KG308" i="29"/>
  <c r="KH308" i="29"/>
  <c r="KI308" i="29"/>
  <c r="KJ308" i="29"/>
  <c r="KK308" i="29"/>
  <c r="KL308" i="29"/>
  <c r="KM308" i="29"/>
  <c r="KN308" i="29"/>
  <c r="KO308" i="29"/>
  <c r="KP308" i="29"/>
  <c r="KQ308" i="29"/>
  <c r="KR308" i="29"/>
  <c r="KS308" i="29"/>
  <c r="KT308" i="29"/>
  <c r="KU308" i="29"/>
  <c r="KV308" i="29"/>
  <c r="KW308" i="29"/>
  <c r="KX308" i="29"/>
  <c r="KY308" i="29"/>
  <c r="KZ308" i="29"/>
  <c r="LA308" i="29"/>
  <c r="LB308" i="29"/>
  <c r="LC308" i="29"/>
  <c r="LD308" i="29"/>
  <c r="LE308" i="29"/>
  <c r="LF308" i="29"/>
  <c r="LG308" i="29"/>
  <c r="LH308" i="29"/>
  <c r="LI308" i="29"/>
  <c r="LJ308" i="29"/>
  <c r="LK308" i="29"/>
  <c r="LL308" i="29"/>
  <c r="LM308" i="29"/>
  <c r="LN308" i="29"/>
  <c r="LO308" i="29"/>
  <c r="LP308" i="29"/>
  <c r="LQ308" i="29"/>
  <c r="LR308" i="29"/>
  <c r="LS308" i="29"/>
  <c r="LT308" i="29"/>
  <c r="LU308" i="29"/>
  <c r="LV308" i="29"/>
  <c r="LW308" i="29"/>
  <c r="LX308" i="29"/>
  <c r="LY308" i="29"/>
  <c r="LZ308" i="29"/>
  <c r="MA308" i="29"/>
  <c r="MB308" i="29"/>
  <c r="MC308" i="29"/>
  <c r="MD308" i="29"/>
  <c r="ME308" i="29"/>
  <c r="MF308" i="29"/>
  <c r="MG308" i="29"/>
  <c r="MH308" i="29"/>
  <c r="MI308" i="29"/>
  <c r="MJ308" i="29"/>
  <c r="MK308" i="29"/>
  <c r="ML308" i="29"/>
  <c r="MM308" i="29"/>
  <c r="MN308" i="29"/>
  <c r="MO308" i="29"/>
  <c r="MP308" i="29"/>
  <c r="MQ308" i="29"/>
  <c r="MR308" i="29"/>
  <c r="MS308" i="29"/>
  <c r="MT308" i="29"/>
  <c r="MU308" i="29"/>
  <c r="MV308" i="29"/>
  <c r="MW308" i="29"/>
  <c r="MX308" i="29"/>
  <c r="MY308" i="29"/>
  <c r="MZ308" i="29"/>
  <c r="NA308" i="29"/>
  <c r="NB308" i="29"/>
  <c r="NC308" i="29"/>
  <c r="ND308" i="29"/>
  <c r="NE308" i="29"/>
  <c r="NF308" i="29"/>
  <c r="NG308" i="29"/>
  <c r="NH308" i="29"/>
  <c r="NI308" i="29"/>
  <c r="NJ308" i="29"/>
  <c r="NK308" i="29"/>
  <c r="NL308" i="29"/>
  <c r="NM308" i="29"/>
  <c r="NN308" i="29"/>
  <c r="NO308" i="29"/>
  <c r="NP308" i="29"/>
  <c r="NQ308" i="29"/>
  <c r="NR308" i="29"/>
  <c r="NS308" i="29"/>
  <c r="NT308" i="29"/>
  <c r="NU308" i="29"/>
  <c r="NV308" i="29"/>
  <c r="NW308" i="29"/>
  <c r="NX308" i="29"/>
  <c r="NY308" i="29"/>
  <c r="NZ308" i="29"/>
  <c r="OA308" i="29"/>
  <c r="OB308" i="29"/>
  <c r="OC308" i="29"/>
  <c r="OD308" i="29"/>
  <c r="OE308" i="29"/>
  <c r="OF308" i="29"/>
  <c r="OG308" i="29"/>
  <c r="OH308" i="29"/>
  <c r="OI308" i="29"/>
  <c r="OJ308" i="29"/>
  <c r="OK308" i="29"/>
  <c r="OL308" i="29"/>
  <c r="OM308" i="29"/>
  <c r="ON308" i="29"/>
  <c r="OO308" i="29"/>
  <c r="OP308" i="29"/>
  <c r="OQ308" i="29"/>
  <c r="OR308" i="29"/>
  <c r="OS308" i="29"/>
  <c r="OT308" i="29"/>
  <c r="OU308" i="29"/>
  <c r="OV308" i="29"/>
  <c r="OW308" i="29"/>
  <c r="OX308" i="29"/>
  <c r="OY308" i="29"/>
  <c r="OZ308" i="29"/>
  <c r="PA308" i="29"/>
  <c r="PB308" i="29"/>
  <c r="PC308" i="29"/>
  <c r="PD308" i="29"/>
  <c r="PE308" i="29"/>
  <c r="PF308" i="29"/>
  <c r="PG308" i="29"/>
  <c r="PH308" i="29"/>
  <c r="PI308" i="29"/>
  <c r="PJ308" i="29"/>
  <c r="PK308" i="29"/>
  <c r="PL308" i="29"/>
  <c r="PM308" i="29"/>
  <c r="PN308" i="29"/>
  <c r="PO308" i="29"/>
  <c r="PP308" i="29"/>
  <c r="PQ308" i="29"/>
  <c r="PR308" i="29"/>
  <c r="PS308" i="29"/>
  <c r="PT308" i="29"/>
  <c r="PU308" i="29"/>
  <c r="PV308" i="29"/>
  <c r="PW308" i="29"/>
  <c r="PX308" i="29"/>
  <c r="PY308" i="29"/>
  <c r="PZ308" i="29"/>
  <c r="QA308" i="29"/>
  <c r="QB308" i="29"/>
  <c r="QC308" i="29"/>
  <c r="QD308" i="29"/>
  <c r="QE308" i="29"/>
  <c r="QF308" i="29"/>
  <c r="QG308" i="29"/>
  <c r="QH308" i="29"/>
  <c r="QI308" i="29"/>
  <c r="QJ308" i="29"/>
  <c r="QK308" i="29"/>
  <c r="QL308" i="29"/>
  <c r="QM308" i="29"/>
  <c r="QN308" i="29"/>
  <c r="QO308" i="29"/>
  <c r="QP308" i="29"/>
  <c r="QQ308" i="29"/>
  <c r="QR308" i="29"/>
  <c r="QS308" i="29"/>
  <c r="QT308" i="29"/>
  <c r="QU308" i="29"/>
  <c r="QV308" i="29"/>
  <c r="QW308" i="29"/>
  <c r="QX308" i="29"/>
  <c r="QY308" i="29"/>
  <c r="QZ308" i="29"/>
  <c r="RA308" i="29"/>
  <c r="RB308" i="29"/>
  <c r="RC308" i="29"/>
  <c r="RD308" i="29"/>
  <c r="RE308" i="29"/>
  <c r="RF308" i="29"/>
  <c r="RG308" i="29"/>
  <c r="RH308" i="29"/>
  <c r="RI308" i="29"/>
  <c r="RJ308" i="29"/>
  <c r="RK308" i="29"/>
  <c r="RL308" i="29"/>
  <c r="RM308" i="29"/>
  <c r="RN308" i="29"/>
  <c r="RO308" i="29"/>
  <c r="RP308" i="29"/>
  <c r="RQ308" i="29"/>
  <c r="RR308" i="29"/>
  <c r="RS308" i="29"/>
  <c r="RT308" i="29"/>
  <c r="RU308" i="29"/>
  <c r="RV308" i="29"/>
  <c r="RW308" i="29"/>
  <c r="RX308" i="29"/>
  <c r="RY308" i="29"/>
  <c r="RZ308" i="29"/>
  <c r="SA308" i="29"/>
  <c r="SB308" i="29"/>
  <c r="SC308" i="29"/>
  <c r="SD308" i="29"/>
  <c r="SE308" i="29"/>
  <c r="SF308" i="29"/>
  <c r="SG308" i="29"/>
  <c r="SH308" i="29"/>
  <c r="SI308" i="29"/>
  <c r="SJ308" i="29"/>
  <c r="SK308" i="29"/>
  <c r="SL308" i="29"/>
  <c r="SM308" i="29"/>
  <c r="SN308" i="29"/>
  <c r="SO308" i="29"/>
  <c r="SP308" i="29"/>
  <c r="SQ308" i="29"/>
  <c r="SR308" i="29"/>
  <c r="SS308" i="29"/>
  <c r="B309" i="29"/>
  <c r="C309" i="29"/>
  <c r="D309" i="29"/>
  <c r="E309" i="29"/>
  <c r="F309" i="29"/>
  <c r="G309" i="29"/>
  <c r="H309" i="29"/>
  <c r="I309" i="29"/>
  <c r="J309" i="29"/>
  <c r="K309" i="29"/>
  <c r="L309" i="29"/>
  <c r="M309" i="29"/>
  <c r="N309" i="29"/>
  <c r="O309" i="29"/>
  <c r="P309" i="29"/>
  <c r="Q309" i="29"/>
  <c r="R309" i="29"/>
  <c r="S309" i="29"/>
  <c r="T309" i="29"/>
  <c r="U309" i="29"/>
  <c r="V309" i="29"/>
  <c r="W309" i="29"/>
  <c r="X309" i="29"/>
  <c r="Y309" i="29"/>
  <c r="Z309" i="29"/>
  <c r="AA309" i="29"/>
  <c r="AB309" i="29"/>
  <c r="AC309" i="29"/>
  <c r="AD309" i="29"/>
  <c r="AE309" i="29"/>
  <c r="AF309" i="29"/>
  <c r="AG309" i="29"/>
  <c r="AH309" i="29"/>
  <c r="AI309" i="29"/>
  <c r="AJ309" i="29"/>
  <c r="AK309" i="29"/>
  <c r="AL309" i="29"/>
  <c r="AM309" i="29"/>
  <c r="AN309" i="29"/>
  <c r="AO309" i="29"/>
  <c r="AP309" i="29"/>
  <c r="AQ309" i="29"/>
  <c r="AR309" i="29"/>
  <c r="AS309" i="29"/>
  <c r="AT309" i="29"/>
  <c r="AU309" i="29"/>
  <c r="AV309" i="29"/>
  <c r="AW309" i="29"/>
  <c r="AX309" i="29"/>
  <c r="AY309" i="29"/>
  <c r="AZ309" i="29"/>
  <c r="BA309" i="29"/>
  <c r="BB309" i="29"/>
  <c r="BC309" i="29"/>
  <c r="BD309" i="29"/>
  <c r="BE309" i="29"/>
  <c r="BF309" i="29"/>
  <c r="BG309" i="29"/>
  <c r="BH309" i="29"/>
  <c r="BI309" i="29"/>
  <c r="BJ309" i="29"/>
  <c r="BK309" i="29"/>
  <c r="BL309" i="29"/>
  <c r="BM309" i="29"/>
  <c r="BN309" i="29"/>
  <c r="BO309" i="29"/>
  <c r="BP309" i="29"/>
  <c r="BQ309" i="29"/>
  <c r="BR309" i="29"/>
  <c r="BS309" i="29"/>
  <c r="BT309" i="29"/>
  <c r="BU309" i="29"/>
  <c r="BV309" i="29"/>
  <c r="BW309" i="29"/>
  <c r="BX309" i="29"/>
  <c r="BY309" i="29"/>
  <c r="BZ309" i="29"/>
  <c r="CA309" i="29"/>
  <c r="CB309" i="29"/>
  <c r="CC309" i="29"/>
  <c r="CD309" i="29"/>
  <c r="CE309" i="29"/>
  <c r="CF309" i="29"/>
  <c r="CG309" i="29"/>
  <c r="CH309" i="29"/>
  <c r="CI309" i="29"/>
  <c r="CJ309" i="29"/>
  <c r="CK309" i="29"/>
  <c r="CL309" i="29"/>
  <c r="CM309" i="29"/>
  <c r="CN309" i="29"/>
  <c r="CO309" i="29"/>
  <c r="CP309" i="29"/>
  <c r="CQ309" i="29"/>
  <c r="CR309" i="29"/>
  <c r="CS309" i="29"/>
  <c r="CT309" i="29"/>
  <c r="CU309" i="29"/>
  <c r="CV309" i="29"/>
  <c r="CW309" i="29"/>
  <c r="CX309" i="29"/>
  <c r="CY309" i="29"/>
  <c r="CZ309" i="29"/>
  <c r="DA309" i="29"/>
  <c r="DB309" i="29"/>
  <c r="DC309" i="29"/>
  <c r="DD309" i="29"/>
  <c r="DE309" i="29"/>
  <c r="DF309" i="29"/>
  <c r="DG309" i="29"/>
  <c r="DH309" i="29"/>
  <c r="DI309" i="29"/>
  <c r="DJ309" i="29"/>
  <c r="DK309" i="29"/>
  <c r="DL309" i="29"/>
  <c r="DM309" i="29"/>
  <c r="DN309" i="29"/>
  <c r="DO309" i="29"/>
  <c r="DP309" i="29"/>
  <c r="DQ309" i="29"/>
  <c r="DR309" i="29"/>
  <c r="DS309" i="29"/>
  <c r="DT309" i="29"/>
  <c r="DU309" i="29"/>
  <c r="DV309" i="29"/>
  <c r="DW309" i="29"/>
  <c r="DX309" i="29"/>
  <c r="DY309" i="29"/>
  <c r="DZ309" i="29"/>
  <c r="EA309" i="29"/>
  <c r="EB309" i="29"/>
  <c r="EC309" i="29"/>
  <c r="ED309" i="29"/>
  <c r="EE309" i="29"/>
  <c r="EF309" i="29"/>
  <c r="EG309" i="29"/>
  <c r="EH309" i="29"/>
  <c r="EI309" i="29"/>
  <c r="EJ309" i="29"/>
  <c r="EK309" i="29"/>
  <c r="EL309" i="29"/>
  <c r="EM309" i="29"/>
  <c r="EN309" i="29"/>
  <c r="EO309" i="29"/>
  <c r="EP309" i="29"/>
  <c r="EQ309" i="29"/>
  <c r="ER309" i="29"/>
  <c r="ES309" i="29"/>
  <c r="ET309" i="29"/>
  <c r="EU309" i="29"/>
  <c r="EV309" i="29"/>
  <c r="EW309" i="29"/>
  <c r="EX309" i="29"/>
  <c r="EY309" i="29"/>
  <c r="EZ309" i="29"/>
  <c r="FA309" i="29"/>
  <c r="FB309" i="29"/>
  <c r="FC309" i="29"/>
  <c r="FD309" i="29"/>
  <c r="FE309" i="29"/>
  <c r="FF309" i="29"/>
  <c r="FG309" i="29"/>
  <c r="FH309" i="29"/>
  <c r="FI309" i="29"/>
  <c r="FJ309" i="29"/>
  <c r="FK309" i="29"/>
  <c r="FL309" i="29"/>
  <c r="FM309" i="29"/>
  <c r="FN309" i="29"/>
  <c r="FO309" i="29"/>
  <c r="FP309" i="29"/>
  <c r="FQ309" i="29"/>
  <c r="FR309" i="29"/>
  <c r="FS309" i="29"/>
  <c r="FT309" i="29"/>
  <c r="FU309" i="29"/>
  <c r="FV309" i="29"/>
  <c r="FW309" i="29"/>
  <c r="FX309" i="29"/>
  <c r="FY309" i="29"/>
  <c r="FZ309" i="29"/>
  <c r="GA309" i="29"/>
  <c r="GB309" i="29"/>
  <c r="GC309" i="29"/>
  <c r="GD309" i="29"/>
  <c r="GE309" i="29"/>
  <c r="GF309" i="29"/>
  <c r="GG309" i="29"/>
  <c r="GH309" i="29"/>
  <c r="GI309" i="29"/>
  <c r="GJ309" i="29"/>
  <c r="GK309" i="29"/>
  <c r="GL309" i="29"/>
  <c r="GM309" i="29"/>
  <c r="GN309" i="29"/>
  <c r="GO309" i="29"/>
  <c r="GP309" i="29"/>
  <c r="GQ309" i="29"/>
  <c r="GR309" i="29"/>
  <c r="GS309" i="29"/>
  <c r="GT309" i="29"/>
  <c r="GU309" i="29"/>
  <c r="GV309" i="29"/>
  <c r="GW309" i="29"/>
  <c r="GX309" i="29"/>
  <c r="GY309" i="29"/>
  <c r="GZ309" i="29"/>
  <c r="HA309" i="29"/>
  <c r="HB309" i="29"/>
  <c r="HC309" i="29"/>
  <c r="HD309" i="29"/>
  <c r="HE309" i="29"/>
  <c r="HF309" i="29"/>
  <c r="HG309" i="29"/>
  <c r="HH309" i="29"/>
  <c r="HI309" i="29"/>
  <c r="HJ309" i="29"/>
  <c r="HK309" i="29"/>
  <c r="HL309" i="29"/>
  <c r="HM309" i="29"/>
  <c r="HN309" i="29"/>
  <c r="HO309" i="29"/>
  <c r="HP309" i="29"/>
  <c r="HQ309" i="29"/>
  <c r="HR309" i="29"/>
  <c r="HS309" i="29"/>
  <c r="HT309" i="29"/>
  <c r="HU309" i="29"/>
  <c r="HV309" i="29"/>
  <c r="HW309" i="29"/>
  <c r="HX309" i="29"/>
  <c r="HY309" i="29"/>
  <c r="HZ309" i="29"/>
  <c r="IA309" i="29"/>
  <c r="IB309" i="29"/>
  <c r="IC309" i="29"/>
  <c r="ID309" i="29"/>
  <c r="IE309" i="29"/>
  <c r="IF309" i="29"/>
  <c r="IG309" i="29"/>
  <c r="IH309" i="29"/>
  <c r="II309" i="29"/>
  <c r="IJ309" i="29"/>
  <c r="IK309" i="29"/>
  <c r="IL309" i="29"/>
  <c r="IM309" i="29"/>
  <c r="IN309" i="29"/>
  <c r="IO309" i="29"/>
  <c r="IP309" i="29"/>
  <c r="IQ309" i="29"/>
  <c r="IR309" i="29"/>
  <c r="IS309" i="29"/>
  <c r="IT309" i="29"/>
  <c r="IU309" i="29"/>
  <c r="IV309" i="29"/>
  <c r="IW309" i="29"/>
  <c r="IX309" i="29"/>
  <c r="IY309" i="29"/>
  <c r="IZ309" i="29"/>
  <c r="JA309" i="29"/>
  <c r="JB309" i="29"/>
  <c r="JC309" i="29"/>
  <c r="JD309" i="29"/>
  <c r="JE309" i="29"/>
  <c r="JF309" i="29"/>
  <c r="JG309" i="29"/>
  <c r="JH309" i="29"/>
  <c r="JI309" i="29"/>
  <c r="JJ309" i="29"/>
  <c r="JK309" i="29"/>
  <c r="JL309" i="29"/>
  <c r="JM309" i="29"/>
  <c r="JN309" i="29"/>
  <c r="JO309" i="29"/>
  <c r="JP309" i="29"/>
  <c r="JQ309" i="29"/>
  <c r="JR309" i="29"/>
  <c r="JS309" i="29"/>
  <c r="JT309" i="29"/>
  <c r="JU309" i="29"/>
  <c r="JV309" i="29"/>
  <c r="JW309" i="29"/>
  <c r="JX309" i="29"/>
  <c r="JY309" i="29"/>
  <c r="JZ309" i="29"/>
  <c r="KA309" i="29"/>
  <c r="KB309" i="29"/>
  <c r="KC309" i="29"/>
  <c r="KD309" i="29"/>
  <c r="KE309" i="29"/>
  <c r="KF309" i="29"/>
  <c r="KG309" i="29"/>
  <c r="KH309" i="29"/>
  <c r="KI309" i="29"/>
  <c r="KJ309" i="29"/>
  <c r="KK309" i="29"/>
  <c r="KL309" i="29"/>
  <c r="KM309" i="29"/>
  <c r="KN309" i="29"/>
  <c r="KO309" i="29"/>
  <c r="KP309" i="29"/>
  <c r="KQ309" i="29"/>
  <c r="KR309" i="29"/>
  <c r="KS309" i="29"/>
  <c r="KT309" i="29"/>
  <c r="KU309" i="29"/>
  <c r="KV309" i="29"/>
  <c r="KW309" i="29"/>
  <c r="KX309" i="29"/>
  <c r="KY309" i="29"/>
  <c r="KZ309" i="29"/>
  <c r="LA309" i="29"/>
  <c r="LB309" i="29"/>
  <c r="LC309" i="29"/>
  <c r="LD309" i="29"/>
  <c r="LE309" i="29"/>
  <c r="LF309" i="29"/>
  <c r="LG309" i="29"/>
  <c r="LH309" i="29"/>
  <c r="LI309" i="29"/>
  <c r="LJ309" i="29"/>
  <c r="LK309" i="29"/>
  <c r="LL309" i="29"/>
  <c r="LM309" i="29"/>
  <c r="LN309" i="29"/>
  <c r="LO309" i="29"/>
  <c r="LP309" i="29"/>
  <c r="LQ309" i="29"/>
  <c r="LR309" i="29"/>
  <c r="LS309" i="29"/>
  <c r="LT309" i="29"/>
  <c r="LU309" i="29"/>
  <c r="LV309" i="29"/>
  <c r="LW309" i="29"/>
  <c r="LX309" i="29"/>
  <c r="LY309" i="29"/>
  <c r="LZ309" i="29"/>
  <c r="MA309" i="29"/>
  <c r="MB309" i="29"/>
  <c r="MC309" i="29"/>
  <c r="MD309" i="29"/>
  <c r="ME309" i="29"/>
  <c r="MF309" i="29"/>
  <c r="MG309" i="29"/>
  <c r="MH309" i="29"/>
  <c r="MI309" i="29"/>
  <c r="MJ309" i="29"/>
  <c r="MK309" i="29"/>
  <c r="ML309" i="29"/>
  <c r="MM309" i="29"/>
  <c r="MN309" i="29"/>
  <c r="MO309" i="29"/>
  <c r="MP309" i="29"/>
  <c r="MQ309" i="29"/>
  <c r="MR309" i="29"/>
  <c r="MS309" i="29"/>
  <c r="MT309" i="29"/>
  <c r="MU309" i="29"/>
  <c r="MV309" i="29"/>
  <c r="MW309" i="29"/>
  <c r="MX309" i="29"/>
  <c r="MY309" i="29"/>
  <c r="MZ309" i="29"/>
  <c r="NA309" i="29"/>
  <c r="NB309" i="29"/>
  <c r="NC309" i="29"/>
  <c r="ND309" i="29"/>
  <c r="NE309" i="29"/>
  <c r="NF309" i="29"/>
  <c r="NG309" i="29"/>
  <c r="NH309" i="29"/>
  <c r="NI309" i="29"/>
  <c r="NJ309" i="29"/>
  <c r="NK309" i="29"/>
  <c r="NL309" i="29"/>
  <c r="NM309" i="29"/>
  <c r="NN309" i="29"/>
  <c r="NO309" i="29"/>
  <c r="NP309" i="29"/>
  <c r="NQ309" i="29"/>
  <c r="NR309" i="29"/>
  <c r="NS309" i="29"/>
  <c r="NT309" i="29"/>
  <c r="NU309" i="29"/>
  <c r="NV309" i="29"/>
  <c r="NW309" i="29"/>
  <c r="NX309" i="29"/>
  <c r="NY309" i="29"/>
  <c r="NZ309" i="29"/>
  <c r="OA309" i="29"/>
  <c r="OB309" i="29"/>
  <c r="OC309" i="29"/>
  <c r="OD309" i="29"/>
  <c r="OE309" i="29"/>
  <c r="OF309" i="29"/>
  <c r="OG309" i="29"/>
  <c r="OH309" i="29"/>
  <c r="OI309" i="29"/>
  <c r="OJ309" i="29"/>
  <c r="OK309" i="29"/>
  <c r="OL309" i="29"/>
  <c r="OM309" i="29"/>
  <c r="ON309" i="29"/>
  <c r="OO309" i="29"/>
  <c r="OP309" i="29"/>
  <c r="OQ309" i="29"/>
  <c r="OR309" i="29"/>
  <c r="OS309" i="29"/>
  <c r="OT309" i="29"/>
  <c r="OU309" i="29"/>
  <c r="OV309" i="29"/>
  <c r="OW309" i="29"/>
  <c r="OX309" i="29"/>
  <c r="OY309" i="29"/>
  <c r="OZ309" i="29"/>
  <c r="PA309" i="29"/>
  <c r="PB309" i="29"/>
  <c r="PC309" i="29"/>
  <c r="PD309" i="29"/>
  <c r="PE309" i="29"/>
  <c r="PF309" i="29"/>
  <c r="PG309" i="29"/>
  <c r="PH309" i="29"/>
  <c r="PI309" i="29"/>
  <c r="PJ309" i="29"/>
  <c r="PK309" i="29"/>
  <c r="PL309" i="29"/>
  <c r="PM309" i="29"/>
  <c r="PN309" i="29"/>
  <c r="PO309" i="29"/>
  <c r="PP309" i="29"/>
  <c r="PQ309" i="29"/>
  <c r="PR309" i="29"/>
  <c r="PS309" i="29"/>
  <c r="PT309" i="29"/>
  <c r="PU309" i="29"/>
  <c r="PV309" i="29"/>
  <c r="PW309" i="29"/>
  <c r="PX309" i="29"/>
  <c r="PY309" i="29"/>
  <c r="PZ309" i="29"/>
  <c r="QA309" i="29"/>
  <c r="QB309" i="29"/>
  <c r="QC309" i="29"/>
  <c r="QD309" i="29"/>
  <c r="QE309" i="29"/>
  <c r="QF309" i="29"/>
  <c r="QG309" i="29"/>
  <c r="QH309" i="29"/>
  <c r="QI309" i="29"/>
  <c r="QJ309" i="29"/>
  <c r="QK309" i="29"/>
  <c r="QL309" i="29"/>
  <c r="QM309" i="29"/>
  <c r="QN309" i="29"/>
  <c r="QO309" i="29"/>
  <c r="QP309" i="29"/>
  <c r="QQ309" i="29"/>
  <c r="QR309" i="29"/>
  <c r="QS309" i="29"/>
  <c r="QT309" i="29"/>
  <c r="QU309" i="29"/>
  <c r="QV309" i="29"/>
  <c r="QW309" i="29"/>
  <c r="QX309" i="29"/>
  <c r="QY309" i="29"/>
  <c r="QZ309" i="29"/>
  <c r="RA309" i="29"/>
  <c r="RB309" i="29"/>
  <c r="RC309" i="29"/>
  <c r="RD309" i="29"/>
  <c r="RE309" i="29"/>
  <c r="RF309" i="29"/>
  <c r="RG309" i="29"/>
  <c r="RH309" i="29"/>
  <c r="RI309" i="29"/>
  <c r="RJ309" i="29"/>
  <c r="RK309" i="29"/>
  <c r="RL309" i="29"/>
  <c r="RM309" i="29"/>
  <c r="RN309" i="29"/>
  <c r="RO309" i="29"/>
  <c r="RP309" i="29"/>
  <c r="RQ309" i="29"/>
  <c r="RR309" i="29"/>
  <c r="RS309" i="29"/>
  <c r="RT309" i="29"/>
  <c r="RU309" i="29"/>
  <c r="RV309" i="29"/>
  <c r="RW309" i="29"/>
  <c r="RX309" i="29"/>
  <c r="RY309" i="29"/>
  <c r="RZ309" i="29"/>
  <c r="SA309" i="29"/>
  <c r="SB309" i="29"/>
  <c r="SC309" i="29"/>
  <c r="SD309" i="29"/>
  <c r="SE309" i="29"/>
  <c r="SF309" i="29"/>
  <c r="SG309" i="29"/>
  <c r="SH309" i="29"/>
  <c r="SI309" i="29"/>
  <c r="SJ309" i="29"/>
  <c r="SK309" i="29"/>
  <c r="SL309" i="29"/>
  <c r="SM309" i="29"/>
  <c r="SN309" i="29"/>
  <c r="SO309" i="29"/>
  <c r="SP309" i="29"/>
  <c r="SQ309" i="29"/>
  <c r="SR309" i="29"/>
  <c r="SS309" i="29"/>
  <c r="B310" i="29"/>
  <c r="C310" i="29"/>
  <c r="D310" i="29"/>
  <c r="E310" i="29"/>
  <c r="F310" i="29"/>
  <c r="G310" i="29"/>
  <c r="H310" i="29"/>
  <c r="I310" i="29"/>
  <c r="J310" i="29"/>
  <c r="K310" i="29"/>
  <c r="L310" i="29"/>
  <c r="M310" i="29"/>
  <c r="N310" i="29"/>
  <c r="O310" i="29"/>
  <c r="P310" i="29"/>
  <c r="Q310" i="29"/>
  <c r="R310" i="29"/>
  <c r="S310" i="29"/>
  <c r="T310" i="29"/>
  <c r="U310" i="29"/>
  <c r="V310" i="29"/>
  <c r="W310" i="29"/>
  <c r="X310" i="29"/>
  <c r="Y310" i="29"/>
  <c r="Z310" i="29"/>
  <c r="AA310" i="29"/>
  <c r="AB310" i="29"/>
  <c r="AC310" i="29"/>
  <c r="AD310" i="29"/>
  <c r="AE310" i="29"/>
  <c r="AF310" i="29"/>
  <c r="AG310" i="29"/>
  <c r="AH310" i="29"/>
  <c r="AI310" i="29"/>
  <c r="AJ310" i="29"/>
  <c r="AK310" i="29"/>
  <c r="AL310" i="29"/>
  <c r="AM310" i="29"/>
  <c r="AN310" i="29"/>
  <c r="AO310" i="29"/>
  <c r="AP310" i="29"/>
  <c r="AQ310" i="29"/>
  <c r="AR310" i="29"/>
  <c r="AS310" i="29"/>
  <c r="AT310" i="29"/>
  <c r="AU310" i="29"/>
  <c r="AV310" i="29"/>
  <c r="AW310" i="29"/>
  <c r="AX310" i="29"/>
  <c r="AY310" i="29"/>
  <c r="AZ310" i="29"/>
  <c r="BA310" i="29"/>
  <c r="BB310" i="29"/>
  <c r="BC310" i="29"/>
  <c r="BD310" i="29"/>
  <c r="BE310" i="29"/>
  <c r="BF310" i="29"/>
  <c r="BG310" i="29"/>
  <c r="BH310" i="29"/>
  <c r="BI310" i="29"/>
  <c r="BJ310" i="29"/>
  <c r="BK310" i="29"/>
  <c r="BL310" i="29"/>
  <c r="BM310" i="29"/>
  <c r="BN310" i="29"/>
  <c r="BO310" i="29"/>
  <c r="BP310" i="29"/>
  <c r="BQ310" i="29"/>
  <c r="BR310" i="29"/>
  <c r="BS310" i="29"/>
  <c r="BT310" i="29"/>
  <c r="BU310" i="29"/>
  <c r="BV310" i="29"/>
  <c r="BW310" i="29"/>
  <c r="BX310" i="29"/>
  <c r="BY310" i="29"/>
  <c r="BZ310" i="29"/>
  <c r="CA310" i="29"/>
  <c r="CB310" i="29"/>
  <c r="CC310" i="29"/>
  <c r="CD310" i="29"/>
  <c r="CE310" i="29"/>
  <c r="CF310" i="29"/>
  <c r="CG310" i="29"/>
  <c r="CH310" i="29"/>
  <c r="CI310" i="29"/>
  <c r="CJ310" i="29"/>
  <c r="CK310" i="29"/>
  <c r="CL310" i="29"/>
  <c r="CM310" i="29"/>
  <c r="CN310" i="29"/>
  <c r="CO310" i="29"/>
  <c r="CP310" i="29"/>
  <c r="CQ310" i="29"/>
  <c r="CR310" i="29"/>
  <c r="CS310" i="29"/>
  <c r="CT310" i="29"/>
  <c r="CU310" i="29"/>
  <c r="CV310" i="29"/>
  <c r="CW310" i="29"/>
  <c r="CX310" i="29"/>
  <c r="CY310" i="29"/>
  <c r="CZ310" i="29"/>
  <c r="DA310" i="29"/>
  <c r="DB310" i="29"/>
  <c r="DC310" i="29"/>
  <c r="DD310" i="29"/>
  <c r="DE310" i="29"/>
  <c r="DF310" i="29"/>
  <c r="DG310" i="29"/>
  <c r="DH310" i="29"/>
  <c r="DI310" i="29"/>
  <c r="DJ310" i="29"/>
  <c r="DK310" i="29"/>
  <c r="DL310" i="29"/>
  <c r="DM310" i="29"/>
  <c r="DN310" i="29"/>
  <c r="DO310" i="29"/>
  <c r="DP310" i="29"/>
  <c r="DQ310" i="29"/>
  <c r="DR310" i="29"/>
  <c r="DS310" i="29"/>
  <c r="DT310" i="29"/>
  <c r="DU310" i="29"/>
  <c r="DV310" i="29"/>
  <c r="DW310" i="29"/>
  <c r="DX310" i="29"/>
  <c r="DY310" i="29"/>
  <c r="DZ310" i="29"/>
  <c r="EA310" i="29"/>
  <c r="EB310" i="29"/>
  <c r="EC310" i="29"/>
  <c r="ED310" i="29"/>
  <c r="EE310" i="29"/>
  <c r="EF310" i="29"/>
  <c r="EG310" i="29"/>
  <c r="EH310" i="29"/>
  <c r="EI310" i="29"/>
  <c r="EJ310" i="29"/>
  <c r="EK310" i="29"/>
  <c r="EL310" i="29"/>
  <c r="EM310" i="29"/>
  <c r="EN310" i="29"/>
  <c r="EO310" i="29"/>
  <c r="EP310" i="29"/>
  <c r="EQ310" i="29"/>
  <c r="ER310" i="29"/>
  <c r="ES310" i="29"/>
  <c r="ET310" i="29"/>
  <c r="EU310" i="29"/>
  <c r="EV310" i="29"/>
  <c r="EW310" i="29"/>
  <c r="EX310" i="29"/>
  <c r="EY310" i="29"/>
  <c r="EZ310" i="29"/>
  <c r="FA310" i="29"/>
  <c r="FB310" i="29"/>
  <c r="FC310" i="29"/>
  <c r="FD310" i="29"/>
  <c r="FE310" i="29"/>
  <c r="FF310" i="29"/>
  <c r="FG310" i="29"/>
  <c r="FH310" i="29"/>
  <c r="FI310" i="29"/>
  <c r="FJ310" i="29"/>
  <c r="FK310" i="29"/>
  <c r="FL310" i="29"/>
  <c r="FM310" i="29"/>
  <c r="FN310" i="29"/>
  <c r="FO310" i="29"/>
  <c r="FP310" i="29"/>
  <c r="FQ310" i="29"/>
  <c r="FR310" i="29"/>
  <c r="FS310" i="29"/>
  <c r="FT310" i="29"/>
  <c r="FU310" i="29"/>
  <c r="FV310" i="29"/>
  <c r="FW310" i="29"/>
  <c r="FX310" i="29"/>
  <c r="FY310" i="29"/>
  <c r="FZ310" i="29"/>
  <c r="GA310" i="29"/>
  <c r="GB310" i="29"/>
  <c r="GC310" i="29"/>
  <c r="GD310" i="29"/>
  <c r="GE310" i="29"/>
  <c r="GF310" i="29"/>
  <c r="GG310" i="29"/>
  <c r="GH310" i="29"/>
  <c r="GI310" i="29"/>
  <c r="GJ310" i="29"/>
  <c r="GK310" i="29"/>
  <c r="GL310" i="29"/>
  <c r="GM310" i="29"/>
  <c r="GN310" i="29"/>
  <c r="GO310" i="29"/>
  <c r="GP310" i="29"/>
  <c r="GQ310" i="29"/>
  <c r="GR310" i="29"/>
  <c r="GS310" i="29"/>
  <c r="GT310" i="29"/>
  <c r="GU310" i="29"/>
  <c r="GV310" i="29"/>
  <c r="GW310" i="29"/>
  <c r="GX310" i="29"/>
  <c r="GY310" i="29"/>
  <c r="GZ310" i="29"/>
  <c r="HA310" i="29"/>
  <c r="HB310" i="29"/>
  <c r="HC310" i="29"/>
  <c r="HD310" i="29"/>
  <c r="HE310" i="29"/>
  <c r="HF310" i="29"/>
  <c r="HG310" i="29"/>
  <c r="HH310" i="29"/>
  <c r="HI310" i="29"/>
  <c r="HJ310" i="29"/>
  <c r="HK310" i="29"/>
  <c r="HL310" i="29"/>
  <c r="HM310" i="29"/>
  <c r="HN310" i="29"/>
  <c r="HO310" i="29"/>
  <c r="HP310" i="29"/>
  <c r="HQ310" i="29"/>
  <c r="HR310" i="29"/>
  <c r="HS310" i="29"/>
  <c r="HT310" i="29"/>
  <c r="HU310" i="29"/>
  <c r="HV310" i="29"/>
  <c r="HW310" i="29"/>
  <c r="HX310" i="29"/>
  <c r="HY310" i="29"/>
  <c r="HZ310" i="29"/>
  <c r="IA310" i="29"/>
  <c r="IB310" i="29"/>
  <c r="IC310" i="29"/>
  <c r="ID310" i="29"/>
  <c r="IE310" i="29"/>
  <c r="IF310" i="29"/>
  <c r="IG310" i="29"/>
  <c r="IH310" i="29"/>
  <c r="II310" i="29"/>
  <c r="IJ310" i="29"/>
  <c r="IK310" i="29"/>
  <c r="IL310" i="29"/>
  <c r="IM310" i="29"/>
  <c r="IN310" i="29"/>
  <c r="IO310" i="29"/>
  <c r="IP310" i="29"/>
  <c r="IQ310" i="29"/>
  <c r="IR310" i="29"/>
  <c r="IS310" i="29"/>
  <c r="IT310" i="29"/>
  <c r="IU310" i="29"/>
  <c r="IV310" i="29"/>
  <c r="IW310" i="29"/>
  <c r="IX310" i="29"/>
  <c r="IY310" i="29"/>
  <c r="IZ310" i="29"/>
  <c r="JA310" i="29"/>
  <c r="JB310" i="29"/>
  <c r="JC310" i="29"/>
  <c r="JD310" i="29"/>
  <c r="JE310" i="29"/>
  <c r="JF310" i="29"/>
  <c r="JG310" i="29"/>
  <c r="JH310" i="29"/>
  <c r="JI310" i="29"/>
  <c r="JJ310" i="29"/>
  <c r="JK310" i="29"/>
  <c r="JL310" i="29"/>
  <c r="JM310" i="29"/>
  <c r="JN310" i="29"/>
  <c r="JO310" i="29"/>
  <c r="JP310" i="29"/>
  <c r="JQ310" i="29"/>
  <c r="JR310" i="29"/>
  <c r="JS310" i="29"/>
  <c r="JT310" i="29"/>
  <c r="JU310" i="29"/>
  <c r="JV310" i="29"/>
  <c r="JW310" i="29"/>
  <c r="JX310" i="29"/>
  <c r="JY310" i="29"/>
  <c r="JZ310" i="29"/>
  <c r="KA310" i="29"/>
  <c r="KB310" i="29"/>
  <c r="KC310" i="29"/>
  <c r="KD310" i="29"/>
  <c r="KE310" i="29"/>
  <c r="KF310" i="29"/>
  <c r="KG310" i="29"/>
  <c r="KH310" i="29"/>
  <c r="KI310" i="29"/>
  <c r="KJ310" i="29"/>
  <c r="KK310" i="29"/>
  <c r="KL310" i="29"/>
  <c r="KM310" i="29"/>
  <c r="KN310" i="29"/>
  <c r="KO310" i="29"/>
  <c r="KP310" i="29"/>
  <c r="KQ310" i="29"/>
  <c r="KR310" i="29"/>
  <c r="KS310" i="29"/>
  <c r="KT310" i="29"/>
  <c r="KU310" i="29"/>
  <c r="KV310" i="29"/>
  <c r="KW310" i="29"/>
  <c r="KX310" i="29"/>
  <c r="KY310" i="29"/>
  <c r="KZ310" i="29"/>
  <c r="LA310" i="29"/>
  <c r="LB310" i="29"/>
  <c r="LC310" i="29"/>
  <c r="LD310" i="29"/>
  <c r="LE310" i="29"/>
  <c r="LF310" i="29"/>
  <c r="LG310" i="29"/>
  <c r="LH310" i="29"/>
  <c r="LI310" i="29"/>
  <c r="LJ310" i="29"/>
  <c r="LK310" i="29"/>
  <c r="LL310" i="29"/>
  <c r="LM310" i="29"/>
  <c r="LN310" i="29"/>
  <c r="LO310" i="29"/>
  <c r="LP310" i="29"/>
  <c r="LQ310" i="29"/>
  <c r="LR310" i="29"/>
  <c r="LS310" i="29"/>
  <c r="LT310" i="29"/>
  <c r="LU310" i="29"/>
  <c r="LV310" i="29"/>
  <c r="LW310" i="29"/>
  <c r="LX310" i="29"/>
  <c r="LY310" i="29"/>
  <c r="LZ310" i="29"/>
  <c r="MA310" i="29"/>
  <c r="MB310" i="29"/>
  <c r="MC310" i="29"/>
  <c r="MD310" i="29"/>
  <c r="ME310" i="29"/>
  <c r="MF310" i="29"/>
  <c r="MG310" i="29"/>
  <c r="MH310" i="29"/>
  <c r="MI310" i="29"/>
  <c r="MJ310" i="29"/>
  <c r="MK310" i="29"/>
  <c r="ML310" i="29"/>
  <c r="MM310" i="29"/>
  <c r="MN310" i="29"/>
  <c r="MO310" i="29"/>
  <c r="MP310" i="29"/>
  <c r="MQ310" i="29"/>
  <c r="MR310" i="29"/>
  <c r="MS310" i="29"/>
  <c r="MT310" i="29"/>
  <c r="MU310" i="29"/>
  <c r="MV310" i="29"/>
  <c r="MW310" i="29"/>
  <c r="MX310" i="29"/>
  <c r="MY310" i="29"/>
  <c r="MZ310" i="29"/>
  <c r="NA310" i="29"/>
  <c r="NB310" i="29"/>
  <c r="NC310" i="29"/>
  <c r="ND310" i="29"/>
  <c r="NE310" i="29"/>
  <c r="NF310" i="29"/>
  <c r="NG310" i="29"/>
  <c r="NH310" i="29"/>
  <c r="NI310" i="29"/>
  <c r="NJ310" i="29"/>
  <c r="NK310" i="29"/>
  <c r="NL310" i="29"/>
  <c r="NM310" i="29"/>
  <c r="NN310" i="29"/>
  <c r="NO310" i="29"/>
  <c r="NP310" i="29"/>
  <c r="NQ310" i="29"/>
  <c r="NR310" i="29"/>
  <c r="NS310" i="29"/>
  <c r="NT310" i="29"/>
  <c r="NU310" i="29"/>
  <c r="NV310" i="29"/>
  <c r="NW310" i="29"/>
  <c r="NX310" i="29"/>
  <c r="NY310" i="29"/>
  <c r="NZ310" i="29"/>
  <c r="OA310" i="29"/>
  <c r="OB310" i="29"/>
  <c r="OC310" i="29"/>
  <c r="OD310" i="29"/>
  <c r="OE310" i="29"/>
  <c r="OF310" i="29"/>
  <c r="OG310" i="29"/>
  <c r="OH310" i="29"/>
  <c r="OI310" i="29"/>
  <c r="OJ310" i="29"/>
  <c r="OK310" i="29"/>
  <c r="OL310" i="29"/>
  <c r="OM310" i="29"/>
  <c r="ON310" i="29"/>
  <c r="OO310" i="29"/>
  <c r="OP310" i="29"/>
  <c r="OQ310" i="29"/>
  <c r="OR310" i="29"/>
  <c r="OS310" i="29"/>
  <c r="OT310" i="29"/>
  <c r="OU310" i="29"/>
  <c r="OV310" i="29"/>
  <c r="OW310" i="29"/>
  <c r="OX310" i="29"/>
  <c r="OY310" i="29"/>
  <c r="OZ310" i="29"/>
  <c r="PA310" i="29"/>
  <c r="PB310" i="29"/>
  <c r="PC310" i="29"/>
  <c r="PD310" i="29"/>
  <c r="PE310" i="29"/>
  <c r="PF310" i="29"/>
  <c r="PG310" i="29"/>
  <c r="PH310" i="29"/>
  <c r="PI310" i="29"/>
  <c r="PJ310" i="29"/>
  <c r="PK310" i="29"/>
  <c r="PL310" i="29"/>
  <c r="PM310" i="29"/>
  <c r="PN310" i="29"/>
  <c r="PO310" i="29"/>
  <c r="PP310" i="29"/>
  <c r="PQ310" i="29"/>
  <c r="PR310" i="29"/>
  <c r="PS310" i="29"/>
  <c r="PT310" i="29"/>
  <c r="PU310" i="29"/>
  <c r="PV310" i="29"/>
  <c r="PW310" i="29"/>
  <c r="PX310" i="29"/>
  <c r="PY310" i="29"/>
  <c r="PZ310" i="29"/>
  <c r="QA310" i="29"/>
  <c r="QB310" i="29"/>
  <c r="QC310" i="29"/>
  <c r="QD310" i="29"/>
  <c r="QE310" i="29"/>
  <c r="QF310" i="29"/>
  <c r="QG310" i="29"/>
  <c r="QH310" i="29"/>
  <c r="QI310" i="29"/>
  <c r="QJ310" i="29"/>
  <c r="QK310" i="29"/>
  <c r="QL310" i="29"/>
  <c r="QM310" i="29"/>
  <c r="QN310" i="29"/>
  <c r="QO310" i="29"/>
  <c r="QP310" i="29"/>
  <c r="QQ310" i="29"/>
  <c r="QR310" i="29"/>
  <c r="QS310" i="29"/>
  <c r="QT310" i="29"/>
  <c r="QU310" i="29"/>
  <c r="QV310" i="29"/>
  <c r="QW310" i="29"/>
  <c r="QX310" i="29"/>
  <c r="QY310" i="29"/>
  <c r="QZ310" i="29"/>
  <c r="RA310" i="29"/>
  <c r="RB310" i="29"/>
  <c r="RC310" i="29"/>
  <c r="RD310" i="29"/>
  <c r="RE310" i="29"/>
  <c r="RF310" i="29"/>
  <c r="RG310" i="29"/>
  <c r="RH310" i="29"/>
  <c r="RI310" i="29"/>
  <c r="RJ310" i="29"/>
  <c r="RK310" i="29"/>
  <c r="RL310" i="29"/>
  <c r="RM310" i="29"/>
  <c r="RN310" i="29"/>
  <c r="RO310" i="29"/>
  <c r="RP310" i="29"/>
  <c r="RQ310" i="29"/>
  <c r="RR310" i="29"/>
  <c r="RS310" i="29"/>
  <c r="RT310" i="29"/>
  <c r="RU310" i="29"/>
  <c r="RV310" i="29"/>
  <c r="RW310" i="29"/>
  <c r="RX310" i="29"/>
  <c r="RY310" i="29"/>
  <c r="RZ310" i="29"/>
  <c r="SA310" i="29"/>
  <c r="SB310" i="29"/>
  <c r="SC310" i="29"/>
  <c r="SD310" i="29"/>
  <c r="SE310" i="29"/>
  <c r="SF310" i="29"/>
  <c r="SG310" i="29"/>
  <c r="SH310" i="29"/>
  <c r="SI310" i="29"/>
  <c r="SJ310" i="29"/>
  <c r="SK310" i="29"/>
  <c r="SL310" i="29"/>
  <c r="SM310" i="29"/>
  <c r="SN310" i="29"/>
  <c r="SO310" i="29"/>
  <c r="SP310" i="29"/>
  <c r="SQ310" i="29"/>
  <c r="SR310" i="29"/>
  <c r="SS310" i="29"/>
  <c r="B311" i="29"/>
  <c r="C311" i="29"/>
  <c r="D311" i="29"/>
  <c r="E311" i="29"/>
  <c r="F311" i="29"/>
  <c r="G311" i="29"/>
  <c r="H311" i="29"/>
  <c r="I311" i="29"/>
  <c r="J311" i="29"/>
  <c r="K311" i="29"/>
  <c r="L311" i="29"/>
  <c r="M311" i="29"/>
  <c r="N311" i="29"/>
  <c r="O311" i="29"/>
  <c r="P311" i="29"/>
  <c r="Q311" i="29"/>
  <c r="R311" i="29"/>
  <c r="S311" i="29"/>
  <c r="T311" i="29"/>
  <c r="U311" i="29"/>
  <c r="V311" i="29"/>
  <c r="W311" i="29"/>
  <c r="X311" i="29"/>
  <c r="Y311" i="29"/>
  <c r="Z311" i="29"/>
  <c r="AA311" i="29"/>
  <c r="AB311" i="29"/>
  <c r="AC311" i="29"/>
  <c r="AD311" i="29"/>
  <c r="AE311" i="29"/>
  <c r="AF311" i="29"/>
  <c r="AG311" i="29"/>
  <c r="AH311" i="29"/>
  <c r="AI311" i="29"/>
  <c r="AJ311" i="29"/>
  <c r="AK311" i="29"/>
  <c r="AL311" i="29"/>
  <c r="AM311" i="29"/>
  <c r="AN311" i="29"/>
  <c r="AO311" i="29"/>
  <c r="AP311" i="29"/>
  <c r="AQ311" i="29"/>
  <c r="AR311" i="29"/>
  <c r="AS311" i="29"/>
  <c r="AT311" i="29"/>
  <c r="AU311" i="29"/>
  <c r="AV311" i="29"/>
  <c r="AW311" i="29"/>
  <c r="AX311" i="29"/>
  <c r="AY311" i="29"/>
  <c r="AZ311" i="29"/>
  <c r="BA311" i="29"/>
  <c r="BB311" i="29"/>
  <c r="BC311" i="29"/>
  <c r="BD311" i="29"/>
  <c r="BE311" i="29"/>
  <c r="BF311" i="29"/>
  <c r="BG311" i="29"/>
  <c r="BH311" i="29"/>
  <c r="BI311" i="29"/>
  <c r="BJ311" i="29"/>
  <c r="BK311" i="29"/>
  <c r="BL311" i="29"/>
  <c r="BM311" i="29"/>
  <c r="BN311" i="29"/>
  <c r="BO311" i="29"/>
  <c r="BP311" i="29"/>
  <c r="BQ311" i="29"/>
  <c r="BR311" i="29"/>
  <c r="BS311" i="29"/>
  <c r="BT311" i="29"/>
  <c r="BU311" i="29"/>
  <c r="BV311" i="29"/>
  <c r="BW311" i="29"/>
  <c r="BX311" i="29"/>
  <c r="BY311" i="29"/>
  <c r="BZ311" i="29"/>
  <c r="CA311" i="29"/>
  <c r="CB311" i="29"/>
  <c r="CC311" i="29"/>
  <c r="CD311" i="29"/>
  <c r="CE311" i="29"/>
  <c r="CF311" i="29"/>
  <c r="CG311" i="29"/>
  <c r="CH311" i="29"/>
  <c r="CI311" i="29"/>
  <c r="CJ311" i="29"/>
  <c r="CK311" i="29"/>
  <c r="CL311" i="29"/>
  <c r="CM311" i="29"/>
  <c r="CN311" i="29"/>
  <c r="CO311" i="29"/>
  <c r="CP311" i="29"/>
  <c r="CQ311" i="29"/>
  <c r="CR311" i="29"/>
  <c r="CS311" i="29"/>
  <c r="CT311" i="29"/>
  <c r="CU311" i="29"/>
  <c r="CV311" i="29"/>
  <c r="CW311" i="29"/>
  <c r="CX311" i="29"/>
  <c r="CY311" i="29"/>
  <c r="CZ311" i="29"/>
  <c r="DA311" i="29"/>
  <c r="DB311" i="29"/>
  <c r="DC311" i="29"/>
  <c r="DD311" i="29"/>
  <c r="DE311" i="29"/>
  <c r="DF311" i="29"/>
  <c r="DG311" i="29"/>
  <c r="DH311" i="29"/>
  <c r="DI311" i="29"/>
  <c r="DJ311" i="29"/>
  <c r="DK311" i="29"/>
  <c r="DL311" i="29"/>
  <c r="DM311" i="29"/>
  <c r="DN311" i="29"/>
  <c r="DO311" i="29"/>
  <c r="DP311" i="29"/>
  <c r="DQ311" i="29"/>
  <c r="DR311" i="29"/>
  <c r="DS311" i="29"/>
  <c r="DT311" i="29"/>
  <c r="DU311" i="29"/>
  <c r="DV311" i="29"/>
  <c r="DW311" i="29"/>
  <c r="DX311" i="29"/>
  <c r="DY311" i="29"/>
  <c r="DZ311" i="29"/>
  <c r="EA311" i="29"/>
  <c r="EB311" i="29"/>
  <c r="EC311" i="29"/>
  <c r="ED311" i="29"/>
  <c r="EE311" i="29"/>
  <c r="EF311" i="29"/>
  <c r="EG311" i="29"/>
  <c r="EH311" i="29"/>
  <c r="EI311" i="29"/>
  <c r="EJ311" i="29"/>
  <c r="EK311" i="29"/>
  <c r="EL311" i="29"/>
  <c r="EM311" i="29"/>
  <c r="EN311" i="29"/>
  <c r="EO311" i="29"/>
  <c r="EP311" i="29"/>
  <c r="EQ311" i="29"/>
  <c r="ER311" i="29"/>
  <c r="ES311" i="29"/>
  <c r="ET311" i="29"/>
  <c r="EU311" i="29"/>
  <c r="EV311" i="29"/>
  <c r="EW311" i="29"/>
  <c r="EX311" i="29"/>
  <c r="EY311" i="29"/>
  <c r="EZ311" i="29"/>
  <c r="FA311" i="29"/>
  <c r="FB311" i="29"/>
  <c r="FC311" i="29"/>
  <c r="FD311" i="29"/>
  <c r="FE311" i="29"/>
  <c r="FF311" i="29"/>
  <c r="FG311" i="29"/>
  <c r="FH311" i="29"/>
  <c r="FI311" i="29"/>
  <c r="FJ311" i="29"/>
  <c r="FK311" i="29"/>
  <c r="FL311" i="29"/>
  <c r="FM311" i="29"/>
  <c r="FN311" i="29"/>
  <c r="FO311" i="29"/>
  <c r="FP311" i="29"/>
  <c r="FQ311" i="29"/>
  <c r="FR311" i="29"/>
  <c r="FS311" i="29"/>
  <c r="FT311" i="29"/>
  <c r="FU311" i="29"/>
  <c r="FV311" i="29"/>
  <c r="FW311" i="29"/>
  <c r="FX311" i="29"/>
  <c r="FY311" i="29"/>
  <c r="FZ311" i="29"/>
  <c r="GA311" i="29"/>
  <c r="GB311" i="29"/>
  <c r="GC311" i="29"/>
  <c r="GD311" i="29"/>
  <c r="GE311" i="29"/>
  <c r="GF311" i="29"/>
  <c r="GG311" i="29"/>
  <c r="GH311" i="29"/>
  <c r="GI311" i="29"/>
  <c r="GJ311" i="29"/>
  <c r="GK311" i="29"/>
  <c r="GL311" i="29"/>
  <c r="GM311" i="29"/>
  <c r="GN311" i="29"/>
  <c r="GO311" i="29"/>
  <c r="GP311" i="29"/>
  <c r="GQ311" i="29"/>
  <c r="GR311" i="29"/>
  <c r="GS311" i="29"/>
  <c r="GT311" i="29"/>
  <c r="GU311" i="29"/>
  <c r="GV311" i="29"/>
  <c r="GW311" i="29"/>
  <c r="GX311" i="29"/>
  <c r="GY311" i="29"/>
  <c r="GZ311" i="29"/>
  <c r="HA311" i="29"/>
  <c r="HB311" i="29"/>
  <c r="HC311" i="29"/>
  <c r="HD311" i="29"/>
  <c r="HE311" i="29"/>
  <c r="HF311" i="29"/>
  <c r="HG311" i="29"/>
  <c r="HH311" i="29"/>
  <c r="HI311" i="29"/>
  <c r="HJ311" i="29"/>
  <c r="HK311" i="29"/>
  <c r="HL311" i="29"/>
  <c r="HM311" i="29"/>
  <c r="HN311" i="29"/>
  <c r="HO311" i="29"/>
  <c r="HP311" i="29"/>
  <c r="HQ311" i="29"/>
  <c r="HR311" i="29"/>
  <c r="HS311" i="29"/>
  <c r="HT311" i="29"/>
  <c r="HU311" i="29"/>
  <c r="HV311" i="29"/>
  <c r="HW311" i="29"/>
  <c r="HX311" i="29"/>
  <c r="HY311" i="29"/>
  <c r="HZ311" i="29"/>
  <c r="IA311" i="29"/>
  <c r="IB311" i="29"/>
  <c r="IC311" i="29"/>
  <c r="ID311" i="29"/>
  <c r="IE311" i="29"/>
  <c r="IF311" i="29"/>
  <c r="IG311" i="29"/>
  <c r="IH311" i="29"/>
  <c r="II311" i="29"/>
  <c r="IJ311" i="29"/>
  <c r="IK311" i="29"/>
  <c r="IL311" i="29"/>
  <c r="IM311" i="29"/>
  <c r="IN311" i="29"/>
  <c r="IO311" i="29"/>
  <c r="IP311" i="29"/>
  <c r="IQ311" i="29"/>
  <c r="IR311" i="29"/>
  <c r="IS311" i="29"/>
  <c r="IT311" i="29"/>
  <c r="IU311" i="29"/>
  <c r="IV311" i="29"/>
  <c r="IW311" i="29"/>
  <c r="IX311" i="29"/>
  <c r="IY311" i="29"/>
  <c r="IZ311" i="29"/>
  <c r="JA311" i="29"/>
  <c r="JB311" i="29"/>
  <c r="JC311" i="29"/>
  <c r="JD311" i="29"/>
  <c r="JE311" i="29"/>
  <c r="JF311" i="29"/>
  <c r="JG311" i="29"/>
  <c r="JH311" i="29"/>
  <c r="JI311" i="29"/>
  <c r="JJ311" i="29"/>
  <c r="JK311" i="29"/>
  <c r="JL311" i="29"/>
  <c r="JM311" i="29"/>
  <c r="JN311" i="29"/>
  <c r="JO311" i="29"/>
  <c r="JP311" i="29"/>
  <c r="JQ311" i="29"/>
  <c r="JR311" i="29"/>
  <c r="JS311" i="29"/>
  <c r="JT311" i="29"/>
  <c r="JU311" i="29"/>
  <c r="JV311" i="29"/>
  <c r="JW311" i="29"/>
  <c r="JX311" i="29"/>
  <c r="JY311" i="29"/>
  <c r="JZ311" i="29"/>
  <c r="KA311" i="29"/>
  <c r="KB311" i="29"/>
  <c r="KC311" i="29"/>
  <c r="KD311" i="29"/>
  <c r="KE311" i="29"/>
  <c r="KF311" i="29"/>
  <c r="KG311" i="29"/>
  <c r="KH311" i="29"/>
  <c r="KI311" i="29"/>
  <c r="KJ311" i="29"/>
  <c r="KK311" i="29"/>
  <c r="KL311" i="29"/>
  <c r="KM311" i="29"/>
  <c r="KN311" i="29"/>
  <c r="KO311" i="29"/>
  <c r="KP311" i="29"/>
  <c r="KQ311" i="29"/>
  <c r="KR311" i="29"/>
  <c r="KS311" i="29"/>
  <c r="KT311" i="29"/>
  <c r="KU311" i="29"/>
  <c r="KV311" i="29"/>
  <c r="KW311" i="29"/>
  <c r="KX311" i="29"/>
  <c r="KY311" i="29"/>
  <c r="KZ311" i="29"/>
  <c r="LA311" i="29"/>
  <c r="LB311" i="29"/>
  <c r="LC311" i="29"/>
  <c r="LD311" i="29"/>
  <c r="LE311" i="29"/>
  <c r="LF311" i="29"/>
  <c r="LG311" i="29"/>
  <c r="LH311" i="29"/>
  <c r="LI311" i="29"/>
  <c r="LJ311" i="29"/>
  <c r="LK311" i="29"/>
  <c r="LL311" i="29"/>
  <c r="LM311" i="29"/>
  <c r="LN311" i="29"/>
  <c r="LO311" i="29"/>
  <c r="LP311" i="29"/>
  <c r="LQ311" i="29"/>
  <c r="LR311" i="29"/>
  <c r="LS311" i="29"/>
  <c r="LT311" i="29"/>
  <c r="LU311" i="29"/>
  <c r="LV311" i="29"/>
  <c r="LW311" i="29"/>
  <c r="LX311" i="29"/>
  <c r="LY311" i="29"/>
  <c r="LZ311" i="29"/>
  <c r="MA311" i="29"/>
  <c r="MB311" i="29"/>
  <c r="MC311" i="29"/>
  <c r="MD311" i="29"/>
  <c r="ME311" i="29"/>
  <c r="MF311" i="29"/>
  <c r="MG311" i="29"/>
  <c r="MH311" i="29"/>
  <c r="MI311" i="29"/>
  <c r="MJ311" i="29"/>
  <c r="MK311" i="29"/>
  <c r="ML311" i="29"/>
  <c r="MM311" i="29"/>
  <c r="MN311" i="29"/>
  <c r="MO311" i="29"/>
  <c r="MP311" i="29"/>
  <c r="MQ311" i="29"/>
  <c r="MR311" i="29"/>
  <c r="MS311" i="29"/>
  <c r="MT311" i="29"/>
  <c r="MU311" i="29"/>
  <c r="MV311" i="29"/>
  <c r="MW311" i="29"/>
  <c r="MX311" i="29"/>
  <c r="MY311" i="29"/>
  <c r="MZ311" i="29"/>
  <c r="NA311" i="29"/>
  <c r="NB311" i="29"/>
  <c r="NC311" i="29"/>
  <c r="ND311" i="29"/>
  <c r="NE311" i="29"/>
  <c r="NF311" i="29"/>
  <c r="NG311" i="29"/>
  <c r="NH311" i="29"/>
  <c r="NI311" i="29"/>
  <c r="NJ311" i="29"/>
  <c r="NK311" i="29"/>
  <c r="NL311" i="29"/>
  <c r="NM311" i="29"/>
  <c r="NN311" i="29"/>
  <c r="NO311" i="29"/>
  <c r="NP311" i="29"/>
  <c r="NQ311" i="29"/>
  <c r="NR311" i="29"/>
  <c r="NS311" i="29"/>
  <c r="NT311" i="29"/>
  <c r="NU311" i="29"/>
  <c r="NV311" i="29"/>
  <c r="NW311" i="29"/>
  <c r="NX311" i="29"/>
  <c r="NY311" i="29"/>
  <c r="NZ311" i="29"/>
  <c r="OA311" i="29"/>
  <c r="OB311" i="29"/>
  <c r="OC311" i="29"/>
  <c r="OD311" i="29"/>
  <c r="OE311" i="29"/>
  <c r="OF311" i="29"/>
  <c r="OG311" i="29"/>
  <c r="OH311" i="29"/>
  <c r="OI311" i="29"/>
  <c r="OJ311" i="29"/>
  <c r="OK311" i="29"/>
  <c r="OL311" i="29"/>
  <c r="OM311" i="29"/>
  <c r="ON311" i="29"/>
  <c r="OO311" i="29"/>
  <c r="OP311" i="29"/>
  <c r="OQ311" i="29"/>
  <c r="OR311" i="29"/>
  <c r="OS311" i="29"/>
  <c r="OT311" i="29"/>
  <c r="OU311" i="29"/>
  <c r="OV311" i="29"/>
  <c r="OW311" i="29"/>
  <c r="OX311" i="29"/>
  <c r="OY311" i="29"/>
  <c r="OZ311" i="29"/>
  <c r="PA311" i="29"/>
  <c r="PB311" i="29"/>
  <c r="PC311" i="29"/>
  <c r="PD311" i="29"/>
  <c r="PE311" i="29"/>
  <c r="PF311" i="29"/>
  <c r="PG311" i="29"/>
  <c r="PH311" i="29"/>
  <c r="PI311" i="29"/>
  <c r="PJ311" i="29"/>
  <c r="PK311" i="29"/>
  <c r="PL311" i="29"/>
  <c r="PM311" i="29"/>
  <c r="PN311" i="29"/>
  <c r="PO311" i="29"/>
  <c r="PP311" i="29"/>
  <c r="PQ311" i="29"/>
  <c r="PR311" i="29"/>
  <c r="PS311" i="29"/>
  <c r="PT311" i="29"/>
  <c r="PU311" i="29"/>
  <c r="PV311" i="29"/>
  <c r="PW311" i="29"/>
  <c r="PX311" i="29"/>
  <c r="PY311" i="29"/>
  <c r="PZ311" i="29"/>
  <c r="QA311" i="29"/>
  <c r="QB311" i="29"/>
  <c r="QC311" i="29"/>
  <c r="QD311" i="29"/>
  <c r="QE311" i="29"/>
  <c r="QF311" i="29"/>
  <c r="QG311" i="29"/>
  <c r="QH311" i="29"/>
  <c r="QI311" i="29"/>
  <c r="QJ311" i="29"/>
  <c r="QK311" i="29"/>
  <c r="QL311" i="29"/>
  <c r="QM311" i="29"/>
  <c r="QN311" i="29"/>
  <c r="QO311" i="29"/>
  <c r="QP311" i="29"/>
  <c r="QQ311" i="29"/>
  <c r="QR311" i="29"/>
  <c r="QS311" i="29"/>
  <c r="QT311" i="29"/>
  <c r="QU311" i="29"/>
  <c r="QV311" i="29"/>
  <c r="QW311" i="29"/>
  <c r="QX311" i="29"/>
  <c r="QY311" i="29"/>
  <c r="QZ311" i="29"/>
  <c r="RA311" i="29"/>
  <c r="RB311" i="29"/>
  <c r="RC311" i="29"/>
  <c r="RD311" i="29"/>
  <c r="RE311" i="29"/>
  <c r="RF311" i="29"/>
  <c r="RG311" i="29"/>
  <c r="RH311" i="29"/>
  <c r="RI311" i="29"/>
  <c r="RJ311" i="29"/>
  <c r="RK311" i="29"/>
  <c r="RL311" i="29"/>
  <c r="RM311" i="29"/>
  <c r="RN311" i="29"/>
  <c r="RO311" i="29"/>
  <c r="RP311" i="29"/>
  <c r="RQ311" i="29"/>
  <c r="RR311" i="29"/>
  <c r="RS311" i="29"/>
  <c r="RT311" i="29"/>
  <c r="RU311" i="29"/>
  <c r="RV311" i="29"/>
  <c r="RW311" i="29"/>
  <c r="RX311" i="29"/>
  <c r="RY311" i="29"/>
  <c r="RZ311" i="29"/>
  <c r="SA311" i="29"/>
  <c r="SB311" i="29"/>
  <c r="SC311" i="29"/>
  <c r="SD311" i="29"/>
  <c r="SE311" i="29"/>
  <c r="SF311" i="29"/>
  <c r="SG311" i="29"/>
  <c r="SH311" i="29"/>
  <c r="SI311" i="29"/>
  <c r="SJ311" i="29"/>
  <c r="SK311" i="29"/>
  <c r="SL311" i="29"/>
  <c r="SM311" i="29"/>
  <c r="SN311" i="29"/>
  <c r="SO311" i="29"/>
  <c r="SP311" i="29"/>
  <c r="SQ311" i="29"/>
  <c r="SR311" i="29"/>
  <c r="SS311" i="29"/>
  <c r="B312" i="29"/>
  <c r="C312" i="29"/>
  <c r="D312" i="29"/>
  <c r="E312" i="29"/>
  <c r="F312" i="29"/>
  <c r="G312" i="29"/>
  <c r="H312" i="29"/>
  <c r="I312" i="29"/>
  <c r="J312" i="29"/>
  <c r="K312" i="29"/>
  <c r="L312" i="29"/>
  <c r="M312" i="29"/>
  <c r="N312" i="29"/>
  <c r="O312" i="29"/>
  <c r="P312" i="29"/>
  <c r="Q312" i="29"/>
  <c r="R312" i="29"/>
  <c r="S312" i="29"/>
  <c r="T312" i="29"/>
  <c r="U312" i="29"/>
  <c r="V312" i="29"/>
  <c r="W312" i="29"/>
  <c r="X312" i="29"/>
  <c r="Y312" i="29"/>
  <c r="Z312" i="29"/>
  <c r="AA312" i="29"/>
  <c r="AB312" i="29"/>
  <c r="AC312" i="29"/>
  <c r="AD312" i="29"/>
  <c r="AE312" i="29"/>
  <c r="AF312" i="29"/>
  <c r="AG312" i="29"/>
  <c r="AH312" i="29"/>
  <c r="AI312" i="29"/>
  <c r="AJ312" i="29"/>
  <c r="AK312" i="29"/>
  <c r="AL312" i="29"/>
  <c r="AM312" i="29"/>
  <c r="AN312" i="29"/>
  <c r="AO312" i="29"/>
  <c r="AP312" i="29"/>
  <c r="AQ312" i="29"/>
  <c r="AR312" i="29"/>
  <c r="AS312" i="29"/>
  <c r="AT312" i="29"/>
  <c r="AU312" i="29"/>
  <c r="AV312" i="29"/>
  <c r="AW312" i="29"/>
  <c r="AX312" i="29"/>
  <c r="AY312" i="29"/>
  <c r="AZ312" i="29"/>
  <c r="BA312" i="29"/>
  <c r="BB312" i="29"/>
  <c r="BC312" i="29"/>
  <c r="BD312" i="29"/>
  <c r="BE312" i="29"/>
  <c r="BF312" i="29"/>
  <c r="BG312" i="29"/>
  <c r="BH312" i="29"/>
  <c r="BI312" i="29"/>
  <c r="BJ312" i="29"/>
  <c r="BK312" i="29"/>
  <c r="BL312" i="29"/>
  <c r="BM312" i="29"/>
  <c r="BN312" i="29"/>
  <c r="BO312" i="29"/>
  <c r="BP312" i="29"/>
  <c r="BQ312" i="29"/>
  <c r="BR312" i="29"/>
  <c r="BS312" i="29"/>
  <c r="BT312" i="29"/>
  <c r="BU312" i="29"/>
  <c r="BV312" i="29"/>
  <c r="BW312" i="29"/>
  <c r="BX312" i="29"/>
  <c r="BY312" i="29"/>
  <c r="BZ312" i="29"/>
  <c r="CA312" i="29"/>
  <c r="CB312" i="29"/>
  <c r="CC312" i="29"/>
  <c r="CD312" i="29"/>
  <c r="CE312" i="29"/>
  <c r="CF312" i="29"/>
  <c r="CG312" i="29"/>
  <c r="CH312" i="29"/>
  <c r="CI312" i="29"/>
  <c r="CJ312" i="29"/>
  <c r="CK312" i="29"/>
  <c r="CL312" i="29"/>
  <c r="CM312" i="29"/>
  <c r="CN312" i="29"/>
  <c r="CO312" i="29"/>
  <c r="CP312" i="29"/>
  <c r="CQ312" i="29"/>
  <c r="CR312" i="29"/>
  <c r="CS312" i="29"/>
  <c r="CT312" i="29"/>
  <c r="CU312" i="29"/>
  <c r="CV312" i="29"/>
  <c r="CW312" i="29"/>
  <c r="CX312" i="29"/>
  <c r="CY312" i="29"/>
  <c r="CZ312" i="29"/>
  <c r="DA312" i="29"/>
  <c r="DB312" i="29"/>
  <c r="DC312" i="29"/>
  <c r="DD312" i="29"/>
  <c r="DE312" i="29"/>
  <c r="DF312" i="29"/>
  <c r="DG312" i="29"/>
  <c r="DH312" i="29"/>
  <c r="DI312" i="29"/>
  <c r="DJ312" i="29"/>
  <c r="DK312" i="29"/>
  <c r="DL312" i="29"/>
  <c r="DM312" i="29"/>
  <c r="DN312" i="29"/>
  <c r="DO312" i="29"/>
  <c r="DP312" i="29"/>
  <c r="DQ312" i="29"/>
  <c r="DR312" i="29"/>
  <c r="DS312" i="29"/>
  <c r="DT312" i="29"/>
  <c r="DU312" i="29"/>
  <c r="DV312" i="29"/>
  <c r="DW312" i="29"/>
  <c r="DX312" i="29"/>
  <c r="DY312" i="29"/>
  <c r="DZ312" i="29"/>
  <c r="EA312" i="29"/>
  <c r="EB312" i="29"/>
  <c r="EC312" i="29"/>
  <c r="ED312" i="29"/>
  <c r="EE312" i="29"/>
  <c r="EF312" i="29"/>
  <c r="EG312" i="29"/>
  <c r="EH312" i="29"/>
  <c r="EI312" i="29"/>
  <c r="EJ312" i="29"/>
  <c r="EK312" i="29"/>
  <c r="EL312" i="29"/>
  <c r="EM312" i="29"/>
  <c r="EN312" i="29"/>
  <c r="EO312" i="29"/>
  <c r="EP312" i="29"/>
  <c r="EQ312" i="29"/>
  <c r="ER312" i="29"/>
  <c r="ES312" i="29"/>
  <c r="ET312" i="29"/>
  <c r="EU312" i="29"/>
  <c r="EV312" i="29"/>
  <c r="EW312" i="29"/>
  <c r="EX312" i="29"/>
  <c r="EY312" i="29"/>
  <c r="EZ312" i="29"/>
  <c r="FA312" i="29"/>
  <c r="FB312" i="29"/>
  <c r="FC312" i="29"/>
  <c r="FD312" i="29"/>
  <c r="FE312" i="29"/>
  <c r="FF312" i="29"/>
  <c r="FG312" i="29"/>
  <c r="FH312" i="29"/>
  <c r="FI312" i="29"/>
  <c r="FJ312" i="29"/>
  <c r="FK312" i="29"/>
  <c r="FL312" i="29"/>
  <c r="FM312" i="29"/>
  <c r="FN312" i="29"/>
  <c r="FO312" i="29"/>
  <c r="FP312" i="29"/>
  <c r="FQ312" i="29"/>
  <c r="FR312" i="29"/>
  <c r="FS312" i="29"/>
  <c r="FT312" i="29"/>
  <c r="FU312" i="29"/>
  <c r="FV312" i="29"/>
  <c r="FW312" i="29"/>
  <c r="FX312" i="29"/>
  <c r="FY312" i="29"/>
  <c r="FZ312" i="29"/>
  <c r="GA312" i="29"/>
  <c r="GB312" i="29"/>
  <c r="GC312" i="29"/>
  <c r="GD312" i="29"/>
  <c r="GE312" i="29"/>
  <c r="GF312" i="29"/>
  <c r="GG312" i="29"/>
  <c r="GH312" i="29"/>
  <c r="GI312" i="29"/>
  <c r="GJ312" i="29"/>
  <c r="GK312" i="29"/>
  <c r="GL312" i="29"/>
  <c r="GM312" i="29"/>
  <c r="GN312" i="29"/>
  <c r="GO312" i="29"/>
  <c r="GP312" i="29"/>
  <c r="GQ312" i="29"/>
  <c r="GR312" i="29"/>
  <c r="GS312" i="29"/>
  <c r="GT312" i="29"/>
  <c r="GU312" i="29"/>
  <c r="GV312" i="29"/>
  <c r="GW312" i="29"/>
  <c r="GX312" i="29"/>
  <c r="GY312" i="29"/>
  <c r="GZ312" i="29"/>
  <c r="HA312" i="29"/>
  <c r="HB312" i="29"/>
  <c r="HC312" i="29"/>
  <c r="HD312" i="29"/>
  <c r="HE312" i="29"/>
  <c r="HF312" i="29"/>
  <c r="HG312" i="29"/>
  <c r="HH312" i="29"/>
  <c r="HI312" i="29"/>
  <c r="HJ312" i="29"/>
  <c r="HK312" i="29"/>
  <c r="HL312" i="29"/>
  <c r="HM312" i="29"/>
  <c r="HN312" i="29"/>
  <c r="HO312" i="29"/>
  <c r="HP312" i="29"/>
  <c r="HQ312" i="29"/>
  <c r="HR312" i="29"/>
  <c r="HS312" i="29"/>
  <c r="HT312" i="29"/>
  <c r="HU312" i="29"/>
  <c r="HV312" i="29"/>
  <c r="HW312" i="29"/>
  <c r="HX312" i="29"/>
  <c r="HY312" i="29"/>
  <c r="HZ312" i="29"/>
  <c r="IA312" i="29"/>
  <c r="IB312" i="29"/>
  <c r="IC312" i="29"/>
  <c r="ID312" i="29"/>
  <c r="IE312" i="29"/>
  <c r="IF312" i="29"/>
  <c r="IG312" i="29"/>
  <c r="IH312" i="29"/>
  <c r="II312" i="29"/>
  <c r="IJ312" i="29"/>
  <c r="IK312" i="29"/>
  <c r="IL312" i="29"/>
  <c r="IM312" i="29"/>
  <c r="IN312" i="29"/>
  <c r="IO312" i="29"/>
  <c r="IP312" i="29"/>
  <c r="IQ312" i="29"/>
  <c r="IR312" i="29"/>
  <c r="IS312" i="29"/>
  <c r="IT312" i="29"/>
  <c r="IU312" i="29"/>
  <c r="IV312" i="29"/>
  <c r="IW312" i="29"/>
  <c r="IX312" i="29"/>
  <c r="IY312" i="29"/>
  <c r="IZ312" i="29"/>
  <c r="JA312" i="29"/>
  <c r="JB312" i="29"/>
  <c r="JC312" i="29"/>
  <c r="JD312" i="29"/>
  <c r="JE312" i="29"/>
  <c r="JF312" i="29"/>
  <c r="JG312" i="29"/>
  <c r="JH312" i="29"/>
  <c r="JI312" i="29"/>
  <c r="JJ312" i="29"/>
  <c r="JK312" i="29"/>
  <c r="JL312" i="29"/>
  <c r="JM312" i="29"/>
  <c r="JN312" i="29"/>
  <c r="JO312" i="29"/>
  <c r="JP312" i="29"/>
  <c r="JQ312" i="29"/>
  <c r="JR312" i="29"/>
  <c r="JS312" i="29"/>
  <c r="JT312" i="29"/>
  <c r="JU312" i="29"/>
  <c r="JV312" i="29"/>
  <c r="JW312" i="29"/>
  <c r="JX312" i="29"/>
  <c r="JY312" i="29"/>
  <c r="JZ312" i="29"/>
  <c r="KA312" i="29"/>
  <c r="KB312" i="29"/>
  <c r="KC312" i="29"/>
  <c r="KD312" i="29"/>
  <c r="KE312" i="29"/>
  <c r="KF312" i="29"/>
  <c r="KG312" i="29"/>
  <c r="KH312" i="29"/>
  <c r="KI312" i="29"/>
  <c r="KJ312" i="29"/>
  <c r="KK312" i="29"/>
  <c r="KL312" i="29"/>
  <c r="KM312" i="29"/>
  <c r="KN312" i="29"/>
  <c r="KO312" i="29"/>
  <c r="KP312" i="29"/>
  <c r="KQ312" i="29"/>
  <c r="KR312" i="29"/>
  <c r="KS312" i="29"/>
  <c r="KT312" i="29"/>
  <c r="KU312" i="29"/>
  <c r="KV312" i="29"/>
  <c r="KW312" i="29"/>
  <c r="KX312" i="29"/>
  <c r="KY312" i="29"/>
  <c r="KZ312" i="29"/>
  <c r="LA312" i="29"/>
  <c r="LB312" i="29"/>
  <c r="LC312" i="29"/>
  <c r="LD312" i="29"/>
  <c r="LE312" i="29"/>
  <c r="LF312" i="29"/>
  <c r="LG312" i="29"/>
  <c r="LH312" i="29"/>
  <c r="LI312" i="29"/>
  <c r="LJ312" i="29"/>
  <c r="LK312" i="29"/>
  <c r="LL312" i="29"/>
  <c r="LM312" i="29"/>
  <c r="LN312" i="29"/>
  <c r="LO312" i="29"/>
  <c r="LP312" i="29"/>
  <c r="LQ312" i="29"/>
  <c r="LR312" i="29"/>
  <c r="LS312" i="29"/>
  <c r="LT312" i="29"/>
  <c r="LU312" i="29"/>
  <c r="LV312" i="29"/>
  <c r="LW312" i="29"/>
  <c r="LX312" i="29"/>
  <c r="LY312" i="29"/>
  <c r="LZ312" i="29"/>
  <c r="MA312" i="29"/>
  <c r="MB312" i="29"/>
  <c r="MC312" i="29"/>
  <c r="MD312" i="29"/>
  <c r="ME312" i="29"/>
  <c r="MF312" i="29"/>
  <c r="MG312" i="29"/>
  <c r="MH312" i="29"/>
  <c r="MI312" i="29"/>
  <c r="MJ312" i="29"/>
  <c r="MK312" i="29"/>
  <c r="ML312" i="29"/>
  <c r="MM312" i="29"/>
  <c r="MN312" i="29"/>
  <c r="MO312" i="29"/>
  <c r="MP312" i="29"/>
  <c r="MQ312" i="29"/>
  <c r="MR312" i="29"/>
  <c r="MS312" i="29"/>
  <c r="MT312" i="29"/>
  <c r="MU312" i="29"/>
  <c r="MV312" i="29"/>
  <c r="MW312" i="29"/>
  <c r="MX312" i="29"/>
  <c r="MY312" i="29"/>
  <c r="MZ312" i="29"/>
  <c r="NA312" i="29"/>
  <c r="NB312" i="29"/>
  <c r="NC312" i="29"/>
  <c r="ND312" i="29"/>
  <c r="NE312" i="29"/>
  <c r="NF312" i="29"/>
  <c r="NG312" i="29"/>
  <c r="NH312" i="29"/>
  <c r="NI312" i="29"/>
  <c r="NJ312" i="29"/>
  <c r="NK312" i="29"/>
  <c r="NL312" i="29"/>
  <c r="NM312" i="29"/>
  <c r="NN312" i="29"/>
  <c r="NO312" i="29"/>
  <c r="NP312" i="29"/>
  <c r="NQ312" i="29"/>
  <c r="NR312" i="29"/>
  <c r="NS312" i="29"/>
  <c r="NT312" i="29"/>
  <c r="NU312" i="29"/>
  <c r="NV312" i="29"/>
  <c r="NW312" i="29"/>
  <c r="NX312" i="29"/>
  <c r="NY312" i="29"/>
  <c r="NZ312" i="29"/>
  <c r="OA312" i="29"/>
  <c r="OB312" i="29"/>
  <c r="OC312" i="29"/>
  <c r="OD312" i="29"/>
  <c r="OE312" i="29"/>
  <c r="OF312" i="29"/>
  <c r="OG312" i="29"/>
  <c r="OH312" i="29"/>
  <c r="OI312" i="29"/>
  <c r="OJ312" i="29"/>
  <c r="OK312" i="29"/>
  <c r="OL312" i="29"/>
  <c r="OM312" i="29"/>
  <c r="ON312" i="29"/>
  <c r="OO312" i="29"/>
  <c r="OP312" i="29"/>
  <c r="OQ312" i="29"/>
  <c r="OR312" i="29"/>
  <c r="OS312" i="29"/>
  <c r="OT312" i="29"/>
  <c r="OU312" i="29"/>
  <c r="OV312" i="29"/>
  <c r="OW312" i="29"/>
  <c r="OX312" i="29"/>
  <c r="OY312" i="29"/>
  <c r="OZ312" i="29"/>
  <c r="PA312" i="29"/>
  <c r="PB312" i="29"/>
  <c r="PC312" i="29"/>
  <c r="PD312" i="29"/>
  <c r="PE312" i="29"/>
  <c r="PF312" i="29"/>
  <c r="PG312" i="29"/>
  <c r="PH312" i="29"/>
  <c r="PI312" i="29"/>
  <c r="PJ312" i="29"/>
  <c r="PK312" i="29"/>
  <c r="PL312" i="29"/>
  <c r="PM312" i="29"/>
  <c r="PN312" i="29"/>
  <c r="PO312" i="29"/>
  <c r="PP312" i="29"/>
  <c r="PQ312" i="29"/>
  <c r="PR312" i="29"/>
  <c r="PS312" i="29"/>
  <c r="PT312" i="29"/>
  <c r="PU312" i="29"/>
  <c r="PV312" i="29"/>
  <c r="PW312" i="29"/>
  <c r="PX312" i="29"/>
  <c r="PY312" i="29"/>
  <c r="PZ312" i="29"/>
  <c r="QA312" i="29"/>
  <c r="QB312" i="29"/>
  <c r="QC312" i="29"/>
  <c r="QD312" i="29"/>
  <c r="QE312" i="29"/>
  <c r="QF312" i="29"/>
  <c r="QG312" i="29"/>
  <c r="QH312" i="29"/>
  <c r="QI312" i="29"/>
  <c r="QJ312" i="29"/>
  <c r="QK312" i="29"/>
  <c r="QL312" i="29"/>
  <c r="QM312" i="29"/>
  <c r="QN312" i="29"/>
  <c r="QO312" i="29"/>
  <c r="QP312" i="29"/>
  <c r="QQ312" i="29"/>
  <c r="QR312" i="29"/>
  <c r="QS312" i="29"/>
  <c r="QT312" i="29"/>
  <c r="QU312" i="29"/>
  <c r="QV312" i="29"/>
  <c r="QW312" i="29"/>
  <c r="QX312" i="29"/>
  <c r="QY312" i="29"/>
  <c r="QZ312" i="29"/>
  <c r="RA312" i="29"/>
  <c r="RB312" i="29"/>
  <c r="RC312" i="29"/>
  <c r="RD312" i="29"/>
  <c r="RE312" i="29"/>
  <c r="RF312" i="29"/>
  <c r="RG312" i="29"/>
  <c r="RH312" i="29"/>
  <c r="RI312" i="29"/>
  <c r="RJ312" i="29"/>
  <c r="RK312" i="29"/>
  <c r="RL312" i="29"/>
  <c r="RM312" i="29"/>
  <c r="RN312" i="29"/>
  <c r="RO312" i="29"/>
  <c r="RP312" i="29"/>
  <c r="RQ312" i="29"/>
  <c r="RR312" i="29"/>
  <c r="RS312" i="29"/>
  <c r="RT312" i="29"/>
  <c r="RU312" i="29"/>
  <c r="RV312" i="29"/>
  <c r="RW312" i="29"/>
  <c r="RX312" i="29"/>
  <c r="RY312" i="29"/>
  <c r="RZ312" i="29"/>
  <c r="SA312" i="29"/>
  <c r="SB312" i="29"/>
  <c r="SC312" i="29"/>
  <c r="SD312" i="29"/>
  <c r="SE312" i="29"/>
  <c r="SF312" i="29"/>
  <c r="SG312" i="29"/>
  <c r="SH312" i="29"/>
  <c r="SI312" i="29"/>
  <c r="SJ312" i="29"/>
  <c r="SK312" i="29"/>
  <c r="SL312" i="29"/>
  <c r="SM312" i="29"/>
  <c r="SN312" i="29"/>
  <c r="SO312" i="29"/>
  <c r="SP312" i="29"/>
  <c r="SQ312" i="29"/>
  <c r="SR312" i="29"/>
  <c r="SS312" i="29"/>
  <c r="B313" i="29"/>
  <c r="C313" i="29"/>
  <c r="D313" i="29"/>
  <c r="E313" i="29"/>
  <c r="F313" i="29"/>
  <c r="G313" i="29"/>
  <c r="H313" i="29"/>
  <c r="I313" i="29"/>
  <c r="J313" i="29"/>
  <c r="K313" i="29"/>
  <c r="L313" i="29"/>
  <c r="M313" i="29"/>
  <c r="N313" i="29"/>
  <c r="O313" i="29"/>
  <c r="P313" i="29"/>
  <c r="Q313" i="29"/>
  <c r="R313" i="29"/>
  <c r="S313" i="29"/>
  <c r="T313" i="29"/>
  <c r="U313" i="29"/>
  <c r="V313" i="29"/>
  <c r="W313" i="29"/>
  <c r="X313" i="29"/>
  <c r="Y313" i="29"/>
  <c r="Z313" i="29"/>
  <c r="AA313" i="29"/>
  <c r="AB313" i="29"/>
  <c r="AC313" i="29"/>
  <c r="AD313" i="29"/>
  <c r="AE313" i="29"/>
  <c r="AF313" i="29"/>
  <c r="AG313" i="29"/>
  <c r="AH313" i="29"/>
  <c r="AI313" i="29"/>
  <c r="AJ313" i="29"/>
  <c r="AK313" i="29"/>
  <c r="AL313" i="29"/>
  <c r="AM313" i="29"/>
  <c r="AN313" i="29"/>
  <c r="AO313" i="29"/>
  <c r="AP313" i="29"/>
  <c r="AQ313" i="29"/>
  <c r="AR313" i="29"/>
  <c r="AS313" i="29"/>
  <c r="AT313" i="29"/>
  <c r="AU313" i="29"/>
  <c r="AV313" i="29"/>
  <c r="AW313" i="29"/>
  <c r="AX313" i="29"/>
  <c r="AY313" i="29"/>
  <c r="AZ313" i="29"/>
  <c r="BA313" i="29"/>
  <c r="BB313" i="29"/>
  <c r="BC313" i="29"/>
  <c r="BD313" i="29"/>
  <c r="BE313" i="29"/>
  <c r="BF313" i="29"/>
  <c r="BG313" i="29"/>
  <c r="BH313" i="29"/>
  <c r="BI313" i="29"/>
  <c r="BJ313" i="29"/>
  <c r="BK313" i="29"/>
  <c r="BL313" i="29"/>
  <c r="BM313" i="29"/>
  <c r="BN313" i="29"/>
  <c r="BO313" i="29"/>
  <c r="BP313" i="29"/>
  <c r="BQ313" i="29"/>
  <c r="BR313" i="29"/>
  <c r="BS313" i="29"/>
  <c r="BT313" i="29"/>
  <c r="BU313" i="29"/>
  <c r="BV313" i="29"/>
  <c r="BW313" i="29"/>
  <c r="BX313" i="29"/>
  <c r="BY313" i="29"/>
  <c r="BZ313" i="29"/>
  <c r="CA313" i="29"/>
  <c r="CB313" i="29"/>
  <c r="CC313" i="29"/>
  <c r="CD313" i="29"/>
  <c r="CE313" i="29"/>
  <c r="CF313" i="29"/>
  <c r="CG313" i="29"/>
  <c r="CH313" i="29"/>
  <c r="CI313" i="29"/>
  <c r="CJ313" i="29"/>
  <c r="CK313" i="29"/>
  <c r="CL313" i="29"/>
  <c r="CM313" i="29"/>
  <c r="CN313" i="29"/>
  <c r="CO313" i="29"/>
  <c r="CP313" i="29"/>
  <c r="CQ313" i="29"/>
  <c r="CR313" i="29"/>
  <c r="CS313" i="29"/>
  <c r="CT313" i="29"/>
  <c r="CU313" i="29"/>
  <c r="CV313" i="29"/>
  <c r="CW313" i="29"/>
  <c r="CX313" i="29"/>
  <c r="CY313" i="29"/>
  <c r="CZ313" i="29"/>
  <c r="DA313" i="29"/>
  <c r="DB313" i="29"/>
  <c r="DC313" i="29"/>
  <c r="DD313" i="29"/>
  <c r="DE313" i="29"/>
  <c r="DF313" i="29"/>
  <c r="DG313" i="29"/>
  <c r="DH313" i="29"/>
  <c r="DI313" i="29"/>
  <c r="DJ313" i="29"/>
  <c r="DK313" i="29"/>
  <c r="DL313" i="29"/>
  <c r="DM313" i="29"/>
  <c r="DN313" i="29"/>
  <c r="DO313" i="29"/>
  <c r="DP313" i="29"/>
  <c r="DQ313" i="29"/>
  <c r="DR313" i="29"/>
  <c r="DS313" i="29"/>
  <c r="DT313" i="29"/>
  <c r="DU313" i="29"/>
  <c r="DV313" i="29"/>
  <c r="DW313" i="29"/>
  <c r="DX313" i="29"/>
  <c r="DY313" i="29"/>
  <c r="DZ313" i="29"/>
  <c r="EA313" i="29"/>
  <c r="EB313" i="29"/>
  <c r="EC313" i="29"/>
  <c r="ED313" i="29"/>
  <c r="EE313" i="29"/>
  <c r="EF313" i="29"/>
  <c r="EG313" i="29"/>
  <c r="EH313" i="29"/>
  <c r="EI313" i="29"/>
  <c r="EJ313" i="29"/>
  <c r="EK313" i="29"/>
  <c r="EL313" i="29"/>
  <c r="EM313" i="29"/>
  <c r="EN313" i="29"/>
  <c r="EO313" i="29"/>
  <c r="EP313" i="29"/>
  <c r="EQ313" i="29"/>
  <c r="ER313" i="29"/>
  <c r="ES313" i="29"/>
  <c r="ET313" i="29"/>
  <c r="EU313" i="29"/>
  <c r="EV313" i="29"/>
  <c r="EW313" i="29"/>
  <c r="EX313" i="29"/>
  <c r="EY313" i="29"/>
  <c r="EZ313" i="29"/>
  <c r="FA313" i="29"/>
  <c r="FB313" i="29"/>
  <c r="FC313" i="29"/>
  <c r="FD313" i="29"/>
  <c r="FE313" i="29"/>
  <c r="FF313" i="29"/>
  <c r="FG313" i="29"/>
  <c r="FH313" i="29"/>
  <c r="FI313" i="29"/>
  <c r="FJ313" i="29"/>
  <c r="FK313" i="29"/>
  <c r="FL313" i="29"/>
  <c r="FM313" i="29"/>
  <c r="FN313" i="29"/>
  <c r="FO313" i="29"/>
  <c r="FP313" i="29"/>
  <c r="FQ313" i="29"/>
  <c r="FR313" i="29"/>
  <c r="FS313" i="29"/>
  <c r="FT313" i="29"/>
  <c r="FU313" i="29"/>
  <c r="FV313" i="29"/>
  <c r="FW313" i="29"/>
  <c r="FX313" i="29"/>
  <c r="FY313" i="29"/>
  <c r="FZ313" i="29"/>
  <c r="GA313" i="29"/>
  <c r="GB313" i="29"/>
  <c r="GC313" i="29"/>
  <c r="GD313" i="29"/>
  <c r="GE313" i="29"/>
  <c r="GF313" i="29"/>
  <c r="GG313" i="29"/>
  <c r="GH313" i="29"/>
  <c r="GI313" i="29"/>
  <c r="GJ313" i="29"/>
  <c r="GK313" i="29"/>
  <c r="GL313" i="29"/>
  <c r="GM313" i="29"/>
  <c r="GN313" i="29"/>
  <c r="GO313" i="29"/>
  <c r="GP313" i="29"/>
  <c r="GQ313" i="29"/>
  <c r="GR313" i="29"/>
  <c r="GS313" i="29"/>
  <c r="GT313" i="29"/>
  <c r="GU313" i="29"/>
  <c r="GV313" i="29"/>
  <c r="GW313" i="29"/>
  <c r="GX313" i="29"/>
  <c r="GY313" i="29"/>
  <c r="GZ313" i="29"/>
  <c r="HA313" i="29"/>
  <c r="HB313" i="29"/>
  <c r="HC313" i="29"/>
  <c r="HD313" i="29"/>
  <c r="HE313" i="29"/>
  <c r="HF313" i="29"/>
  <c r="HG313" i="29"/>
  <c r="HH313" i="29"/>
  <c r="HI313" i="29"/>
  <c r="HJ313" i="29"/>
  <c r="HK313" i="29"/>
  <c r="HL313" i="29"/>
  <c r="HM313" i="29"/>
  <c r="HN313" i="29"/>
  <c r="HO313" i="29"/>
  <c r="HP313" i="29"/>
  <c r="HQ313" i="29"/>
  <c r="HR313" i="29"/>
  <c r="HS313" i="29"/>
  <c r="HT313" i="29"/>
  <c r="HU313" i="29"/>
  <c r="HV313" i="29"/>
  <c r="HW313" i="29"/>
  <c r="HX313" i="29"/>
  <c r="HY313" i="29"/>
  <c r="HZ313" i="29"/>
  <c r="IA313" i="29"/>
  <c r="IB313" i="29"/>
  <c r="IC313" i="29"/>
  <c r="ID313" i="29"/>
  <c r="IE313" i="29"/>
  <c r="IF313" i="29"/>
  <c r="IG313" i="29"/>
  <c r="IH313" i="29"/>
  <c r="II313" i="29"/>
  <c r="IJ313" i="29"/>
  <c r="IK313" i="29"/>
  <c r="IL313" i="29"/>
  <c r="IM313" i="29"/>
  <c r="IN313" i="29"/>
  <c r="IO313" i="29"/>
  <c r="IP313" i="29"/>
  <c r="IQ313" i="29"/>
  <c r="IR313" i="29"/>
  <c r="IS313" i="29"/>
  <c r="IT313" i="29"/>
  <c r="IU313" i="29"/>
  <c r="IV313" i="29"/>
  <c r="IW313" i="29"/>
  <c r="IX313" i="29"/>
  <c r="IY313" i="29"/>
  <c r="IZ313" i="29"/>
  <c r="JA313" i="29"/>
  <c r="JB313" i="29"/>
  <c r="JC313" i="29"/>
  <c r="JD313" i="29"/>
  <c r="JE313" i="29"/>
  <c r="JF313" i="29"/>
  <c r="JG313" i="29"/>
  <c r="JH313" i="29"/>
  <c r="JI313" i="29"/>
  <c r="JJ313" i="29"/>
  <c r="JK313" i="29"/>
  <c r="JL313" i="29"/>
  <c r="JM313" i="29"/>
  <c r="JN313" i="29"/>
  <c r="JO313" i="29"/>
  <c r="JP313" i="29"/>
  <c r="JQ313" i="29"/>
  <c r="JR313" i="29"/>
  <c r="JS313" i="29"/>
  <c r="JT313" i="29"/>
  <c r="JU313" i="29"/>
  <c r="JV313" i="29"/>
  <c r="JW313" i="29"/>
  <c r="JX313" i="29"/>
  <c r="JY313" i="29"/>
  <c r="JZ313" i="29"/>
  <c r="KA313" i="29"/>
  <c r="KB313" i="29"/>
  <c r="KC313" i="29"/>
  <c r="KD313" i="29"/>
  <c r="KE313" i="29"/>
  <c r="KF313" i="29"/>
  <c r="KG313" i="29"/>
  <c r="KH313" i="29"/>
  <c r="KI313" i="29"/>
  <c r="KJ313" i="29"/>
  <c r="KK313" i="29"/>
  <c r="KL313" i="29"/>
  <c r="KM313" i="29"/>
  <c r="KN313" i="29"/>
  <c r="KO313" i="29"/>
  <c r="KP313" i="29"/>
  <c r="KQ313" i="29"/>
  <c r="KR313" i="29"/>
  <c r="KS313" i="29"/>
  <c r="KT313" i="29"/>
  <c r="KU313" i="29"/>
  <c r="KV313" i="29"/>
  <c r="KW313" i="29"/>
  <c r="KX313" i="29"/>
  <c r="KY313" i="29"/>
  <c r="KZ313" i="29"/>
  <c r="LA313" i="29"/>
  <c r="LB313" i="29"/>
  <c r="LC313" i="29"/>
  <c r="LD313" i="29"/>
  <c r="LE313" i="29"/>
  <c r="LF313" i="29"/>
  <c r="LG313" i="29"/>
  <c r="LH313" i="29"/>
  <c r="LI313" i="29"/>
  <c r="LJ313" i="29"/>
  <c r="LK313" i="29"/>
  <c r="LL313" i="29"/>
  <c r="LM313" i="29"/>
  <c r="LN313" i="29"/>
  <c r="LO313" i="29"/>
  <c r="LP313" i="29"/>
  <c r="LQ313" i="29"/>
  <c r="LR313" i="29"/>
  <c r="LS313" i="29"/>
  <c r="LT313" i="29"/>
  <c r="LU313" i="29"/>
  <c r="LV313" i="29"/>
  <c r="LW313" i="29"/>
  <c r="LX313" i="29"/>
  <c r="LY313" i="29"/>
  <c r="LZ313" i="29"/>
  <c r="MA313" i="29"/>
  <c r="MB313" i="29"/>
  <c r="MC313" i="29"/>
  <c r="MD313" i="29"/>
  <c r="ME313" i="29"/>
  <c r="MF313" i="29"/>
  <c r="MG313" i="29"/>
  <c r="MH313" i="29"/>
  <c r="MI313" i="29"/>
  <c r="MJ313" i="29"/>
  <c r="MK313" i="29"/>
  <c r="ML313" i="29"/>
  <c r="MM313" i="29"/>
  <c r="MN313" i="29"/>
  <c r="MO313" i="29"/>
  <c r="MP313" i="29"/>
  <c r="MQ313" i="29"/>
  <c r="MR313" i="29"/>
  <c r="MS313" i="29"/>
  <c r="MT313" i="29"/>
  <c r="MU313" i="29"/>
  <c r="MV313" i="29"/>
  <c r="MW313" i="29"/>
  <c r="MX313" i="29"/>
  <c r="MY313" i="29"/>
  <c r="MZ313" i="29"/>
  <c r="NA313" i="29"/>
  <c r="NB313" i="29"/>
  <c r="NC313" i="29"/>
  <c r="ND313" i="29"/>
  <c r="NE313" i="29"/>
  <c r="NF313" i="29"/>
  <c r="NG313" i="29"/>
  <c r="NH313" i="29"/>
  <c r="NI313" i="29"/>
  <c r="NJ313" i="29"/>
  <c r="NK313" i="29"/>
  <c r="NL313" i="29"/>
  <c r="NM313" i="29"/>
  <c r="NN313" i="29"/>
  <c r="NO313" i="29"/>
  <c r="NP313" i="29"/>
  <c r="NQ313" i="29"/>
  <c r="NR313" i="29"/>
  <c r="NS313" i="29"/>
  <c r="NT313" i="29"/>
  <c r="NU313" i="29"/>
  <c r="NV313" i="29"/>
  <c r="NW313" i="29"/>
  <c r="NX313" i="29"/>
  <c r="NY313" i="29"/>
  <c r="NZ313" i="29"/>
  <c r="OA313" i="29"/>
  <c r="OB313" i="29"/>
  <c r="OC313" i="29"/>
  <c r="OD313" i="29"/>
  <c r="OE313" i="29"/>
  <c r="OF313" i="29"/>
  <c r="OG313" i="29"/>
  <c r="OH313" i="29"/>
  <c r="OI313" i="29"/>
  <c r="OJ313" i="29"/>
  <c r="OK313" i="29"/>
  <c r="OL313" i="29"/>
  <c r="OM313" i="29"/>
  <c r="ON313" i="29"/>
  <c r="OO313" i="29"/>
  <c r="OP313" i="29"/>
  <c r="OQ313" i="29"/>
  <c r="OR313" i="29"/>
  <c r="OS313" i="29"/>
  <c r="OT313" i="29"/>
  <c r="OU313" i="29"/>
  <c r="OV313" i="29"/>
  <c r="OW313" i="29"/>
  <c r="OX313" i="29"/>
  <c r="OY313" i="29"/>
  <c r="OZ313" i="29"/>
  <c r="PA313" i="29"/>
  <c r="PB313" i="29"/>
  <c r="PC313" i="29"/>
  <c r="PD313" i="29"/>
  <c r="PE313" i="29"/>
  <c r="PF313" i="29"/>
  <c r="PG313" i="29"/>
  <c r="PH313" i="29"/>
  <c r="PI313" i="29"/>
  <c r="PJ313" i="29"/>
  <c r="PK313" i="29"/>
  <c r="PL313" i="29"/>
  <c r="PM313" i="29"/>
  <c r="PN313" i="29"/>
  <c r="PO313" i="29"/>
  <c r="PP313" i="29"/>
  <c r="PQ313" i="29"/>
  <c r="PR313" i="29"/>
  <c r="PS313" i="29"/>
  <c r="PT313" i="29"/>
  <c r="PU313" i="29"/>
  <c r="PV313" i="29"/>
  <c r="PW313" i="29"/>
  <c r="PX313" i="29"/>
  <c r="PY313" i="29"/>
  <c r="PZ313" i="29"/>
  <c r="QA313" i="29"/>
  <c r="QB313" i="29"/>
  <c r="QC313" i="29"/>
  <c r="QD313" i="29"/>
  <c r="QE313" i="29"/>
  <c r="QF313" i="29"/>
  <c r="QG313" i="29"/>
  <c r="QH313" i="29"/>
  <c r="QI313" i="29"/>
  <c r="QJ313" i="29"/>
  <c r="QK313" i="29"/>
  <c r="QL313" i="29"/>
  <c r="QM313" i="29"/>
  <c r="QN313" i="29"/>
  <c r="QO313" i="29"/>
  <c r="QP313" i="29"/>
  <c r="QQ313" i="29"/>
  <c r="QR313" i="29"/>
  <c r="QS313" i="29"/>
  <c r="QT313" i="29"/>
  <c r="QU313" i="29"/>
  <c r="QV313" i="29"/>
  <c r="QW313" i="29"/>
  <c r="QX313" i="29"/>
  <c r="QY313" i="29"/>
  <c r="QZ313" i="29"/>
  <c r="RA313" i="29"/>
  <c r="RB313" i="29"/>
  <c r="RC313" i="29"/>
  <c r="RD313" i="29"/>
  <c r="RE313" i="29"/>
  <c r="RF313" i="29"/>
  <c r="RG313" i="29"/>
  <c r="RH313" i="29"/>
  <c r="RI313" i="29"/>
  <c r="RJ313" i="29"/>
  <c r="RK313" i="29"/>
  <c r="RL313" i="29"/>
  <c r="RM313" i="29"/>
  <c r="RN313" i="29"/>
  <c r="RO313" i="29"/>
  <c r="RP313" i="29"/>
  <c r="RQ313" i="29"/>
  <c r="RR313" i="29"/>
  <c r="RS313" i="29"/>
  <c r="RT313" i="29"/>
  <c r="RU313" i="29"/>
  <c r="RV313" i="29"/>
  <c r="RW313" i="29"/>
  <c r="RX313" i="29"/>
  <c r="RY313" i="29"/>
  <c r="RZ313" i="29"/>
  <c r="SA313" i="29"/>
  <c r="SB313" i="29"/>
  <c r="SC313" i="29"/>
  <c r="SD313" i="29"/>
  <c r="SE313" i="29"/>
  <c r="SF313" i="29"/>
  <c r="SG313" i="29"/>
  <c r="SH313" i="29"/>
  <c r="SI313" i="29"/>
  <c r="SJ313" i="29"/>
  <c r="SK313" i="29"/>
  <c r="SL313" i="29"/>
  <c r="SM313" i="29"/>
  <c r="SN313" i="29"/>
  <c r="SO313" i="29"/>
  <c r="SP313" i="29"/>
  <c r="SQ313" i="29"/>
  <c r="SR313" i="29"/>
  <c r="SS313" i="29"/>
  <c r="B314" i="29"/>
  <c r="C314" i="29"/>
  <c r="D314" i="29"/>
  <c r="E314" i="29"/>
  <c r="F314" i="29"/>
  <c r="G314" i="29"/>
  <c r="H314" i="29"/>
  <c r="I314" i="29"/>
  <c r="J314" i="29"/>
  <c r="K314" i="29"/>
  <c r="L314" i="29"/>
  <c r="M314" i="29"/>
  <c r="N314" i="29"/>
  <c r="O314" i="29"/>
  <c r="P314" i="29"/>
  <c r="Q314" i="29"/>
  <c r="R314" i="29"/>
  <c r="S314" i="29"/>
  <c r="T314" i="29"/>
  <c r="U314" i="29"/>
  <c r="V314" i="29"/>
  <c r="W314" i="29"/>
  <c r="X314" i="29"/>
  <c r="Y314" i="29"/>
  <c r="Z314" i="29"/>
  <c r="AA314" i="29"/>
  <c r="AB314" i="29"/>
  <c r="AC314" i="29"/>
  <c r="AD314" i="29"/>
  <c r="AE314" i="29"/>
  <c r="AF314" i="29"/>
  <c r="AG314" i="29"/>
  <c r="AH314" i="29"/>
  <c r="AI314" i="29"/>
  <c r="AJ314" i="29"/>
  <c r="AK314" i="29"/>
  <c r="AL314" i="29"/>
  <c r="AM314" i="29"/>
  <c r="AN314" i="29"/>
  <c r="AO314" i="29"/>
  <c r="AP314" i="29"/>
  <c r="AQ314" i="29"/>
  <c r="AR314" i="29"/>
  <c r="AS314" i="29"/>
  <c r="AT314" i="29"/>
  <c r="AU314" i="29"/>
  <c r="AV314" i="29"/>
  <c r="AW314" i="29"/>
  <c r="AX314" i="29"/>
  <c r="AY314" i="29"/>
  <c r="AZ314" i="29"/>
  <c r="BA314" i="29"/>
  <c r="BB314" i="29"/>
  <c r="BC314" i="29"/>
  <c r="BD314" i="29"/>
  <c r="BE314" i="29"/>
  <c r="BF314" i="29"/>
  <c r="BG314" i="29"/>
  <c r="BH314" i="29"/>
  <c r="BI314" i="29"/>
  <c r="BJ314" i="29"/>
  <c r="BK314" i="29"/>
  <c r="BL314" i="29"/>
  <c r="BM314" i="29"/>
  <c r="BN314" i="29"/>
  <c r="BO314" i="29"/>
  <c r="BP314" i="29"/>
  <c r="BQ314" i="29"/>
  <c r="BR314" i="29"/>
  <c r="BS314" i="29"/>
  <c r="BT314" i="29"/>
  <c r="BU314" i="29"/>
  <c r="BV314" i="29"/>
  <c r="BW314" i="29"/>
  <c r="BX314" i="29"/>
  <c r="BY314" i="29"/>
  <c r="BZ314" i="29"/>
  <c r="CA314" i="29"/>
  <c r="CB314" i="29"/>
  <c r="CC314" i="29"/>
  <c r="CD314" i="29"/>
  <c r="CE314" i="29"/>
  <c r="CF314" i="29"/>
  <c r="CG314" i="29"/>
  <c r="CH314" i="29"/>
  <c r="CI314" i="29"/>
  <c r="CJ314" i="29"/>
  <c r="CK314" i="29"/>
  <c r="CL314" i="29"/>
  <c r="CM314" i="29"/>
  <c r="CN314" i="29"/>
  <c r="CO314" i="29"/>
  <c r="CP314" i="29"/>
  <c r="CQ314" i="29"/>
  <c r="CR314" i="29"/>
  <c r="CS314" i="29"/>
  <c r="CT314" i="29"/>
  <c r="CU314" i="29"/>
  <c r="CV314" i="29"/>
  <c r="CW314" i="29"/>
  <c r="CX314" i="29"/>
  <c r="CY314" i="29"/>
  <c r="CZ314" i="29"/>
  <c r="DA314" i="29"/>
  <c r="DB314" i="29"/>
  <c r="DC314" i="29"/>
  <c r="DD314" i="29"/>
  <c r="DE314" i="29"/>
  <c r="DF314" i="29"/>
  <c r="DG314" i="29"/>
  <c r="DH314" i="29"/>
  <c r="DI314" i="29"/>
  <c r="DJ314" i="29"/>
  <c r="DK314" i="29"/>
  <c r="DL314" i="29"/>
  <c r="DM314" i="29"/>
  <c r="DN314" i="29"/>
  <c r="DO314" i="29"/>
  <c r="DP314" i="29"/>
  <c r="DQ314" i="29"/>
  <c r="DR314" i="29"/>
  <c r="DS314" i="29"/>
  <c r="DT314" i="29"/>
  <c r="DU314" i="29"/>
  <c r="DV314" i="29"/>
  <c r="DW314" i="29"/>
  <c r="DX314" i="29"/>
  <c r="DY314" i="29"/>
  <c r="DZ314" i="29"/>
  <c r="EA314" i="29"/>
  <c r="EB314" i="29"/>
  <c r="EC314" i="29"/>
  <c r="ED314" i="29"/>
  <c r="EE314" i="29"/>
  <c r="EF314" i="29"/>
  <c r="EG314" i="29"/>
  <c r="EH314" i="29"/>
  <c r="EI314" i="29"/>
  <c r="EJ314" i="29"/>
  <c r="EK314" i="29"/>
  <c r="EL314" i="29"/>
  <c r="EM314" i="29"/>
  <c r="EN314" i="29"/>
  <c r="EO314" i="29"/>
  <c r="EP314" i="29"/>
  <c r="EQ314" i="29"/>
  <c r="ER314" i="29"/>
  <c r="ES314" i="29"/>
  <c r="ET314" i="29"/>
  <c r="EU314" i="29"/>
  <c r="EV314" i="29"/>
  <c r="EW314" i="29"/>
  <c r="EX314" i="29"/>
  <c r="EY314" i="29"/>
  <c r="EZ314" i="29"/>
  <c r="FA314" i="29"/>
  <c r="FB314" i="29"/>
  <c r="FC314" i="29"/>
  <c r="FD314" i="29"/>
  <c r="FE314" i="29"/>
  <c r="FF314" i="29"/>
  <c r="FG314" i="29"/>
  <c r="FH314" i="29"/>
  <c r="FI314" i="29"/>
  <c r="FJ314" i="29"/>
  <c r="FK314" i="29"/>
  <c r="FL314" i="29"/>
  <c r="FM314" i="29"/>
  <c r="FN314" i="29"/>
  <c r="FO314" i="29"/>
  <c r="FP314" i="29"/>
  <c r="FQ314" i="29"/>
  <c r="FR314" i="29"/>
  <c r="FS314" i="29"/>
  <c r="FT314" i="29"/>
  <c r="FU314" i="29"/>
  <c r="FV314" i="29"/>
  <c r="FW314" i="29"/>
  <c r="FX314" i="29"/>
  <c r="FY314" i="29"/>
  <c r="FZ314" i="29"/>
  <c r="GA314" i="29"/>
  <c r="GB314" i="29"/>
  <c r="GC314" i="29"/>
  <c r="GD314" i="29"/>
  <c r="GE314" i="29"/>
  <c r="GF314" i="29"/>
  <c r="GG314" i="29"/>
  <c r="GH314" i="29"/>
  <c r="GI314" i="29"/>
  <c r="GJ314" i="29"/>
  <c r="GK314" i="29"/>
  <c r="GL314" i="29"/>
  <c r="GM314" i="29"/>
  <c r="GN314" i="29"/>
  <c r="GO314" i="29"/>
  <c r="GP314" i="29"/>
  <c r="GQ314" i="29"/>
  <c r="GR314" i="29"/>
  <c r="GS314" i="29"/>
  <c r="GT314" i="29"/>
  <c r="GU314" i="29"/>
  <c r="GV314" i="29"/>
  <c r="GW314" i="29"/>
  <c r="GX314" i="29"/>
  <c r="GY314" i="29"/>
  <c r="GZ314" i="29"/>
  <c r="HA314" i="29"/>
  <c r="HB314" i="29"/>
  <c r="HC314" i="29"/>
  <c r="HD314" i="29"/>
  <c r="HE314" i="29"/>
  <c r="HF314" i="29"/>
  <c r="HG314" i="29"/>
  <c r="HH314" i="29"/>
  <c r="HI314" i="29"/>
  <c r="HJ314" i="29"/>
  <c r="HK314" i="29"/>
  <c r="HL314" i="29"/>
  <c r="HM314" i="29"/>
  <c r="HN314" i="29"/>
  <c r="HO314" i="29"/>
  <c r="HP314" i="29"/>
  <c r="HQ314" i="29"/>
  <c r="HR314" i="29"/>
  <c r="HS314" i="29"/>
  <c r="HT314" i="29"/>
  <c r="HU314" i="29"/>
  <c r="HV314" i="29"/>
  <c r="HW314" i="29"/>
  <c r="HX314" i="29"/>
  <c r="HY314" i="29"/>
  <c r="HZ314" i="29"/>
  <c r="IA314" i="29"/>
  <c r="IB314" i="29"/>
  <c r="IC314" i="29"/>
  <c r="ID314" i="29"/>
  <c r="IE314" i="29"/>
  <c r="IF314" i="29"/>
  <c r="IG314" i="29"/>
  <c r="IH314" i="29"/>
  <c r="II314" i="29"/>
  <c r="IJ314" i="29"/>
  <c r="IK314" i="29"/>
  <c r="IL314" i="29"/>
  <c r="IM314" i="29"/>
  <c r="IN314" i="29"/>
  <c r="IO314" i="29"/>
  <c r="IP314" i="29"/>
  <c r="IQ314" i="29"/>
  <c r="IR314" i="29"/>
  <c r="IS314" i="29"/>
  <c r="IT314" i="29"/>
  <c r="IU314" i="29"/>
  <c r="IV314" i="29"/>
  <c r="IW314" i="29"/>
  <c r="IX314" i="29"/>
  <c r="IY314" i="29"/>
  <c r="IZ314" i="29"/>
  <c r="JA314" i="29"/>
  <c r="JB314" i="29"/>
  <c r="JC314" i="29"/>
  <c r="JD314" i="29"/>
  <c r="JE314" i="29"/>
  <c r="JF314" i="29"/>
  <c r="JG314" i="29"/>
  <c r="JH314" i="29"/>
  <c r="JI314" i="29"/>
  <c r="JJ314" i="29"/>
  <c r="JK314" i="29"/>
  <c r="JL314" i="29"/>
  <c r="JM314" i="29"/>
  <c r="JN314" i="29"/>
  <c r="JO314" i="29"/>
  <c r="JP314" i="29"/>
  <c r="JQ314" i="29"/>
  <c r="JR314" i="29"/>
  <c r="JS314" i="29"/>
  <c r="JT314" i="29"/>
  <c r="JU314" i="29"/>
  <c r="JV314" i="29"/>
  <c r="JW314" i="29"/>
  <c r="JX314" i="29"/>
  <c r="JY314" i="29"/>
  <c r="JZ314" i="29"/>
  <c r="KA314" i="29"/>
  <c r="KB314" i="29"/>
  <c r="KC314" i="29"/>
  <c r="KD314" i="29"/>
  <c r="KE314" i="29"/>
  <c r="KF314" i="29"/>
  <c r="KG314" i="29"/>
  <c r="KH314" i="29"/>
  <c r="KI314" i="29"/>
  <c r="KJ314" i="29"/>
  <c r="KK314" i="29"/>
  <c r="KL314" i="29"/>
  <c r="KM314" i="29"/>
  <c r="KN314" i="29"/>
  <c r="KO314" i="29"/>
  <c r="KP314" i="29"/>
  <c r="KQ314" i="29"/>
  <c r="KR314" i="29"/>
  <c r="KS314" i="29"/>
  <c r="KT314" i="29"/>
  <c r="KU314" i="29"/>
  <c r="KV314" i="29"/>
  <c r="KW314" i="29"/>
  <c r="KX314" i="29"/>
  <c r="KY314" i="29"/>
  <c r="KZ314" i="29"/>
  <c r="LA314" i="29"/>
  <c r="LB314" i="29"/>
  <c r="LC314" i="29"/>
  <c r="LD314" i="29"/>
  <c r="LE314" i="29"/>
  <c r="LF314" i="29"/>
  <c r="LG314" i="29"/>
  <c r="LH314" i="29"/>
  <c r="LI314" i="29"/>
  <c r="LJ314" i="29"/>
  <c r="LK314" i="29"/>
  <c r="LL314" i="29"/>
  <c r="LM314" i="29"/>
  <c r="LN314" i="29"/>
  <c r="LO314" i="29"/>
  <c r="LP314" i="29"/>
  <c r="LQ314" i="29"/>
  <c r="LR314" i="29"/>
  <c r="LS314" i="29"/>
  <c r="LT314" i="29"/>
  <c r="LU314" i="29"/>
  <c r="LV314" i="29"/>
  <c r="LW314" i="29"/>
  <c r="LX314" i="29"/>
  <c r="LY314" i="29"/>
  <c r="LZ314" i="29"/>
  <c r="MA314" i="29"/>
  <c r="MB314" i="29"/>
  <c r="MC314" i="29"/>
  <c r="MD314" i="29"/>
  <c r="ME314" i="29"/>
  <c r="MF314" i="29"/>
  <c r="MG314" i="29"/>
  <c r="MH314" i="29"/>
  <c r="MI314" i="29"/>
  <c r="MJ314" i="29"/>
  <c r="MK314" i="29"/>
  <c r="ML314" i="29"/>
  <c r="MM314" i="29"/>
  <c r="MN314" i="29"/>
  <c r="MO314" i="29"/>
  <c r="MP314" i="29"/>
  <c r="MQ314" i="29"/>
  <c r="MR314" i="29"/>
  <c r="MS314" i="29"/>
  <c r="MT314" i="29"/>
  <c r="MU314" i="29"/>
  <c r="MV314" i="29"/>
  <c r="MW314" i="29"/>
  <c r="MX314" i="29"/>
  <c r="MY314" i="29"/>
  <c r="MZ314" i="29"/>
  <c r="NA314" i="29"/>
  <c r="NB314" i="29"/>
  <c r="NC314" i="29"/>
  <c r="ND314" i="29"/>
  <c r="NE314" i="29"/>
  <c r="NF314" i="29"/>
  <c r="NG314" i="29"/>
  <c r="NH314" i="29"/>
  <c r="NI314" i="29"/>
  <c r="NJ314" i="29"/>
  <c r="NK314" i="29"/>
  <c r="NL314" i="29"/>
  <c r="NM314" i="29"/>
  <c r="NN314" i="29"/>
  <c r="NO314" i="29"/>
  <c r="NP314" i="29"/>
  <c r="NQ314" i="29"/>
  <c r="NR314" i="29"/>
  <c r="NS314" i="29"/>
  <c r="NT314" i="29"/>
  <c r="NU314" i="29"/>
  <c r="NV314" i="29"/>
  <c r="NW314" i="29"/>
  <c r="NX314" i="29"/>
  <c r="NY314" i="29"/>
  <c r="NZ314" i="29"/>
  <c r="OA314" i="29"/>
  <c r="OB314" i="29"/>
  <c r="OC314" i="29"/>
  <c r="OD314" i="29"/>
  <c r="OE314" i="29"/>
  <c r="OF314" i="29"/>
  <c r="OG314" i="29"/>
  <c r="OH314" i="29"/>
  <c r="OI314" i="29"/>
  <c r="OJ314" i="29"/>
  <c r="OK314" i="29"/>
  <c r="OL314" i="29"/>
  <c r="OM314" i="29"/>
  <c r="ON314" i="29"/>
  <c r="OO314" i="29"/>
  <c r="OP314" i="29"/>
  <c r="OQ314" i="29"/>
  <c r="OR314" i="29"/>
  <c r="OS314" i="29"/>
  <c r="OT314" i="29"/>
  <c r="OU314" i="29"/>
  <c r="OV314" i="29"/>
  <c r="OW314" i="29"/>
  <c r="OX314" i="29"/>
  <c r="OY314" i="29"/>
  <c r="OZ314" i="29"/>
  <c r="PA314" i="29"/>
  <c r="PB314" i="29"/>
  <c r="PC314" i="29"/>
  <c r="PD314" i="29"/>
  <c r="PE314" i="29"/>
  <c r="PF314" i="29"/>
  <c r="PG314" i="29"/>
  <c r="PH314" i="29"/>
  <c r="PI314" i="29"/>
  <c r="PJ314" i="29"/>
  <c r="PK314" i="29"/>
  <c r="PL314" i="29"/>
  <c r="PM314" i="29"/>
  <c r="PN314" i="29"/>
  <c r="PO314" i="29"/>
  <c r="PP314" i="29"/>
  <c r="PQ314" i="29"/>
  <c r="PR314" i="29"/>
  <c r="PS314" i="29"/>
  <c r="PT314" i="29"/>
  <c r="PU314" i="29"/>
  <c r="PV314" i="29"/>
  <c r="PW314" i="29"/>
  <c r="PX314" i="29"/>
  <c r="PY314" i="29"/>
  <c r="PZ314" i="29"/>
  <c r="QA314" i="29"/>
  <c r="QB314" i="29"/>
  <c r="QC314" i="29"/>
  <c r="QD314" i="29"/>
  <c r="QE314" i="29"/>
  <c r="QF314" i="29"/>
  <c r="QG314" i="29"/>
  <c r="QH314" i="29"/>
  <c r="QI314" i="29"/>
  <c r="QJ314" i="29"/>
  <c r="QK314" i="29"/>
  <c r="QL314" i="29"/>
  <c r="QM314" i="29"/>
  <c r="QN314" i="29"/>
  <c r="QO314" i="29"/>
  <c r="QP314" i="29"/>
  <c r="QQ314" i="29"/>
  <c r="QR314" i="29"/>
  <c r="QS314" i="29"/>
  <c r="QT314" i="29"/>
  <c r="QU314" i="29"/>
  <c r="QV314" i="29"/>
  <c r="QW314" i="29"/>
  <c r="QX314" i="29"/>
  <c r="QY314" i="29"/>
  <c r="QZ314" i="29"/>
  <c r="RA314" i="29"/>
  <c r="RB314" i="29"/>
  <c r="RC314" i="29"/>
  <c r="RD314" i="29"/>
  <c r="RE314" i="29"/>
  <c r="RF314" i="29"/>
  <c r="RG314" i="29"/>
  <c r="RH314" i="29"/>
  <c r="RI314" i="29"/>
  <c r="RJ314" i="29"/>
  <c r="RK314" i="29"/>
  <c r="RL314" i="29"/>
  <c r="RM314" i="29"/>
  <c r="RN314" i="29"/>
  <c r="RO314" i="29"/>
  <c r="RP314" i="29"/>
  <c r="RQ314" i="29"/>
  <c r="RR314" i="29"/>
  <c r="RS314" i="29"/>
  <c r="RT314" i="29"/>
  <c r="RU314" i="29"/>
  <c r="RV314" i="29"/>
  <c r="RW314" i="29"/>
  <c r="RX314" i="29"/>
  <c r="RY314" i="29"/>
  <c r="RZ314" i="29"/>
  <c r="SA314" i="29"/>
  <c r="SB314" i="29"/>
  <c r="SC314" i="29"/>
  <c r="SD314" i="29"/>
  <c r="SE314" i="29"/>
  <c r="SF314" i="29"/>
  <c r="SG314" i="29"/>
  <c r="SH314" i="29"/>
  <c r="SI314" i="29"/>
  <c r="SJ314" i="29"/>
  <c r="SK314" i="29"/>
  <c r="SL314" i="29"/>
  <c r="SM314" i="29"/>
  <c r="SN314" i="29"/>
  <c r="SO314" i="29"/>
  <c r="SP314" i="29"/>
  <c r="SQ314" i="29"/>
  <c r="SR314" i="29"/>
  <c r="SS314" i="29"/>
  <c r="B315" i="29"/>
  <c r="C315" i="29"/>
  <c r="D315" i="29"/>
  <c r="E315" i="29"/>
  <c r="F315" i="29"/>
  <c r="G315" i="29"/>
  <c r="H315" i="29"/>
  <c r="I315" i="29"/>
  <c r="J315" i="29"/>
  <c r="K315" i="29"/>
  <c r="L315" i="29"/>
  <c r="M315" i="29"/>
  <c r="N315" i="29"/>
  <c r="O315" i="29"/>
  <c r="P315" i="29"/>
  <c r="Q315" i="29"/>
  <c r="R315" i="29"/>
  <c r="S315" i="29"/>
  <c r="T315" i="29"/>
  <c r="U315" i="29"/>
  <c r="V315" i="29"/>
  <c r="W315" i="29"/>
  <c r="X315" i="29"/>
  <c r="Y315" i="29"/>
  <c r="Z315" i="29"/>
  <c r="AA315" i="29"/>
  <c r="AB315" i="29"/>
  <c r="AC315" i="29"/>
  <c r="AD315" i="29"/>
  <c r="AE315" i="29"/>
  <c r="AF315" i="29"/>
  <c r="AG315" i="29"/>
  <c r="AH315" i="29"/>
  <c r="AI315" i="29"/>
  <c r="AJ315" i="29"/>
  <c r="AK315" i="29"/>
  <c r="AL315" i="29"/>
  <c r="AM315" i="29"/>
  <c r="AN315" i="29"/>
  <c r="AO315" i="29"/>
  <c r="AP315" i="29"/>
  <c r="AQ315" i="29"/>
  <c r="AR315" i="29"/>
  <c r="AS315" i="29"/>
  <c r="AT315" i="29"/>
  <c r="AU315" i="29"/>
  <c r="AV315" i="29"/>
  <c r="AW315" i="29"/>
  <c r="AX315" i="29"/>
  <c r="AY315" i="29"/>
  <c r="AZ315" i="29"/>
  <c r="BA315" i="29"/>
  <c r="BB315" i="29"/>
  <c r="BC315" i="29"/>
  <c r="BD315" i="29"/>
  <c r="BE315" i="29"/>
  <c r="BF315" i="29"/>
  <c r="BG315" i="29"/>
  <c r="BH315" i="29"/>
  <c r="BI315" i="29"/>
  <c r="BJ315" i="29"/>
  <c r="BK315" i="29"/>
  <c r="BL315" i="29"/>
  <c r="BM315" i="29"/>
  <c r="BN315" i="29"/>
  <c r="BO315" i="29"/>
  <c r="BP315" i="29"/>
  <c r="BQ315" i="29"/>
  <c r="BR315" i="29"/>
  <c r="BS315" i="29"/>
  <c r="BT315" i="29"/>
  <c r="BU315" i="29"/>
  <c r="BV315" i="29"/>
  <c r="BW315" i="29"/>
  <c r="BX315" i="29"/>
  <c r="BY315" i="29"/>
  <c r="BZ315" i="29"/>
  <c r="CA315" i="29"/>
  <c r="CB315" i="29"/>
  <c r="CC315" i="29"/>
  <c r="CD315" i="29"/>
  <c r="CE315" i="29"/>
  <c r="CF315" i="29"/>
  <c r="CG315" i="29"/>
  <c r="CH315" i="29"/>
  <c r="CI315" i="29"/>
  <c r="CJ315" i="29"/>
  <c r="CK315" i="29"/>
  <c r="CL315" i="29"/>
  <c r="CM315" i="29"/>
  <c r="CN315" i="29"/>
  <c r="CO315" i="29"/>
  <c r="CP315" i="29"/>
  <c r="CQ315" i="29"/>
  <c r="CR315" i="29"/>
  <c r="CS315" i="29"/>
  <c r="CT315" i="29"/>
  <c r="CU315" i="29"/>
  <c r="CV315" i="29"/>
  <c r="CW315" i="29"/>
  <c r="CX315" i="29"/>
  <c r="CY315" i="29"/>
  <c r="CZ315" i="29"/>
  <c r="DA315" i="29"/>
  <c r="DB315" i="29"/>
  <c r="DC315" i="29"/>
  <c r="DD315" i="29"/>
  <c r="DE315" i="29"/>
  <c r="DF315" i="29"/>
  <c r="DG315" i="29"/>
  <c r="DH315" i="29"/>
  <c r="DI315" i="29"/>
  <c r="DJ315" i="29"/>
  <c r="DK315" i="29"/>
  <c r="DL315" i="29"/>
  <c r="DM315" i="29"/>
  <c r="DN315" i="29"/>
  <c r="DO315" i="29"/>
  <c r="DP315" i="29"/>
  <c r="DQ315" i="29"/>
  <c r="DR315" i="29"/>
  <c r="DS315" i="29"/>
  <c r="DT315" i="29"/>
  <c r="DU315" i="29"/>
  <c r="DV315" i="29"/>
  <c r="DW315" i="29"/>
  <c r="DX315" i="29"/>
  <c r="DY315" i="29"/>
  <c r="DZ315" i="29"/>
  <c r="EA315" i="29"/>
  <c r="EB315" i="29"/>
  <c r="EC315" i="29"/>
  <c r="ED315" i="29"/>
  <c r="EE315" i="29"/>
  <c r="EF315" i="29"/>
  <c r="EG315" i="29"/>
  <c r="EH315" i="29"/>
  <c r="EI315" i="29"/>
  <c r="EJ315" i="29"/>
  <c r="EK315" i="29"/>
  <c r="EL315" i="29"/>
  <c r="EM315" i="29"/>
  <c r="EN315" i="29"/>
  <c r="EO315" i="29"/>
  <c r="EP315" i="29"/>
  <c r="EQ315" i="29"/>
  <c r="ER315" i="29"/>
  <c r="ES315" i="29"/>
  <c r="ET315" i="29"/>
  <c r="EU315" i="29"/>
  <c r="EV315" i="29"/>
  <c r="EW315" i="29"/>
  <c r="EX315" i="29"/>
  <c r="EY315" i="29"/>
  <c r="EZ315" i="29"/>
  <c r="FA315" i="29"/>
  <c r="FB315" i="29"/>
  <c r="FC315" i="29"/>
  <c r="FD315" i="29"/>
  <c r="FE315" i="29"/>
  <c r="FF315" i="29"/>
  <c r="FG315" i="29"/>
  <c r="FH315" i="29"/>
  <c r="FI315" i="29"/>
  <c r="FJ315" i="29"/>
  <c r="FK315" i="29"/>
  <c r="FL315" i="29"/>
  <c r="FM315" i="29"/>
  <c r="FN315" i="29"/>
  <c r="FO315" i="29"/>
  <c r="FP315" i="29"/>
  <c r="FQ315" i="29"/>
  <c r="FR315" i="29"/>
  <c r="FS315" i="29"/>
  <c r="FT315" i="29"/>
  <c r="FU315" i="29"/>
  <c r="FV315" i="29"/>
  <c r="FW315" i="29"/>
  <c r="FX315" i="29"/>
  <c r="FY315" i="29"/>
  <c r="FZ315" i="29"/>
  <c r="GA315" i="29"/>
  <c r="GB315" i="29"/>
  <c r="GC315" i="29"/>
  <c r="GD315" i="29"/>
  <c r="GE315" i="29"/>
  <c r="GF315" i="29"/>
  <c r="GG315" i="29"/>
  <c r="GH315" i="29"/>
  <c r="GI315" i="29"/>
  <c r="GJ315" i="29"/>
  <c r="GK315" i="29"/>
  <c r="GL315" i="29"/>
  <c r="GM315" i="29"/>
  <c r="GN315" i="29"/>
  <c r="GO315" i="29"/>
  <c r="GP315" i="29"/>
  <c r="GQ315" i="29"/>
  <c r="GR315" i="29"/>
  <c r="GS315" i="29"/>
  <c r="GT315" i="29"/>
  <c r="GU315" i="29"/>
  <c r="GV315" i="29"/>
  <c r="GW315" i="29"/>
  <c r="GX315" i="29"/>
  <c r="GY315" i="29"/>
  <c r="GZ315" i="29"/>
  <c r="HA315" i="29"/>
  <c r="HB315" i="29"/>
  <c r="HC315" i="29"/>
  <c r="HD315" i="29"/>
  <c r="HE315" i="29"/>
  <c r="HF315" i="29"/>
  <c r="HG315" i="29"/>
  <c r="HH315" i="29"/>
  <c r="HI315" i="29"/>
  <c r="HJ315" i="29"/>
  <c r="HK315" i="29"/>
  <c r="HL315" i="29"/>
  <c r="HM315" i="29"/>
  <c r="HN315" i="29"/>
  <c r="HO315" i="29"/>
  <c r="HP315" i="29"/>
  <c r="HQ315" i="29"/>
  <c r="HR315" i="29"/>
  <c r="HS315" i="29"/>
  <c r="HT315" i="29"/>
  <c r="HU315" i="29"/>
  <c r="HV315" i="29"/>
  <c r="HW315" i="29"/>
  <c r="HX315" i="29"/>
  <c r="HY315" i="29"/>
  <c r="HZ315" i="29"/>
  <c r="IA315" i="29"/>
  <c r="IB315" i="29"/>
  <c r="IC315" i="29"/>
  <c r="ID315" i="29"/>
  <c r="IE315" i="29"/>
  <c r="IF315" i="29"/>
  <c r="IG315" i="29"/>
  <c r="IH315" i="29"/>
  <c r="II315" i="29"/>
  <c r="IJ315" i="29"/>
  <c r="IK315" i="29"/>
  <c r="IL315" i="29"/>
  <c r="IM315" i="29"/>
  <c r="IN315" i="29"/>
  <c r="IO315" i="29"/>
  <c r="IP315" i="29"/>
  <c r="IQ315" i="29"/>
  <c r="IR315" i="29"/>
  <c r="IS315" i="29"/>
  <c r="IT315" i="29"/>
  <c r="IU315" i="29"/>
  <c r="IV315" i="29"/>
  <c r="IW315" i="29"/>
  <c r="IX315" i="29"/>
  <c r="IY315" i="29"/>
  <c r="IZ315" i="29"/>
  <c r="JA315" i="29"/>
  <c r="JB315" i="29"/>
  <c r="JC315" i="29"/>
  <c r="JD315" i="29"/>
  <c r="JE315" i="29"/>
  <c r="JF315" i="29"/>
  <c r="JG315" i="29"/>
  <c r="JH315" i="29"/>
  <c r="JI315" i="29"/>
  <c r="JJ315" i="29"/>
  <c r="JK315" i="29"/>
  <c r="JL315" i="29"/>
  <c r="JM315" i="29"/>
  <c r="JN315" i="29"/>
  <c r="JO315" i="29"/>
  <c r="JP315" i="29"/>
  <c r="JQ315" i="29"/>
  <c r="JR315" i="29"/>
  <c r="JS315" i="29"/>
  <c r="JT315" i="29"/>
  <c r="JU315" i="29"/>
  <c r="JV315" i="29"/>
  <c r="JW315" i="29"/>
  <c r="JX315" i="29"/>
  <c r="JY315" i="29"/>
  <c r="JZ315" i="29"/>
  <c r="KA315" i="29"/>
  <c r="KB315" i="29"/>
  <c r="KC315" i="29"/>
  <c r="KD315" i="29"/>
  <c r="KE315" i="29"/>
  <c r="KF315" i="29"/>
  <c r="KG315" i="29"/>
  <c r="KH315" i="29"/>
  <c r="KI315" i="29"/>
  <c r="KJ315" i="29"/>
  <c r="KK315" i="29"/>
  <c r="KL315" i="29"/>
  <c r="KM315" i="29"/>
  <c r="KN315" i="29"/>
  <c r="KO315" i="29"/>
  <c r="KP315" i="29"/>
  <c r="KQ315" i="29"/>
  <c r="KR315" i="29"/>
  <c r="KS315" i="29"/>
  <c r="KT315" i="29"/>
  <c r="KU315" i="29"/>
  <c r="KV315" i="29"/>
  <c r="KW315" i="29"/>
  <c r="KX315" i="29"/>
  <c r="KY315" i="29"/>
  <c r="KZ315" i="29"/>
  <c r="LA315" i="29"/>
  <c r="LB315" i="29"/>
  <c r="LC315" i="29"/>
  <c r="LD315" i="29"/>
  <c r="LE315" i="29"/>
  <c r="LF315" i="29"/>
  <c r="LG315" i="29"/>
  <c r="LH315" i="29"/>
  <c r="LI315" i="29"/>
  <c r="LJ315" i="29"/>
  <c r="LK315" i="29"/>
  <c r="LL315" i="29"/>
  <c r="LM315" i="29"/>
  <c r="LN315" i="29"/>
  <c r="LO315" i="29"/>
  <c r="LP315" i="29"/>
  <c r="LQ315" i="29"/>
  <c r="LR315" i="29"/>
  <c r="LS315" i="29"/>
  <c r="LT315" i="29"/>
  <c r="LU315" i="29"/>
  <c r="LV315" i="29"/>
  <c r="LW315" i="29"/>
  <c r="LX315" i="29"/>
  <c r="LY315" i="29"/>
  <c r="LZ315" i="29"/>
  <c r="MA315" i="29"/>
  <c r="MB315" i="29"/>
  <c r="MC315" i="29"/>
  <c r="MD315" i="29"/>
  <c r="ME315" i="29"/>
  <c r="MF315" i="29"/>
  <c r="MG315" i="29"/>
  <c r="MH315" i="29"/>
  <c r="MI315" i="29"/>
  <c r="MJ315" i="29"/>
  <c r="MK315" i="29"/>
  <c r="ML315" i="29"/>
  <c r="MM315" i="29"/>
  <c r="MN315" i="29"/>
  <c r="MO315" i="29"/>
  <c r="MP315" i="29"/>
  <c r="MQ315" i="29"/>
  <c r="MR315" i="29"/>
  <c r="MS315" i="29"/>
  <c r="MT315" i="29"/>
  <c r="MU315" i="29"/>
  <c r="MV315" i="29"/>
  <c r="MW315" i="29"/>
  <c r="MX315" i="29"/>
  <c r="MY315" i="29"/>
  <c r="MZ315" i="29"/>
  <c r="NA315" i="29"/>
  <c r="NB315" i="29"/>
  <c r="NC315" i="29"/>
  <c r="ND315" i="29"/>
  <c r="NE315" i="29"/>
  <c r="NF315" i="29"/>
  <c r="NG315" i="29"/>
  <c r="NH315" i="29"/>
  <c r="NI315" i="29"/>
  <c r="NJ315" i="29"/>
  <c r="NK315" i="29"/>
  <c r="NL315" i="29"/>
  <c r="NM315" i="29"/>
  <c r="NN315" i="29"/>
  <c r="NO315" i="29"/>
  <c r="NP315" i="29"/>
  <c r="NQ315" i="29"/>
  <c r="NR315" i="29"/>
  <c r="NS315" i="29"/>
  <c r="NT315" i="29"/>
  <c r="NU315" i="29"/>
  <c r="NV315" i="29"/>
  <c r="NW315" i="29"/>
  <c r="NX315" i="29"/>
  <c r="NY315" i="29"/>
  <c r="NZ315" i="29"/>
  <c r="OA315" i="29"/>
  <c r="OB315" i="29"/>
  <c r="OC315" i="29"/>
  <c r="OD315" i="29"/>
  <c r="OE315" i="29"/>
  <c r="OF315" i="29"/>
  <c r="OG315" i="29"/>
  <c r="OH315" i="29"/>
  <c r="OI315" i="29"/>
  <c r="OJ315" i="29"/>
  <c r="OK315" i="29"/>
  <c r="OL315" i="29"/>
  <c r="OM315" i="29"/>
  <c r="ON315" i="29"/>
  <c r="OO315" i="29"/>
  <c r="OP315" i="29"/>
  <c r="OQ315" i="29"/>
  <c r="OR315" i="29"/>
  <c r="OS315" i="29"/>
  <c r="OT315" i="29"/>
  <c r="OU315" i="29"/>
  <c r="OV315" i="29"/>
  <c r="OW315" i="29"/>
  <c r="OX315" i="29"/>
  <c r="OY315" i="29"/>
  <c r="OZ315" i="29"/>
  <c r="PA315" i="29"/>
  <c r="PB315" i="29"/>
  <c r="PC315" i="29"/>
  <c r="PD315" i="29"/>
  <c r="PE315" i="29"/>
  <c r="PF315" i="29"/>
  <c r="PG315" i="29"/>
  <c r="PH315" i="29"/>
  <c r="PI315" i="29"/>
  <c r="PJ315" i="29"/>
  <c r="PK315" i="29"/>
  <c r="PL315" i="29"/>
  <c r="PM315" i="29"/>
  <c r="PN315" i="29"/>
  <c r="PO315" i="29"/>
  <c r="PP315" i="29"/>
  <c r="PQ315" i="29"/>
  <c r="PR315" i="29"/>
  <c r="PS315" i="29"/>
  <c r="PT315" i="29"/>
  <c r="PU315" i="29"/>
  <c r="PV315" i="29"/>
  <c r="PW315" i="29"/>
  <c r="PX315" i="29"/>
  <c r="PY315" i="29"/>
  <c r="PZ315" i="29"/>
  <c r="QA315" i="29"/>
  <c r="QB315" i="29"/>
  <c r="QC315" i="29"/>
  <c r="QD315" i="29"/>
  <c r="QE315" i="29"/>
  <c r="QF315" i="29"/>
  <c r="QG315" i="29"/>
  <c r="QH315" i="29"/>
  <c r="QI315" i="29"/>
  <c r="QJ315" i="29"/>
  <c r="QK315" i="29"/>
  <c r="QL315" i="29"/>
  <c r="QM315" i="29"/>
  <c r="QN315" i="29"/>
  <c r="QO315" i="29"/>
  <c r="QP315" i="29"/>
  <c r="QQ315" i="29"/>
  <c r="QR315" i="29"/>
  <c r="QS315" i="29"/>
  <c r="QT315" i="29"/>
  <c r="QU315" i="29"/>
  <c r="QV315" i="29"/>
  <c r="QW315" i="29"/>
  <c r="QX315" i="29"/>
  <c r="QY315" i="29"/>
  <c r="QZ315" i="29"/>
  <c r="RA315" i="29"/>
  <c r="RB315" i="29"/>
  <c r="RC315" i="29"/>
  <c r="RD315" i="29"/>
  <c r="RE315" i="29"/>
  <c r="RF315" i="29"/>
  <c r="RG315" i="29"/>
  <c r="RH315" i="29"/>
  <c r="RI315" i="29"/>
  <c r="RJ315" i="29"/>
  <c r="RK315" i="29"/>
  <c r="RL315" i="29"/>
  <c r="RM315" i="29"/>
  <c r="RN315" i="29"/>
  <c r="RO315" i="29"/>
  <c r="RP315" i="29"/>
  <c r="RQ315" i="29"/>
  <c r="RR315" i="29"/>
  <c r="RS315" i="29"/>
  <c r="RT315" i="29"/>
  <c r="RU315" i="29"/>
  <c r="RV315" i="29"/>
  <c r="RW315" i="29"/>
  <c r="RX315" i="29"/>
  <c r="RY315" i="29"/>
  <c r="RZ315" i="29"/>
  <c r="SA315" i="29"/>
  <c r="SB315" i="29"/>
  <c r="SC315" i="29"/>
  <c r="SD315" i="29"/>
  <c r="SE315" i="29"/>
  <c r="SF315" i="29"/>
  <c r="SG315" i="29"/>
  <c r="SH315" i="29"/>
  <c r="SI315" i="29"/>
  <c r="SJ315" i="29"/>
  <c r="SK315" i="29"/>
  <c r="SL315" i="29"/>
  <c r="SM315" i="29"/>
  <c r="SN315" i="29"/>
  <c r="SO315" i="29"/>
  <c r="SP315" i="29"/>
  <c r="SQ315" i="29"/>
  <c r="SR315" i="29"/>
  <c r="SS315" i="29"/>
  <c r="B316" i="29"/>
  <c r="C316" i="29"/>
  <c r="D316" i="29"/>
  <c r="E316" i="29"/>
  <c r="F316" i="29"/>
  <c r="G316" i="29"/>
  <c r="H316" i="29"/>
  <c r="I316" i="29"/>
  <c r="J316" i="29"/>
  <c r="K316" i="29"/>
  <c r="L316" i="29"/>
  <c r="M316" i="29"/>
  <c r="N316" i="29"/>
  <c r="O316" i="29"/>
  <c r="P316" i="29"/>
  <c r="Q316" i="29"/>
  <c r="R316" i="29"/>
  <c r="S316" i="29"/>
  <c r="T316" i="29"/>
  <c r="U316" i="29"/>
  <c r="V316" i="29"/>
  <c r="W316" i="29"/>
  <c r="X316" i="29"/>
  <c r="Y316" i="29"/>
  <c r="Z316" i="29"/>
  <c r="AA316" i="29"/>
  <c r="AB316" i="29"/>
  <c r="AC316" i="29"/>
  <c r="AD316" i="29"/>
  <c r="AE316" i="29"/>
  <c r="AF316" i="29"/>
  <c r="AG316" i="29"/>
  <c r="AH316" i="29"/>
  <c r="AI316" i="29"/>
  <c r="AJ316" i="29"/>
  <c r="AK316" i="29"/>
  <c r="AL316" i="29"/>
  <c r="AM316" i="29"/>
  <c r="AN316" i="29"/>
  <c r="AO316" i="29"/>
  <c r="AP316" i="29"/>
  <c r="AQ316" i="29"/>
  <c r="AR316" i="29"/>
  <c r="AS316" i="29"/>
  <c r="AT316" i="29"/>
  <c r="AU316" i="29"/>
  <c r="AV316" i="29"/>
  <c r="AW316" i="29"/>
  <c r="AX316" i="29"/>
  <c r="AY316" i="29"/>
  <c r="AZ316" i="29"/>
  <c r="BA316" i="29"/>
  <c r="BB316" i="29"/>
  <c r="BC316" i="29"/>
  <c r="BD316" i="29"/>
  <c r="BE316" i="29"/>
  <c r="BF316" i="29"/>
  <c r="BG316" i="29"/>
  <c r="BH316" i="29"/>
  <c r="BI316" i="29"/>
  <c r="BJ316" i="29"/>
  <c r="BK316" i="29"/>
  <c r="BL316" i="29"/>
  <c r="BM316" i="29"/>
  <c r="BN316" i="29"/>
  <c r="BO316" i="29"/>
  <c r="BP316" i="29"/>
  <c r="BQ316" i="29"/>
  <c r="BR316" i="29"/>
  <c r="BS316" i="29"/>
  <c r="BT316" i="29"/>
  <c r="BU316" i="29"/>
  <c r="BV316" i="29"/>
  <c r="BW316" i="29"/>
  <c r="BX316" i="29"/>
  <c r="BY316" i="29"/>
  <c r="BZ316" i="29"/>
  <c r="CA316" i="29"/>
  <c r="CB316" i="29"/>
  <c r="CC316" i="29"/>
  <c r="CD316" i="29"/>
  <c r="CE316" i="29"/>
  <c r="CF316" i="29"/>
  <c r="CG316" i="29"/>
  <c r="CH316" i="29"/>
  <c r="CI316" i="29"/>
  <c r="CJ316" i="29"/>
  <c r="CK316" i="29"/>
  <c r="CL316" i="29"/>
  <c r="CM316" i="29"/>
  <c r="CN316" i="29"/>
  <c r="CO316" i="29"/>
  <c r="CP316" i="29"/>
  <c r="CQ316" i="29"/>
  <c r="CR316" i="29"/>
  <c r="CS316" i="29"/>
  <c r="CT316" i="29"/>
  <c r="CU316" i="29"/>
  <c r="CV316" i="29"/>
  <c r="CW316" i="29"/>
  <c r="CX316" i="29"/>
  <c r="CY316" i="29"/>
  <c r="CZ316" i="29"/>
  <c r="DA316" i="29"/>
  <c r="DB316" i="29"/>
  <c r="DC316" i="29"/>
  <c r="DD316" i="29"/>
  <c r="DE316" i="29"/>
  <c r="DF316" i="29"/>
  <c r="DG316" i="29"/>
  <c r="DH316" i="29"/>
  <c r="DI316" i="29"/>
  <c r="DJ316" i="29"/>
  <c r="DK316" i="29"/>
  <c r="DL316" i="29"/>
  <c r="DM316" i="29"/>
  <c r="DN316" i="29"/>
  <c r="DO316" i="29"/>
  <c r="DP316" i="29"/>
  <c r="DQ316" i="29"/>
  <c r="DR316" i="29"/>
  <c r="DS316" i="29"/>
  <c r="DT316" i="29"/>
  <c r="DU316" i="29"/>
  <c r="DV316" i="29"/>
  <c r="DW316" i="29"/>
  <c r="DX316" i="29"/>
  <c r="DY316" i="29"/>
  <c r="DZ316" i="29"/>
  <c r="EA316" i="29"/>
  <c r="EB316" i="29"/>
  <c r="EC316" i="29"/>
  <c r="ED316" i="29"/>
  <c r="EE316" i="29"/>
  <c r="EF316" i="29"/>
  <c r="EG316" i="29"/>
  <c r="EH316" i="29"/>
  <c r="EI316" i="29"/>
  <c r="EJ316" i="29"/>
  <c r="EK316" i="29"/>
  <c r="EL316" i="29"/>
  <c r="EM316" i="29"/>
  <c r="EN316" i="29"/>
  <c r="EO316" i="29"/>
  <c r="EP316" i="29"/>
  <c r="EQ316" i="29"/>
  <c r="ER316" i="29"/>
  <c r="ES316" i="29"/>
  <c r="ET316" i="29"/>
  <c r="EU316" i="29"/>
  <c r="EV316" i="29"/>
  <c r="EW316" i="29"/>
  <c r="EX316" i="29"/>
  <c r="EY316" i="29"/>
  <c r="EZ316" i="29"/>
  <c r="FA316" i="29"/>
  <c r="FB316" i="29"/>
  <c r="FC316" i="29"/>
  <c r="FD316" i="29"/>
  <c r="FE316" i="29"/>
  <c r="FF316" i="29"/>
  <c r="FG316" i="29"/>
  <c r="FH316" i="29"/>
  <c r="FI316" i="29"/>
  <c r="FJ316" i="29"/>
  <c r="FK316" i="29"/>
  <c r="FL316" i="29"/>
  <c r="FM316" i="29"/>
  <c r="FN316" i="29"/>
  <c r="FO316" i="29"/>
  <c r="FP316" i="29"/>
  <c r="FQ316" i="29"/>
  <c r="FR316" i="29"/>
  <c r="FS316" i="29"/>
  <c r="FT316" i="29"/>
  <c r="FU316" i="29"/>
  <c r="FV316" i="29"/>
  <c r="FW316" i="29"/>
  <c r="FX316" i="29"/>
  <c r="FY316" i="29"/>
  <c r="FZ316" i="29"/>
  <c r="GA316" i="29"/>
  <c r="GB316" i="29"/>
  <c r="GC316" i="29"/>
  <c r="GD316" i="29"/>
  <c r="GE316" i="29"/>
  <c r="GF316" i="29"/>
  <c r="GG316" i="29"/>
  <c r="GH316" i="29"/>
  <c r="GI316" i="29"/>
  <c r="GJ316" i="29"/>
  <c r="GK316" i="29"/>
  <c r="GL316" i="29"/>
  <c r="GM316" i="29"/>
  <c r="GN316" i="29"/>
  <c r="GO316" i="29"/>
  <c r="GP316" i="29"/>
  <c r="GQ316" i="29"/>
  <c r="GR316" i="29"/>
  <c r="GS316" i="29"/>
  <c r="GT316" i="29"/>
  <c r="GU316" i="29"/>
  <c r="GV316" i="29"/>
  <c r="GW316" i="29"/>
  <c r="GX316" i="29"/>
  <c r="GY316" i="29"/>
  <c r="GZ316" i="29"/>
  <c r="HA316" i="29"/>
  <c r="HB316" i="29"/>
  <c r="HC316" i="29"/>
  <c r="HD316" i="29"/>
  <c r="HE316" i="29"/>
  <c r="HF316" i="29"/>
  <c r="HG316" i="29"/>
  <c r="HH316" i="29"/>
  <c r="HI316" i="29"/>
  <c r="HJ316" i="29"/>
  <c r="HK316" i="29"/>
  <c r="HL316" i="29"/>
  <c r="HM316" i="29"/>
  <c r="HN316" i="29"/>
  <c r="HO316" i="29"/>
  <c r="HP316" i="29"/>
  <c r="HQ316" i="29"/>
  <c r="HR316" i="29"/>
  <c r="HS316" i="29"/>
  <c r="HT316" i="29"/>
  <c r="HU316" i="29"/>
  <c r="HV316" i="29"/>
  <c r="HW316" i="29"/>
  <c r="HX316" i="29"/>
  <c r="HY316" i="29"/>
  <c r="HZ316" i="29"/>
  <c r="IA316" i="29"/>
  <c r="IB316" i="29"/>
  <c r="IC316" i="29"/>
  <c r="ID316" i="29"/>
  <c r="IE316" i="29"/>
  <c r="IF316" i="29"/>
  <c r="IG316" i="29"/>
  <c r="IH316" i="29"/>
  <c r="II316" i="29"/>
  <c r="IJ316" i="29"/>
  <c r="IK316" i="29"/>
  <c r="IL316" i="29"/>
  <c r="IM316" i="29"/>
  <c r="IN316" i="29"/>
  <c r="IO316" i="29"/>
  <c r="IP316" i="29"/>
  <c r="IQ316" i="29"/>
  <c r="IR316" i="29"/>
  <c r="IS316" i="29"/>
  <c r="IT316" i="29"/>
  <c r="IU316" i="29"/>
  <c r="IV316" i="29"/>
  <c r="IW316" i="29"/>
  <c r="IX316" i="29"/>
  <c r="IY316" i="29"/>
  <c r="IZ316" i="29"/>
  <c r="JA316" i="29"/>
  <c r="JB316" i="29"/>
  <c r="JC316" i="29"/>
  <c r="JD316" i="29"/>
  <c r="JE316" i="29"/>
  <c r="JF316" i="29"/>
  <c r="JG316" i="29"/>
  <c r="JH316" i="29"/>
  <c r="JI316" i="29"/>
  <c r="JJ316" i="29"/>
  <c r="JK316" i="29"/>
  <c r="JL316" i="29"/>
  <c r="JM316" i="29"/>
  <c r="JN316" i="29"/>
  <c r="JO316" i="29"/>
  <c r="JP316" i="29"/>
  <c r="JQ316" i="29"/>
  <c r="JR316" i="29"/>
  <c r="JS316" i="29"/>
  <c r="JT316" i="29"/>
  <c r="JU316" i="29"/>
  <c r="JV316" i="29"/>
  <c r="JW316" i="29"/>
  <c r="JX316" i="29"/>
  <c r="JY316" i="29"/>
  <c r="JZ316" i="29"/>
  <c r="KA316" i="29"/>
  <c r="KB316" i="29"/>
  <c r="KC316" i="29"/>
  <c r="KD316" i="29"/>
  <c r="KE316" i="29"/>
  <c r="KF316" i="29"/>
  <c r="KG316" i="29"/>
  <c r="KH316" i="29"/>
  <c r="KI316" i="29"/>
  <c r="KJ316" i="29"/>
  <c r="KK316" i="29"/>
  <c r="KL316" i="29"/>
  <c r="KM316" i="29"/>
  <c r="KN316" i="29"/>
  <c r="KO316" i="29"/>
  <c r="KP316" i="29"/>
  <c r="KQ316" i="29"/>
  <c r="KR316" i="29"/>
  <c r="KS316" i="29"/>
  <c r="KT316" i="29"/>
  <c r="KU316" i="29"/>
  <c r="KV316" i="29"/>
  <c r="KW316" i="29"/>
  <c r="KX316" i="29"/>
  <c r="KY316" i="29"/>
  <c r="KZ316" i="29"/>
  <c r="LA316" i="29"/>
  <c r="LB316" i="29"/>
  <c r="LC316" i="29"/>
  <c r="LD316" i="29"/>
  <c r="LE316" i="29"/>
  <c r="LF316" i="29"/>
  <c r="LG316" i="29"/>
  <c r="LH316" i="29"/>
  <c r="LI316" i="29"/>
  <c r="LJ316" i="29"/>
  <c r="LK316" i="29"/>
  <c r="LL316" i="29"/>
  <c r="LM316" i="29"/>
  <c r="LN316" i="29"/>
  <c r="LO316" i="29"/>
  <c r="LP316" i="29"/>
  <c r="LQ316" i="29"/>
  <c r="LR316" i="29"/>
  <c r="LS316" i="29"/>
  <c r="LT316" i="29"/>
  <c r="LU316" i="29"/>
  <c r="LV316" i="29"/>
  <c r="LW316" i="29"/>
  <c r="LX316" i="29"/>
  <c r="LY316" i="29"/>
  <c r="LZ316" i="29"/>
  <c r="MA316" i="29"/>
  <c r="MB316" i="29"/>
  <c r="MC316" i="29"/>
  <c r="MD316" i="29"/>
  <c r="ME316" i="29"/>
  <c r="MF316" i="29"/>
  <c r="MG316" i="29"/>
  <c r="MH316" i="29"/>
  <c r="MI316" i="29"/>
  <c r="MJ316" i="29"/>
  <c r="MK316" i="29"/>
  <c r="ML316" i="29"/>
  <c r="MM316" i="29"/>
  <c r="MN316" i="29"/>
  <c r="MO316" i="29"/>
  <c r="MP316" i="29"/>
  <c r="MQ316" i="29"/>
  <c r="MR316" i="29"/>
  <c r="MS316" i="29"/>
  <c r="MT316" i="29"/>
  <c r="MU316" i="29"/>
  <c r="MV316" i="29"/>
  <c r="MW316" i="29"/>
  <c r="MX316" i="29"/>
  <c r="MY316" i="29"/>
  <c r="MZ316" i="29"/>
  <c r="NA316" i="29"/>
  <c r="NB316" i="29"/>
  <c r="NC316" i="29"/>
  <c r="ND316" i="29"/>
  <c r="NE316" i="29"/>
  <c r="NF316" i="29"/>
  <c r="NG316" i="29"/>
  <c r="NH316" i="29"/>
  <c r="NI316" i="29"/>
  <c r="NJ316" i="29"/>
  <c r="NK316" i="29"/>
  <c r="NL316" i="29"/>
  <c r="NM316" i="29"/>
  <c r="NN316" i="29"/>
  <c r="NO316" i="29"/>
  <c r="NP316" i="29"/>
  <c r="NQ316" i="29"/>
  <c r="NR316" i="29"/>
  <c r="NS316" i="29"/>
  <c r="NT316" i="29"/>
  <c r="NU316" i="29"/>
  <c r="NV316" i="29"/>
  <c r="NW316" i="29"/>
  <c r="NX316" i="29"/>
  <c r="NY316" i="29"/>
  <c r="NZ316" i="29"/>
  <c r="OA316" i="29"/>
  <c r="OB316" i="29"/>
  <c r="OC316" i="29"/>
  <c r="OD316" i="29"/>
  <c r="OE316" i="29"/>
  <c r="OF316" i="29"/>
  <c r="OG316" i="29"/>
  <c r="OH316" i="29"/>
  <c r="OI316" i="29"/>
  <c r="OJ316" i="29"/>
  <c r="OK316" i="29"/>
  <c r="OL316" i="29"/>
  <c r="OM316" i="29"/>
  <c r="ON316" i="29"/>
  <c r="OO316" i="29"/>
  <c r="OP316" i="29"/>
  <c r="OQ316" i="29"/>
  <c r="OR316" i="29"/>
  <c r="OS316" i="29"/>
  <c r="OT316" i="29"/>
  <c r="OU316" i="29"/>
  <c r="OV316" i="29"/>
  <c r="OW316" i="29"/>
  <c r="OX316" i="29"/>
  <c r="OY316" i="29"/>
  <c r="OZ316" i="29"/>
  <c r="PA316" i="29"/>
  <c r="PB316" i="29"/>
  <c r="PC316" i="29"/>
  <c r="PD316" i="29"/>
  <c r="PE316" i="29"/>
  <c r="PF316" i="29"/>
  <c r="PG316" i="29"/>
  <c r="PH316" i="29"/>
  <c r="PI316" i="29"/>
  <c r="PJ316" i="29"/>
  <c r="PK316" i="29"/>
  <c r="PL316" i="29"/>
  <c r="PM316" i="29"/>
  <c r="PN316" i="29"/>
  <c r="PO316" i="29"/>
  <c r="PP316" i="29"/>
  <c r="PQ316" i="29"/>
  <c r="PR316" i="29"/>
  <c r="PS316" i="29"/>
  <c r="PT316" i="29"/>
  <c r="PU316" i="29"/>
  <c r="PV316" i="29"/>
  <c r="PW316" i="29"/>
  <c r="PX316" i="29"/>
  <c r="PY316" i="29"/>
  <c r="PZ316" i="29"/>
  <c r="QA316" i="29"/>
  <c r="QB316" i="29"/>
  <c r="QC316" i="29"/>
  <c r="QD316" i="29"/>
  <c r="QE316" i="29"/>
  <c r="QF316" i="29"/>
  <c r="QG316" i="29"/>
  <c r="QH316" i="29"/>
  <c r="QI316" i="29"/>
  <c r="QJ316" i="29"/>
  <c r="QK316" i="29"/>
  <c r="QL316" i="29"/>
  <c r="QM316" i="29"/>
  <c r="QN316" i="29"/>
  <c r="QO316" i="29"/>
  <c r="QP316" i="29"/>
  <c r="QQ316" i="29"/>
  <c r="QR316" i="29"/>
  <c r="QS316" i="29"/>
  <c r="QT316" i="29"/>
  <c r="QU316" i="29"/>
  <c r="QV316" i="29"/>
  <c r="QW316" i="29"/>
  <c r="QX316" i="29"/>
  <c r="QY316" i="29"/>
  <c r="QZ316" i="29"/>
  <c r="RA316" i="29"/>
  <c r="RB316" i="29"/>
  <c r="RC316" i="29"/>
  <c r="RD316" i="29"/>
  <c r="RE316" i="29"/>
  <c r="RF316" i="29"/>
  <c r="RG316" i="29"/>
  <c r="RH316" i="29"/>
  <c r="RI316" i="29"/>
  <c r="RJ316" i="29"/>
  <c r="RK316" i="29"/>
  <c r="RL316" i="29"/>
  <c r="RM316" i="29"/>
  <c r="RN316" i="29"/>
  <c r="RO316" i="29"/>
  <c r="RP316" i="29"/>
  <c r="RQ316" i="29"/>
  <c r="RR316" i="29"/>
  <c r="RS316" i="29"/>
  <c r="RT316" i="29"/>
  <c r="RU316" i="29"/>
  <c r="RV316" i="29"/>
  <c r="RW316" i="29"/>
  <c r="RX316" i="29"/>
  <c r="RY316" i="29"/>
  <c r="RZ316" i="29"/>
  <c r="SA316" i="29"/>
  <c r="SB316" i="29"/>
  <c r="SC316" i="29"/>
  <c r="SD316" i="29"/>
  <c r="SE316" i="29"/>
  <c r="SF316" i="29"/>
  <c r="SG316" i="29"/>
  <c r="SH316" i="29"/>
  <c r="SI316" i="29"/>
  <c r="SJ316" i="29"/>
  <c r="SK316" i="29"/>
  <c r="SL316" i="29"/>
  <c r="SM316" i="29"/>
  <c r="SN316" i="29"/>
  <c r="SO316" i="29"/>
  <c r="SP316" i="29"/>
  <c r="SQ316" i="29"/>
  <c r="SR316" i="29"/>
  <c r="SS316" i="29"/>
  <c r="B317" i="29"/>
  <c r="C317" i="29"/>
  <c r="D317" i="29"/>
  <c r="E317" i="29"/>
  <c r="F317" i="29"/>
  <c r="G317" i="29"/>
  <c r="H317" i="29"/>
  <c r="I317" i="29"/>
  <c r="J317" i="29"/>
  <c r="K317" i="29"/>
  <c r="L317" i="29"/>
  <c r="M317" i="29"/>
  <c r="N317" i="29"/>
  <c r="O317" i="29"/>
  <c r="P317" i="29"/>
  <c r="Q317" i="29"/>
  <c r="R317" i="29"/>
  <c r="S317" i="29"/>
  <c r="T317" i="29"/>
  <c r="U317" i="29"/>
  <c r="V317" i="29"/>
  <c r="W317" i="29"/>
  <c r="X317" i="29"/>
  <c r="Y317" i="29"/>
  <c r="Z317" i="29"/>
  <c r="AA317" i="29"/>
  <c r="AB317" i="29"/>
  <c r="AC317" i="29"/>
  <c r="AD317" i="29"/>
  <c r="AE317" i="29"/>
  <c r="AF317" i="29"/>
  <c r="AG317" i="29"/>
  <c r="AH317" i="29"/>
  <c r="AI317" i="29"/>
  <c r="AJ317" i="29"/>
  <c r="AK317" i="29"/>
  <c r="AL317" i="29"/>
  <c r="AM317" i="29"/>
  <c r="AN317" i="29"/>
  <c r="AO317" i="29"/>
  <c r="AP317" i="29"/>
  <c r="AQ317" i="29"/>
  <c r="AR317" i="29"/>
  <c r="AS317" i="29"/>
  <c r="AT317" i="29"/>
  <c r="AU317" i="29"/>
  <c r="AV317" i="29"/>
  <c r="AW317" i="29"/>
  <c r="AX317" i="29"/>
  <c r="AY317" i="29"/>
  <c r="AZ317" i="29"/>
  <c r="BA317" i="29"/>
  <c r="BB317" i="29"/>
  <c r="BC317" i="29"/>
  <c r="BD317" i="29"/>
  <c r="BE317" i="29"/>
  <c r="BF317" i="29"/>
  <c r="BG317" i="29"/>
  <c r="BH317" i="29"/>
  <c r="BI317" i="29"/>
  <c r="BJ317" i="29"/>
  <c r="BK317" i="29"/>
  <c r="BL317" i="29"/>
  <c r="BM317" i="29"/>
  <c r="BN317" i="29"/>
  <c r="BO317" i="29"/>
  <c r="BP317" i="29"/>
  <c r="BQ317" i="29"/>
  <c r="BR317" i="29"/>
  <c r="BS317" i="29"/>
  <c r="BT317" i="29"/>
  <c r="BU317" i="29"/>
  <c r="BV317" i="29"/>
  <c r="BW317" i="29"/>
  <c r="BX317" i="29"/>
  <c r="BY317" i="29"/>
  <c r="BZ317" i="29"/>
  <c r="CA317" i="29"/>
  <c r="CB317" i="29"/>
  <c r="CC317" i="29"/>
  <c r="CD317" i="29"/>
  <c r="CE317" i="29"/>
  <c r="CF317" i="29"/>
  <c r="CG317" i="29"/>
  <c r="CH317" i="29"/>
  <c r="CI317" i="29"/>
  <c r="CJ317" i="29"/>
  <c r="CK317" i="29"/>
  <c r="CL317" i="29"/>
  <c r="CM317" i="29"/>
  <c r="CN317" i="29"/>
  <c r="CO317" i="29"/>
  <c r="CP317" i="29"/>
  <c r="CQ317" i="29"/>
  <c r="CR317" i="29"/>
  <c r="CS317" i="29"/>
  <c r="CT317" i="29"/>
  <c r="CU317" i="29"/>
  <c r="CV317" i="29"/>
  <c r="CW317" i="29"/>
  <c r="CX317" i="29"/>
  <c r="CY317" i="29"/>
  <c r="CZ317" i="29"/>
  <c r="DA317" i="29"/>
  <c r="DB317" i="29"/>
  <c r="DC317" i="29"/>
  <c r="DD317" i="29"/>
  <c r="DE317" i="29"/>
  <c r="DF317" i="29"/>
  <c r="DG317" i="29"/>
  <c r="DH317" i="29"/>
  <c r="DI317" i="29"/>
  <c r="DJ317" i="29"/>
  <c r="DK317" i="29"/>
  <c r="DL317" i="29"/>
  <c r="DM317" i="29"/>
  <c r="DN317" i="29"/>
  <c r="DO317" i="29"/>
  <c r="DP317" i="29"/>
  <c r="DQ317" i="29"/>
  <c r="DR317" i="29"/>
  <c r="DS317" i="29"/>
  <c r="DT317" i="29"/>
  <c r="DU317" i="29"/>
  <c r="DV317" i="29"/>
  <c r="DW317" i="29"/>
  <c r="DX317" i="29"/>
  <c r="DY317" i="29"/>
  <c r="DZ317" i="29"/>
  <c r="EA317" i="29"/>
  <c r="EB317" i="29"/>
  <c r="EC317" i="29"/>
  <c r="ED317" i="29"/>
  <c r="EE317" i="29"/>
  <c r="EF317" i="29"/>
  <c r="EG317" i="29"/>
  <c r="EH317" i="29"/>
  <c r="EI317" i="29"/>
  <c r="EJ317" i="29"/>
  <c r="EK317" i="29"/>
  <c r="EL317" i="29"/>
  <c r="EM317" i="29"/>
  <c r="EN317" i="29"/>
  <c r="EO317" i="29"/>
  <c r="EP317" i="29"/>
  <c r="EQ317" i="29"/>
  <c r="ER317" i="29"/>
  <c r="ES317" i="29"/>
  <c r="ET317" i="29"/>
  <c r="EU317" i="29"/>
  <c r="EV317" i="29"/>
  <c r="EW317" i="29"/>
  <c r="EX317" i="29"/>
  <c r="EY317" i="29"/>
  <c r="EZ317" i="29"/>
  <c r="FA317" i="29"/>
  <c r="FB317" i="29"/>
  <c r="FC317" i="29"/>
  <c r="FD317" i="29"/>
  <c r="FE317" i="29"/>
  <c r="FF317" i="29"/>
  <c r="FG317" i="29"/>
  <c r="FH317" i="29"/>
  <c r="FI317" i="29"/>
  <c r="FJ317" i="29"/>
  <c r="FK317" i="29"/>
  <c r="FL317" i="29"/>
  <c r="FM317" i="29"/>
  <c r="FN317" i="29"/>
  <c r="FO317" i="29"/>
  <c r="FP317" i="29"/>
  <c r="FQ317" i="29"/>
  <c r="FR317" i="29"/>
  <c r="FS317" i="29"/>
  <c r="FT317" i="29"/>
  <c r="FU317" i="29"/>
  <c r="FV317" i="29"/>
  <c r="FW317" i="29"/>
  <c r="FX317" i="29"/>
  <c r="FY317" i="29"/>
  <c r="FZ317" i="29"/>
  <c r="GA317" i="29"/>
  <c r="GB317" i="29"/>
  <c r="GC317" i="29"/>
  <c r="GD317" i="29"/>
  <c r="GE317" i="29"/>
  <c r="GF317" i="29"/>
  <c r="GG317" i="29"/>
  <c r="GH317" i="29"/>
  <c r="GI317" i="29"/>
  <c r="GJ317" i="29"/>
  <c r="GK317" i="29"/>
  <c r="GL317" i="29"/>
  <c r="GM317" i="29"/>
  <c r="GN317" i="29"/>
  <c r="GO317" i="29"/>
  <c r="GP317" i="29"/>
  <c r="GQ317" i="29"/>
  <c r="GR317" i="29"/>
  <c r="GS317" i="29"/>
  <c r="GT317" i="29"/>
  <c r="GU317" i="29"/>
  <c r="GV317" i="29"/>
  <c r="GW317" i="29"/>
  <c r="GX317" i="29"/>
  <c r="GY317" i="29"/>
  <c r="GZ317" i="29"/>
  <c r="HA317" i="29"/>
  <c r="HB317" i="29"/>
  <c r="HC317" i="29"/>
  <c r="HD317" i="29"/>
  <c r="HE317" i="29"/>
  <c r="HF317" i="29"/>
  <c r="HG317" i="29"/>
  <c r="HH317" i="29"/>
  <c r="HI317" i="29"/>
  <c r="HJ317" i="29"/>
  <c r="HK317" i="29"/>
  <c r="HL317" i="29"/>
  <c r="HM317" i="29"/>
  <c r="HN317" i="29"/>
  <c r="HO317" i="29"/>
  <c r="HP317" i="29"/>
  <c r="HQ317" i="29"/>
  <c r="HR317" i="29"/>
  <c r="HS317" i="29"/>
  <c r="HT317" i="29"/>
  <c r="HU317" i="29"/>
  <c r="HV317" i="29"/>
  <c r="HW317" i="29"/>
  <c r="HX317" i="29"/>
  <c r="HY317" i="29"/>
  <c r="HZ317" i="29"/>
  <c r="IA317" i="29"/>
  <c r="IB317" i="29"/>
  <c r="IC317" i="29"/>
  <c r="ID317" i="29"/>
  <c r="IE317" i="29"/>
  <c r="IF317" i="29"/>
  <c r="IG317" i="29"/>
  <c r="IH317" i="29"/>
  <c r="II317" i="29"/>
  <c r="IJ317" i="29"/>
  <c r="IK317" i="29"/>
  <c r="IL317" i="29"/>
  <c r="IM317" i="29"/>
  <c r="IN317" i="29"/>
  <c r="IO317" i="29"/>
  <c r="IP317" i="29"/>
  <c r="IQ317" i="29"/>
  <c r="IR317" i="29"/>
  <c r="IS317" i="29"/>
  <c r="IT317" i="29"/>
  <c r="IU317" i="29"/>
  <c r="IV317" i="29"/>
  <c r="IW317" i="29"/>
  <c r="IX317" i="29"/>
  <c r="IY317" i="29"/>
  <c r="IZ317" i="29"/>
  <c r="JA317" i="29"/>
  <c r="JB317" i="29"/>
  <c r="JC317" i="29"/>
  <c r="JD317" i="29"/>
  <c r="JE317" i="29"/>
  <c r="JF317" i="29"/>
  <c r="JG317" i="29"/>
  <c r="JH317" i="29"/>
  <c r="JI317" i="29"/>
  <c r="JJ317" i="29"/>
  <c r="JK317" i="29"/>
  <c r="JL317" i="29"/>
  <c r="JM317" i="29"/>
  <c r="JN317" i="29"/>
  <c r="JO317" i="29"/>
  <c r="JP317" i="29"/>
  <c r="JQ317" i="29"/>
  <c r="JR317" i="29"/>
  <c r="JS317" i="29"/>
  <c r="JT317" i="29"/>
  <c r="JU317" i="29"/>
  <c r="JV317" i="29"/>
  <c r="JW317" i="29"/>
  <c r="JX317" i="29"/>
  <c r="JY317" i="29"/>
  <c r="JZ317" i="29"/>
  <c r="KA317" i="29"/>
  <c r="KB317" i="29"/>
  <c r="KC317" i="29"/>
  <c r="KD317" i="29"/>
  <c r="KE317" i="29"/>
  <c r="KF317" i="29"/>
  <c r="KG317" i="29"/>
  <c r="KH317" i="29"/>
  <c r="KI317" i="29"/>
  <c r="KJ317" i="29"/>
  <c r="KK317" i="29"/>
  <c r="KL317" i="29"/>
  <c r="KM317" i="29"/>
  <c r="KN317" i="29"/>
  <c r="KO317" i="29"/>
  <c r="KP317" i="29"/>
  <c r="KQ317" i="29"/>
  <c r="KR317" i="29"/>
  <c r="KS317" i="29"/>
  <c r="KT317" i="29"/>
  <c r="KU317" i="29"/>
  <c r="KV317" i="29"/>
  <c r="KW317" i="29"/>
  <c r="KX317" i="29"/>
  <c r="KY317" i="29"/>
  <c r="KZ317" i="29"/>
  <c r="LA317" i="29"/>
  <c r="LB317" i="29"/>
  <c r="LC317" i="29"/>
  <c r="LD317" i="29"/>
  <c r="LE317" i="29"/>
  <c r="LF317" i="29"/>
  <c r="LG317" i="29"/>
  <c r="LH317" i="29"/>
  <c r="LI317" i="29"/>
  <c r="LJ317" i="29"/>
  <c r="LK317" i="29"/>
  <c r="LL317" i="29"/>
  <c r="LM317" i="29"/>
  <c r="LN317" i="29"/>
  <c r="LO317" i="29"/>
  <c r="LP317" i="29"/>
  <c r="LQ317" i="29"/>
  <c r="LR317" i="29"/>
  <c r="LS317" i="29"/>
  <c r="LT317" i="29"/>
  <c r="LU317" i="29"/>
  <c r="LV317" i="29"/>
  <c r="LW317" i="29"/>
  <c r="LX317" i="29"/>
  <c r="LY317" i="29"/>
  <c r="LZ317" i="29"/>
  <c r="MA317" i="29"/>
  <c r="MB317" i="29"/>
  <c r="MC317" i="29"/>
  <c r="MD317" i="29"/>
  <c r="ME317" i="29"/>
  <c r="MF317" i="29"/>
  <c r="MG317" i="29"/>
  <c r="MH317" i="29"/>
  <c r="MI317" i="29"/>
  <c r="MJ317" i="29"/>
  <c r="MK317" i="29"/>
  <c r="ML317" i="29"/>
  <c r="MM317" i="29"/>
  <c r="MN317" i="29"/>
  <c r="MO317" i="29"/>
  <c r="MP317" i="29"/>
  <c r="MQ317" i="29"/>
  <c r="MR317" i="29"/>
  <c r="MS317" i="29"/>
  <c r="MT317" i="29"/>
  <c r="MU317" i="29"/>
  <c r="MV317" i="29"/>
  <c r="MW317" i="29"/>
  <c r="MX317" i="29"/>
  <c r="MY317" i="29"/>
  <c r="MZ317" i="29"/>
  <c r="NA317" i="29"/>
  <c r="NB317" i="29"/>
  <c r="NC317" i="29"/>
  <c r="ND317" i="29"/>
  <c r="NE317" i="29"/>
  <c r="NF317" i="29"/>
  <c r="NG317" i="29"/>
  <c r="NH317" i="29"/>
  <c r="NI317" i="29"/>
  <c r="NJ317" i="29"/>
  <c r="NK317" i="29"/>
  <c r="NL317" i="29"/>
  <c r="NM317" i="29"/>
  <c r="NN317" i="29"/>
  <c r="NO317" i="29"/>
  <c r="NP317" i="29"/>
  <c r="NQ317" i="29"/>
  <c r="NR317" i="29"/>
  <c r="NS317" i="29"/>
  <c r="NT317" i="29"/>
  <c r="NU317" i="29"/>
  <c r="NV317" i="29"/>
  <c r="NW317" i="29"/>
  <c r="NX317" i="29"/>
  <c r="NY317" i="29"/>
  <c r="NZ317" i="29"/>
  <c r="OA317" i="29"/>
  <c r="OB317" i="29"/>
  <c r="OC317" i="29"/>
  <c r="OD317" i="29"/>
  <c r="OE317" i="29"/>
  <c r="OF317" i="29"/>
  <c r="OG317" i="29"/>
  <c r="OH317" i="29"/>
  <c r="OI317" i="29"/>
  <c r="OJ317" i="29"/>
  <c r="OK317" i="29"/>
  <c r="OL317" i="29"/>
  <c r="OM317" i="29"/>
  <c r="ON317" i="29"/>
  <c r="OO317" i="29"/>
  <c r="OP317" i="29"/>
  <c r="OQ317" i="29"/>
  <c r="OR317" i="29"/>
  <c r="OS317" i="29"/>
  <c r="OT317" i="29"/>
  <c r="OU317" i="29"/>
  <c r="OV317" i="29"/>
  <c r="OW317" i="29"/>
  <c r="OX317" i="29"/>
  <c r="OY317" i="29"/>
  <c r="OZ317" i="29"/>
  <c r="PA317" i="29"/>
  <c r="PB317" i="29"/>
  <c r="PC317" i="29"/>
  <c r="PD317" i="29"/>
  <c r="PE317" i="29"/>
  <c r="PF317" i="29"/>
  <c r="PG317" i="29"/>
  <c r="PH317" i="29"/>
  <c r="PI317" i="29"/>
  <c r="PJ317" i="29"/>
  <c r="PK317" i="29"/>
  <c r="PL317" i="29"/>
  <c r="PM317" i="29"/>
  <c r="PN317" i="29"/>
  <c r="PO317" i="29"/>
  <c r="PP317" i="29"/>
  <c r="PQ317" i="29"/>
  <c r="PR317" i="29"/>
  <c r="PS317" i="29"/>
  <c r="PT317" i="29"/>
  <c r="PU317" i="29"/>
  <c r="PV317" i="29"/>
  <c r="PW317" i="29"/>
  <c r="PX317" i="29"/>
  <c r="PY317" i="29"/>
  <c r="PZ317" i="29"/>
  <c r="QA317" i="29"/>
  <c r="QB317" i="29"/>
  <c r="QC317" i="29"/>
  <c r="QD317" i="29"/>
  <c r="QE317" i="29"/>
  <c r="QF317" i="29"/>
  <c r="QG317" i="29"/>
  <c r="QH317" i="29"/>
  <c r="QI317" i="29"/>
  <c r="QJ317" i="29"/>
  <c r="QK317" i="29"/>
  <c r="QL317" i="29"/>
  <c r="QM317" i="29"/>
  <c r="QN317" i="29"/>
  <c r="QO317" i="29"/>
  <c r="QP317" i="29"/>
  <c r="QQ317" i="29"/>
  <c r="QR317" i="29"/>
  <c r="QS317" i="29"/>
  <c r="QT317" i="29"/>
  <c r="QU317" i="29"/>
  <c r="QV317" i="29"/>
  <c r="QW317" i="29"/>
  <c r="QX317" i="29"/>
  <c r="QY317" i="29"/>
  <c r="QZ317" i="29"/>
  <c r="RA317" i="29"/>
  <c r="RB317" i="29"/>
  <c r="RC317" i="29"/>
  <c r="RD317" i="29"/>
  <c r="RE317" i="29"/>
  <c r="RF317" i="29"/>
  <c r="RG317" i="29"/>
  <c r="RH317" i="29"/>
  <c r="RI317" i="29"/>
  <c r="RJ317" i="29"/>
  <c r="RK317" i="29"/>
  <c r="RL317" i="29"/>
  <c r="RM317" i="29"/>
  <c r="RN317" i="29"/>
  <c r="RO317" i="29"/>
  <c r="RP317" i="29"/>
  <c r="RQ317" i="29"/>
  <c r="RR317" i="29"/>
  <c r="RS317" i="29"/>
  <c r="RT317" i="29"/>
  <c r="RU317" i="29"/>
  <c r="RV317" i="29"/>
  <c r="RW317" i="29"/>
  <c r="RX317" i="29"/>
  <c r="RY317" i="29"/>
  <c r="RZ317" i="29"/>
  <c r="SA317" i="29"/>
  <c r="SB317" i="29"/>
  <c r="SC317" i="29"/>
  <c r="SD317" i="29"/>
  <c r="SE317" i="29"/>
  <c r="SF317" i="29"/>
  <c r="SG317" i="29"/>
  <c r="SH317" i="29"/>
  <c r="SI317" i="29"/>
  <c r="SJ317" i="29"/>
  <c r="SK317" i="29"/>
  <c r="SL317" i="29"/>
  <c r="SM317" i="29"/>
  <c r="SN317" i="29"/>
  <c r="SO317" i="29"/>
  <c r="SP317" i="29"/>
  <c r="SQ317" i="29"/>
  <c r="SR317" i="29"/>
  <c r="SS317" i="29"/>
  <c r="B318" i="29"/>
  <c r="C318" i="29"/>
  <c r="D318" i="29"/>
  <c r="E318" i="29"/>
  <c r="F318" i="29"/>
  <c r="G318" i="29"/>
  <c r="H318" i="29"/>
  <c r="I318" i="29"/>
  <c r="J318" i="29"/>
  <c r="K318" i="29"/>
  <c r="L318" i="29"/>
  <c r="M318" i="29"/>
  <c r="N318" i="29"/>
  <c r="O318" i="29"/>
  <c r="P318" i="29"/>
  <c r="Q318" i="29"/>
  <c r="R318" i="29"/>
  <c r="S318" i="29"/>
  <c r="T318" i="29"/>
  <c r="U318" i="29"/>
  <c r="V318" i="29"/>
  <c r="W318" i="29"/>
  <c r="X318" i="29"/>
  <c r="Y318" i="29"/>
  <c r="Z318" i="29"/>
  <c r="AA318" i="29"/>
  <c r="AB318" i="29"/>
  <c r="AC318" i="29"/>
  <c r="AD318" i="29"/>
  <c r="AE318" i="29"/>
  <c r="AF318" i="29"/>
  <c r="AG318" i="29"/>
  <c r="AH318" i="29"/>
  <c r="AI318" i="29"/>
  <c r="AJ318" i="29"/>
  <c r="AK318" i="29"/>
  <c r="AL318" i="29"/>
  <c r="AM318" i="29"/>
  <c r="AN318" i="29"/>
  <c r="AO318" i="29"/>
  <c r="AP318" i="29"/>
  <c r="AQ318" i="29"/>
  <c r="AR318" i="29"/>
  <c r="AS318" i="29"/>
  <c r="AT318" i="29"/>
  <c r="AU318" i="29"/>
  <c r="AV318" i="29"/>
  <c r="AW318" i="29"/>
  <c r="AX318" i="29"/>
  <c r="AY318" i="29"/>
  <c r="AZ318" i="29"/>
  <c r="BA318" i="29"/>
  <c r="BB318" i="29"/>
  <c r="BC318" i="29"/>
  <c r="BD318" i="29"/>
  <c r="BE318" i="29"/>
  <c r="BF318" i="29"/>
  <c r="BG318" i="29"/>
  <c r="BH318" i="29"/>
  <c r="BI318" i="29"/>
  <c r="BJ318" i="29"/>
  <c r="BK318" i="29"/>
  <c r="BL318" i="29"/>
  <c r="BM318" i="29"/>
  <c r="BN318" i="29"/>
  <c r="BO318" i="29"/>
  <c r="BP318" i="29"/>
  <c r="BQ318" i="29"/>
  <c r="BR318" i="29"/>
  <c r="BS318" i="29"/>
  <c r="BT318" i="29"/>
  <c r="BU318" i="29"/>
  <c r="BV318" i="29"/>
  <c r="BW318" i="29"/>
  <c r="BX318" i="29"/>
  <c r="BY318" i="29"/>
  <c r="BZ318" i="29"/>
  <c r="CA318" i="29"/>
  <c r="CB318" i="29"/>
  <c r="CC318" i="29"/>
  <c r="CD318" i="29"/>
  <c r="CE318" i="29"/>
  <c r="CF318" i="29"/>
  <c r="CG318" i="29"/>
  <c r="CH318" i="29"/>
  <c r="CI318" i="29"/>
  <c r="CJ318" i="29"/>
  <c r="CK318" i="29"/>
  <c r="CL318" i="29"/>
  <c r="CM318" i="29"/>
  <c r="CN318" i="29"/>
  <c r="CO318" i="29"/>
  <c r="CP318" i="29"/>
  <c r="CQ318" i="29"/>
  <c r="CR318" i="29"/>
  <c r="CS318" i="29"/>
  <c r="CT318" i="29"/>
  <c r="CU318" i="29"/>
  <c r="CV318" i="29"/>
  <c r="CW318" i="29"/>
  <c r="CX318" i="29"/>
  <c r="CY318" i="29"/>
  <c r="CZ318" i="29"/>
  <c r="DA318" i="29"/>
  <c r="DB318" i="29"/>
  <c r="DC318" i="29"/>
  <c r="DD318" i="29"/>
  <c r="DE318" i="29"/>
  <c r="DF318" i="29"/>
  <c r="DG318" i="29"/>
  <c r="DH318" i="29"/>
  <c r="DI318" i="29"/>
  <c r="DJ318" i="29"/>
  <c r="DK318" i="29"/>
  <c r="DL318" i="29"/>
  <c r="DM318" i="29"/>
  <c r="DN318" i="29"/>
  <c r="DO318" i="29"/>
  <c r="DP318" i="29"/>
  <c r="DQ318" i="29"/>
  <c r="DR318" i="29"/>
  <c r="DS318" i="29"/>
  <c r="DT318" i="29"/>
  <c r="DU318" i="29"/>
  <c r="DV318" i="29"/>
  <c r="DW318" i="29"/>
  <c r="DX318" i="29"/>
  <c r="DY318" i="29"/>
  <c r="DZ318" i="29"/>
  <c r="EA318" i="29"/>
  <c r="EB318" i="29"/>
  <c r="EC318" i="29"/>
  <c r="ED318" i="29"/>
  <c r="EE318" i="29"/>
  <c r="EF318" i="29"/>
  <c r="EG318" i="29"/>
  <c r="EH318" i="29"/>
  <c r="EI318" i="29"/>
  <c r="EJ318" i="29"/>
  <c r="EK318" i="29"/>
  <c r="EL318" i="29"/>
  <c r="EM318" i="29"/>
  <c r="EN318" i="29"/>
  <c r="EO318" i="29"/>
  <c r="EP318" i="29"/>
  <c r="EQ318" i="29"/>
  <c r="ER318" i="29"/>
  <c r="ES318" i="29"/>
  <c r="ET318" i="29"/>
  <c r="EU318" i="29"/>
  <c r="EV318" i="29"/>
  <c r="EW318" i="29"/>
  <c r="EX318" i="29"/>
  <c r="EY318" i="29"/>
  <c r="EZ318" i="29"/>
  <c r="FA318" i="29"/>
  <c r="FB318" i="29"/>
  <c r="FC318" i="29"/>
  <c r="FD318" i="29"/>
  <c r="FE318" i="29"/>
  <c r="FF318" i="29"/>
  <c r="FG318" i="29"/>
  <c r="FH318" i="29"/>
  <c r="FI318" i="29"/>
  <c r="FJ318" i="29"/>
  <c r="FK318" i="29"/>
  <c r="FL318" i="29"/>
  <c r="FM318" i="29"/>
  <c r="FN318" i="29"/>
  <c r="FO318" i="29"/>
  <c r="FP318" i="29"/>
  <c r="FQ318" i="29"/>
  <c r="FR318" i="29"/>
  <c r="FS318" i="29"/>
  <c r="FT318" i="29"/>
  <c r="FU318" i="29"/>
  <c r="FV318" i="29"/>
  <c r="FW318" i="29"/>
  <c r="FX318" i="29"/>
  <c r="FY318" i="29"/>
  <c r="FZ318" i="29"/>
  <c r="GA318" i="29"/>
  <c r="GB318" i="29"/>
  <c r="GC318" i="29"/>
  <c r="GD318" i="29"/>
  <c r="GE318" i="29"/>
  <c r="GF318" i="29"/>
  <c r="GG318" i="29"/>
  <c r="GH318" i="29"/>
  <c r="GI318" i="29"/>
  <c r="GJ318" i="29"/>
  <c r="GK318" i="29"/>
  <c r="GL318" i="29"/>
  <c r="GM318" i="29"/>
  <c r="GN318" i="29"/>
  <c r="GO318" i="29"/>
  <c r="GP318" i="29"/>
  <c r="GQ318" i="29"/>
  <c r="GR318" i="29"/>
  <c r="GS318" i="29"/>
  <c r="GT318" i="29"/>
  <c r="GU318" i="29"/>
  <c r="GV318" i="29"/>
  <c r="GW318" i="29"/>
  <c r="GX318" i="29"/>
  <c r="GY318" i="29"/>
  <c r="GZ318" i="29"/>
  <c r="HA318" i="29"/>
  <c r="HB318" i="29"/>
  <c r="HC318" i="29"/>
  <c r="HD318" i="29"/>
  <c r="HE318" i="29"/>
  <c r="HF318" i="29"/>
  <c r="HG318" i="29"/>
  <c r="HH318" i="29"/>
  <c r="HI318" i="29"/>
  <c r="HJ318" i="29"/>
  <c r="HK318" i="29"/>
  <c r="HL318" i="29"/>
  <c r="HM318" i="29"/>
  <c r="HN318" i="29"/>
  <c r="HO318" i="29"/>
  <c r="HP318" i="29"/>
  <c r="HQ318" i="29"/>
  <c r="HR318" i="29"/>
  <c r="HS318" i="29"/>
  <c r="HT318" i="29"/>
  <c r="HU318" i="29"/>
  <c r="HV318" i="29"/>
  <c r="HW318" i="29"/>
  <c r="HX318" i="29"/>
  <c r="HY318" i="29"/>
  <c r="HZ318" i="29"/>
  <c r="IA318" i="29"/>
  <c r="IB318" i="29"/>
  <c r="IC318" i="29"/>
  <c r="ID318" i="29"/>
  <c r="IE318" i="29"/>
  <c r="IF318" i="29"/>
  <c r="IG318" i="29"/>
  <c r="IH318" i="29"/>
  <c r="II318" i="29"/>
  <c r="IJ318" i="29"/>
  <c r="IK318" i="29"/>
  <c r="IL318" i="29"/>
  <c r="IM318" i="29"/>
  <c r="IN318" i="29"/>
  <c r="IO318" i="29"/>
  <c r="IP318" i="29"/>
  <c r="IQ318" i="29"/>
  <c r="IR318" i="29"/>
  <c r="IS318" i="29"/>
  <c r="IT318" i="29"/>
  <c r="IU318" i="29"/>
  <c r="IV318" i="29"/>
  <c r="IW318" i="29"/>
  <c r="IX318" i="29"/>
  <c r="IY318" i="29"/>
  <c r="IZ318" i="29"/>
  <c r="JA318" i="29"/>
  <c r="JB318" i="29"/>
  <c r="JC318" i="29"/>
  <c r="JD318" i="29"/>
  <c r="JE318" i="29"/>
  <c r="JF318" i="29"/>
  <c r="JG318" i="29"/>
  <c r="JH318" i="29"/>
  <c r="JI318" i="29"/>
  <c r="JJ318" i="29"/>
  <c r="JK318" i="29"/>
  <c r="JL318" i="29"/>
  <c r="JM318" i="29"/>
  <c r="JN318" i="29"/>
  <c r="JO318" i="29"/>
  <c r="JP318" i="29"/>
  <c r="JQ318" i="29"/>
  <c r="JR318" i="29"/>
  <c r="JS318" i="29"/>
  <c r="JT318" i="29"/>
  <c r="JU318" i="29"/>
  <c r="JV318" i="29"/>
  <c r="JW318" i="29"/>
  <c r="JX318" i="29"/>
  <c r="JY318" i="29"/>
  <c r="JZ318" i="29"/>
  <c r="KA318" i="29"/>
  <c r="KB318" i="29"/>
  <c r="KC318" i="29"/>
  <c r="KD318" i="29"/>
  <c r="KE318" i="29"/>
  <c r="KF318" i="29"/>
  <c r="KG318" i="29"/>
  <c r="KH318" i="29"/>
  <c r="KI318" i="29"/>
  <c r="KJ318" i="29"/>
  <c r="KK318" i="29"/>
  <c r="KL318" i="29"/>
  <c r="KM318" i="29"/>
  <c r="KN318" i="29"/>
  <c r="KO318" i="29"/>
  <c r="KP318" i="29"/>
  <c r="KQ318" i="29"/>
  <c r="KR318" i="29"/>
  <c r="KS318" i="29"/>
  <c r="KT318" i="29"/>
  <c r="KU318" i="29"/>
  <c r="KV318" i="29"/>
  <c r="KW318" i="29"/>
  <c r="KX318" i="29"/>
  <c r="KY318" i="29"/>
  <c r="KZ318" i="29"/>
  <c r="LA318" i="29"/>
  <c r="LB318" i="29"/>
  <c r="LC318" i="29"/>
  <c r="LD318" i="29"/>
  <c r="LE318" i="29"/>
  <c r="LF318" i="29"/>
  <c r="LG318" i="29"/>
  <c r="LH318" i="29"/>
  <c r="LI318" i="29"/>
  <c r="LJ318" i="29"/>
  <c r="LK318" i="29"/>
  <c r="LL318" i="29"/>
  <c r="LM318" i="29"/>
  <c r="LN318" i="29"/>
  <c r="LO318" i="29"/>
  <c r="LP318" i="29"/>
  <c r="LQ318" i="29"/>
  <c r="LR318" i="29"/>
  <c r="LS318" i="29"/>
  <c r="LT318" i="29"/>
  <c r="LU318" i="29"/>
  <c r="LV318" i="29"/>
  <c r="LW318" i="29"/>
  <c r="LX318" i="29"/>
  <c r="LY318" i="29"/>
  <c r="LZ318" i="29"/>
  <c r="MA318" i="29"/>
  <c r="MB318" i="29"/>
  <c r="MC318" i="29"/>
  <c r="MD318" i="29"/>
  <c r="ME318" i="29"/>
  <c r="MF318" i="29"/>
  <c r="MG318" i="29"/>
  <c r="MH318" i="29"/>
  <c r="MI318" i="29"/>
  <c r="MJ318" i="29"/>
  <c r="MK318" i="29"/>
  <c r="ML318" i="29"/>
  <c r="MM318" i="29"/>
  <c r="MN318" i="29"/>
  <c r="MO318" i="29"/>
  <c r="MP318" i="29"/>
  <c r="MQ318" i="29"/>
  <c r="MR318" i="29"/>
  <c r="MS318" i="29"/>
  <c r="MT318" i="29"/>
  <c r="MU318" i="29"/>
  <c r="MV318" i="29"/>
  <c r="MW318" i="29"/>
  <c r="MX318" i="29"/>
  <c r="MY318" i="29"/>
  <c r="MZ318" i="29"/>
  <c r="NA318" i="29"/>
  <c r="NB318" i="29"/>
  <c r="NC318" i="29"/>
  <c r="ND318" i="29"/>
  <c r="NE318" i="29"/>
  <c r="NF318" i="29"/>
  <c r="NG318" i="29"/>
  <c r="NH318" i="29"/>
  <c r="NI318" i="29"/>
  <c r="NJ318" i="29"/>
  <c r="NK318" i="29"/>
  <c r="NL318" i="29"/>
  <c r="NM318" i="29"/>
  <c r="NN318" i="29"/>
  <c r="NO318" i="29"/>
  <c r="NP318" i="29"/>
  <c r="NQ318" i="29"/>
  <c r="NR318" i="29"/>
  <c r="NS318" i="29"/>
  <c r="NT318" i="29"/>
  <c r="NU318" i="29"/>
  <c r="NV318" i="29"/>
  <c r="NW318" i="29"/>
  <c r="NX318" i="29"/>
  <c r="NY318" i="29"/>
  <c r="NZ318" i="29"/>
  <c r="OA318" i="29"/>
  <c r="OB318" i="29"/>
  <c r="OC318" i="29"/>
  <c r="OD318" i="29"/>
  <c r="OE318" i="29"/>
  <c r="OF318" i="29"/>
  <c r="OG318" i="29"/>
  <c r="OH318" i="29"/>
  <c r="OI318" i="29"/>
  <c r="OJ318" i="29"/>
  <c r="OK318" i="29"/>
  <c r="OL318" i="29"/>
  <c r="OM318" i="29"/>
  <c r="ON318" i="29"/>
  <c r="OO318" i="29"/>
  <c r="OP318" i="29"/>
  <c r="OQ318" i="29"/>
  <c r="OR318" i="29"/>
  <c r="OS318" i="29"/>
  <c r="OT318" i="29"/>
  <c r="OU318" i="29"/>
  <c r="OV318" i="29"/>
  <c r="OW318" i="29"/>
  <c r="OX318" i="29"/>
  <c r="OY318" i="29"/>
  <c r="OZ318" i="29"/>
  <c r="PA318" i="29"/>
  <c r="PB318" i="29"/>
  <c r="PC318" i="29"/>
  <c r="PD318" i="29"/>
  <c r="PE318" i="29"/>
  <c r="PF318" i="29"/>
  <c r="PG318" i="29"/>
  <c r="PH318" i="29"/>
  <c r="PI318" i="29"/>
  <c r="PJ318" i="29"/>
  <c r="PK318" i="29"/>
  <c r="PL318" i="29"/>
  <c r="PM318" i="29"/>
  <c r="PN318" i="29"/>
  <c r="PO318" i="29"/>
  <c r="PP318" i="29"/>
  <c r="PQ318" i="29"/>
  <c r="PR318" i="29"/>
  <c r="PS318" i="29"/>
  <c r="PT318" i="29"/>
  <c r="PU318" i="29"/>
  <c r="PV318" i="29"/>
  <c r="PW318" i="29"/>
  <c r="PX318" i="29"/>
  <c r="PY318" i="29"/>
  <c r="PZ318" i="29"/>
  <c r="QA318" i="29"/>
  <c r="QB318" i="29"/>
  <c r="QC318" i="29"/>
  <c r="QD318" i="29"/>
  <c r="QE318" i="29"/>
  <c r="QF318" i="29"/>
  <c r="QG318" i="29"/>
  <c r="QH318" i="29"/>
  <c r="QI318" i="29"/>
  <c r="QJ318" i="29"/>
  <c r="QK318" i="29"/>
  <c r="QL318" i="29"/>
  <c r="QM318" i="29"/>
  <c r="QN318" i="29"/>
  <c r="QO318" i="29"/>
  <c r="QP318" i="29"/>
  <c r="QQ318" i="29"/>
  <c r="QR318" i="29"/>
  <c r="QS318" i="29"/>
  <c r="QT318" i="29"/>
  <c r="QU318" i="29"/>
  <c r="QV318" i="29"/>
  <c r="QW318" i="29"/>
  <c r="QX318" i="29"/>
  <c r="QY318" i="29"/>
  <c r="QZ318" i="29"/>
  <c r="RA318" i="29"/>
  <c r="RB318" i="29"/>
  <c r="RC318" i="29"/>
  <c r="RD318" i="29"/>
  <c r="RE318" i="29"/>
  <c r="RF318" i="29"/>
  <c r="RG318" i="29"/>
  <c r="RH318" i="29"/>
  <c r="RI318" i="29"/>
  <c r="RJ318" i="29"/>
  <c r="RK318" i="29"/>
  <c r="RL318" i="29"/>
  <c r="RM318" i="29"/>
  <c r="RN318" i="29"/>
  <c r="RO318" i="29"/>
  <c r="RP318" i="29"/>
  <c r="RQ318" i="29"/>
  <c r="RR318" i="29"/>
  <c r="RS318" i="29"/>
  <c r="RT318" i="29"/>
  <c r="RU318" i="29"/>
  <c r="RV318" i="29"/>
  <c r="RW318" i="29"/>
  <c r="RX318" i="29"/>
  <c r="RY318" i="29"/>
  <c r="RZ318" i="29"/>
  <c r="SA318" i="29"/>
  <c r="SB318" i="29"/>
  <c r="SC318" i="29"/>
  <c r="SD318" i="29"/>
  <c r="SE318" i="29"/>
  <c r="SF318" i="29"/>
  <c r="SG318" i="29"/>
  <c r="SH318" i="29"/>
  <c r="SI318" i="29"/>
  <c r="SJ318" i="29"/>
  <c r="SK318" i="29"/>
  <c r="SL318" i="29"/>
  <c r="SM318" i="29"/>
  <c r="SN318" i="29"/>
  <c r="SO318" i="29"/>
  <c r="SP318" i="29"/>
  <c r="SQ318" i="29"/>
  <c r="SR318" i="29"/>
  <c r="SS318" i="29"/>
  <c r="B319" i="29"/>
  <c r="C319" i="29"/>
  <c r="D319" i="29"/>
  <c r="E319" i="29"/>
  <c r="F319" i="29"/>
  <c r="G319" i="29"/>
  <c r="H319" i="29"/>
  <c r="I319" i="29"/>
  <c r="J319" i="29"/>
  <c r="K319" i="29"/>
  <c r="L319" i="29"/>
  <c r="M319" i="29"/>
  <c r="N319" i="29"/>
  <c r="O319" i="29"/>
  <c r="P319" i="29"/>
  <c r="Q319" i="29"/>
  <c r="R319" i="29"/>
  <c r="S319" i="29"/>
  <c r="T319" i="29"/>
  <c r="U319" i="29"/>
  <c r="V319" i="29"/>
  <c r="W319" i="29"/>
  <c r="X319" i="29"/>
  <c r="Y319" i="29"/>
  <c r="Z319" i="29"/>
  <c r="AA319" i="29"/>
  <c r="AB319" i="29"/>
  <c r="AC319" i="29"/>
  <c r="AD319" i="29"/>
  <c r="AE319" i="29"/>
  <c r="AF319" i="29"/>
  <c r="AG319" i="29"/>
  <c r="AH319" i="29"/>
  <c r="AI319" i="29"/>
  <c r="AJ319" i="29"/>
  <c r="AK319" i="29"/>
  <c r="AL319" i="29"/>
  <c r="AM319" i="29"/>
  <c r="AN319" i="29"/>
  <c r="AO319" i="29"/>
  <c r="AP319" i="29"/>
  <c r="AQ319" i="29"/>
  <c r="AR319" i="29"/>
  <c r="AS319" i="29"/>
  <c r="AT319" i="29"/>
  <c r="AU319" i="29"/>
  <c r="AV319" i="29"/>
  <c r="AW319" i="29"/>
  <c r="AX319" i="29"/>
  <c r="AY319" i="29"/>
  <c r="AZ319" i="29"/>
  <c r="BA319" i="29"/>
  <c r="BB319" i="29"/>
  <c r="BC319" i="29"/>
  <c r="BD319" i="29"/>
  <c r="BE319" i="29"/>
  <c r="BF319" i="29"/>
  <c r="BG319" i="29"/>
  <c r="BH319" i="29"/>
  <c r="BI319" i="29"/>
  <c r="BJ319" i="29"/>
  <c r="BK319" i="29"/>
  <c r="BL319" i="29"/>
  <c r="BM319" i="29"/>
  <c r="BN319" i="29"/>
  <c r="BO319" i="29"/>
  <c r="BP319" i="29"/>
  <c r="BQ319" i="29"/>
  <c r="BR319" i="29"/>
  <c r="BS319" i="29"/>
  <c r="BT319" i="29"/>
  <c r="BU319" i="29"/>
  <c r="BV319" i="29"/>
  <c r="BW319" i="29"/>
  <c r="BX319" i="29"/>
  <c r="BY319" i="29"/>
  <c r="BZ319" i="29"/>
  <c r="CA319" i="29"/>
  <c r="CB319" i="29"/>
  <c r="CC319" i="29"/>
  <c r="CD319" i="29"/>
  <c r="CE319" i="29"/>
  <c r="CF319" i="29"/>
  <c r="CG319" i="29"/>
  <c r="CH319" i="29"/>
  <c r="CI319" i="29"/>
  <c r="CJ319" i="29"/>
  <c r="CK319" i="29"/>
  <c r="CL319" i="29"/>
  <c r="CM319" i="29"/>
  <c r="CN319" i="29"/>
  <c r="CO319" i="29"/>
  <c r="CP319" i="29"/>
  <c r="CQ319" i="29"/>
  <c r="CR319" i="29"/>
  <c r="CS319" i="29"/>
  <c r="CT319" i="29"/>
  <c r="CU319" i="29"/>
  <c r="CV319" i="29"/>
  <c r="CW319" i="29"/>
  <c r="CX319" i="29"/>
  <c r="CY319" i="29"/>
  <c r="CZ319" i="29"/>
  <c r="DA319" i="29"/>
  <c r="DB319" i="29"/>
  <c r="DC319" i="29"/>
  <c r="DD319" i="29"/>
  <c r="DE319" i="29"/>
  <c r="DF319" i="29"/>
  <c r="DG319" i="29"/>
  <c r="DH319" i="29"/>
  <c r="DI319" i="29"/>
  <c r="DJ319" i="29"/>
  <c r="DK319" i="29"/>
  <c r="DL319" i="29"/>
  <c r="DM319" i="29"/>
  <c r="DN319" i="29"/>
  <c r="DO319" i="29"/>
  <c r="DP319" i="29"/>
  <c r="DQ319" i="29"/>
  <c r="DR319" i="29"/>
  <c r="DS319" i="29"/>
  <c r="DT319" i="29"/>
  <c r="DU319" i="29"/>
  <c r="DV319" i="29"/>
  <c r="DW319" i="29"/>
  <c r="DX319" i="29"/>
  <c r="DY319" i="29"/>
  <c r="DZ319" i="29"/>
  <c r="EA319" i="29"/>
  <c r="EB319" i="29"/>
  <c r="EC319" i="29"/>
  <c r="ED319" i="29"/>
  <c r="EE319" i="29"/>
  <c r="EF319" i="29"/>
  <c r="EG319" i="29"/>
  <c r="EH319" i="29"/>
  <c r="EI319" i="29"/>
  <c r="EJ319" i="29"/>
  <c r="EK319" i="29"/>
  <c r="EL319" i="29"/>
  <c r="EM319" i="29"/>
  <c r="EN319" i="29"/>
  <c r="EO319" i="29"/>
  <c r="EP319" i="29"/>
  <c r="EQ319" i="29"/>
  <c r="ER319" i="29"/>
  <c r="ES319" i="29"/>
  <c r="ET319" i="29"/>
  <c r="EU319" i="29"/>
  <c r="EV319" i="29"/>
  <c r="EW319" i="29"/>
  <c r="EX319" i="29"/>
  <c r="EY319" i="29"/>
  <c r="EZ319" i="29"/>
  <c r="FA319" i="29"/>
  <c r="FB319" i="29"/>
  <c r="FC319" i="29"/>
  <c r="FD319" i="29"/>
  <c r="FE319" i="29"/>
  <c r="FF319" i="29"/>
  <c r="FG319" i="29"/>
  <c r="FH319" i="29"/>
  <c r="FI319" i="29"/>
  <c r="FJ319" i="29"/>
  <c r="FK319" i="29"/>
  <c r="FL319" i="29"/>
  <c r="FM319" i="29"/>
  <c r="FN319" i="29"/>
  <c r="FO319" i="29"/>
  <c r="FP319" i="29"/>
  <c r="FQ319" i="29"/>
  <c r="FR319" i="29"/>
  <c r="FS319" i="29"/>
  <c r="FT319" i="29"/>
  <c r="FU319" i="29"/>
  <c r="FV319" i="29"/>
  <c r="FW319" i="29"/>
  <c r="FX319" i="29"/>
  <c r="FY319" i="29"/>
  <c r="FZ319" i="29"/>
  <c r="GA319" i="29"/>
  <c r="GB319" i="29"/>
  <c r="GC319" i="29"/>
  <c r="GD319" i="29"/>
  <c r="GE319" i="29"/>
  <c r="GF319" i="29"/>
  <c r="GG319" i="29"/>
  <c r="GH319" i="29"/>
  <c r="GI319" i="29"/>
  <c r="GJ319" i="29"/>
  <c r="GK319" i="29"/>
  <c r="GL319" i="29"/>
  <c r="GM319" i="29"/>
  <c r="GN319" i="29"/>
  <c r="GO319" i="29"/>
  <c r="GP319" i="29"/>
  <c r="GQ319" i="29"/>
  <c r="GR319" i="29"/>
  <c r="GS319" i="29"/>
  <c r="GT319" i="29"/>
  <c r="GU319" i="29"/>
  <c r="GV319" i="29"/>
  <c r="GW319" i="29"/>
  <c r="GX319" i="29"/>
  <c r="GY319" i="29"/>
  <c r="GZ319" i="29"/>
  <c r="HA319" i="29"/>
  <c r="HB319" i="29"/>
  <c r="HC319" i="29"/>
  <c r="HD319" i="29"/>
  <c r="HE319" i="29"/>
  <c r="HF319" i="29"/>
  <c r="HG319" i="29"/>
  <c r="HH319" i="29"/>
  <c r="HI319" i="29"/>
  <c r="HJ319" i="29"/>
  <c r="HK319" i="29"/>
  <c r="HL319" i="29"/>
  <c r="HM319" i="29"/>
  <c r="HN319" i="29"/>
  <c r="HO319" i="29"/>
  <c r="HP319" i="29"/>
  <c r="HQ319" i="29"/>
  <c r="HR319" i="29"/>
  <c r="HS319" i="29"/>
  <c r="HT319" i="29"/>
  <c r="HU319" i="29"/>
  <c r="HV319" i="29"/>
  <c r="HW319" i="29"/>
  <c r="HX319" i="29"/>
  <c r="HY319" i="29"/>
  <c r="HZ319" i="29"/>
  <c r="IA319" i="29"/>
  <c r="IB319" i="29"/>
  <c r="IC319" i="29"/>
  <c r="ID319" i="29"/>
  <c r="IE319" i="29"/>
  <c r="IF319" i="29"/>
  <c r="IG319" i="29"/>
  <c r="IH319" i="29"/>
  <c r="II319" i="29"/>
  <c r="IJ319" i="29"/>
  <c r="IK319" i="29"/>
  <c r="IL319" i="29"/>
  <c r="IM319" i="29"/>
  <c r="IN319" i="29"/>
  <c r="IO319" i="29"/>
  <c r="IP319" i="29"/>
  <c r="IQ319" i="29"/>
  <c r="IR319" i="29"/>
  <c r="IS319" i="29"/>
  <c r="IT319" i="29"/>
  <c r="IU319" i="29"/>
  <c r="IV319" i="29"/>
  <c r="IW319" i="29"/>
  <c r="IX319" i="29"/>
  <c r="IY319" i="29"/>
  <c r="IZ319" i="29"/>
  <c r="JA319" i="29"/>
  <c r="JB319" i="29"/>
  <c r="JC319" i="29"/>
  <c r="JD319" i="29"/>
  <c r="JE319" i="29"/>
  <c r="JF319" i="29"/>
  <c r="JG319" i="29"/>
  <c r="JH319" i="29"/>
  <c r="JI319" i="29"/>
  <c r="JJ319" i="29"/>
  <c r="JK319" i="29"/>
  <c r="JL319" i="29"/>
  <c r="JM319" i="29"/>
  <c r="JN319" i="29"/>
  <c r="JO319" i="29"/>
  <c r="JP319" i="29"/>
  <c r="JQ319" i="29"/>
  <c r="JR319" i="29"/>
  <c r="JS319" i="29"/>
  <c r="JT319" i="29"/>
  <c r="JU319" i="29"/>
  <c r="JV319" i="29"/>
  <c r="JW319" i="29"/>
  <c r="JX319" i="29"/>
  <c r="JY319" i="29"/>
  <c r="JZ319" i="29"/>
  <c r="KA319" i="29"/>
  <c r="KB319" i="29"/>
  <c r="KC319" i="29"/>
  <c r="KD319" i="29"/>
  <c r="KE319" i="29"/>
  <c r="KF319" i="29"/>
  <c r="KG319" i="29"/>
  <c r="KH319" i="29"/>
  <c r="KI319" i="29"/>
  <c r="KJ319" i="29"/>
  <c r="KK319" i="29"/>
  <c r="KL319" i="29"/>
  <c r="KM319" i="29"/>
  <c r="KN319" i="29"/>
  <c r="KO319" i="29"/>
  <c r="KP319" i="29"/>
  <c r="KQ319" i="29"/>
  <c r="KR319" i="29"/>
  <c r="KS319" i="29"/>
  <c r="KT319" i="29"/>
  <c r="KU319" i="29"/>
  <c r="KV319" i="29"/>
  <c r="KW319" i="29"/>
  <c r="KX319" i="29"/>
  <c r="KY319" i="29"/>
  <c r="KZ319" i="29"/>
  <c r="LA319" i="29"/>
  <c r="LB319" i="29"/>
  <c r="LC319" i="29"/>
  <c r="LD319" i="29"/>
  <c r="LE319" i="29"/>
  <c r="LF319" i="29"/>
  <c r="LG319" i="29"/>
  <c r="LH319" i="29"/>
  <c r="LI319" i="29"/>
  <c r="LJ319" i="29"/>
  <c r="LK319" i="29"/>
  <c r="LL319" i="29"/>
  <c r="LM319" i="29"/>
  <c r="LN319" i="29"/>
  <c r="LO319" i="29"/>
  <c r="LP319" i="29"/>
  <c r="LQ319" i="29"/>
  <c r="LR319" i="29"/>
  <c r="LS319" i="29"/>
  <c r="LT319" i="29"/>
  <c r="LU319" i="29"/>
  <c r="LV319" i="29"/>
  <c r="LW319" i="29"/>
  <c r="LX319" i="29"/>
  <c r="LY319" i="29"/>
  <c r="LZ319" i="29"/>
  <c r="MA319" i="29"/>
  <c r="MB319" i="29"/>
  <c r="MC319" i="29"/>
  <c r="MD319" i="29"/>
  <c r="ME319" i="29"/>
  <c r="MF319" i="29"/>
  <c r="MG319" i="29"/>
  <c r="MH319" i="29"/>
  <c r="MI319" i="29"/>
  <c r="MJ319" i="29"/>
  <c r="MK319" i="29"/>
  <c r="ML319" i="29"/>
  <c r="MM319" i="29"/>
  <c r="MN319" i="29"/>
  <c r="MO319" i="29"/>
  <c r="MP319" i="29"/>
  <c r="MQ319" i="29"/>
  <c r="MR319" i="29"/>
  <c r="MS319" i="29"/>
  <c r="MT319" i="29"/>
  <c r="MU319" i="29"/>
  <c r="MV319" i="29"/>
  <c r="MW319" i="29"/>
  <c r="MX319" i="29"/>
  <c r="MY319" i="29"/>
  <c r="MZ319" i="29"/>
  <c r="NA319" i="29"/>
  <c r="NB319" i="29"/>
  <c r="NC319" i="29"/>
  <c r="ND319" i="29"/>
  <c r="NE319" i="29"/>
  <c r="NF319" i="29"/>
  <c r="NG319" i="29"/>
  <c r="NH319" i="29"/>
  <c r="NI319" i="29"/>
  <c r="NJ319" i="29"/>
  <c r="NK319" i="29"/>
  <c r="NL319" i="29"/>
  <c r="NM319" i="29"/>
  <c r="NN319" i="29"/>
  <c r="NO319" i="29"/>
  <c r="NP319" i="29"/>
  <c r="NQ319" i="29"/>
  <c r="NR319" i="29"/>
  <c r="NS319" i="29"/>
  <c r="NT319" i="29"/>
  <c r="NU319" i="29"/>
  <c r="NV319" i="29"/>
  <c r="NW319" i="29"/>
  <c r="NX319" i="29"/>
  <c r="NY319" i="29"/>
  <c r="NZ319" i="29"/>
  <c r="OA319" i="29"/>
  <c r="OB319" i="29"/>
  <c r="OC319" i="29"/>
  <c r="OD319" i="29"/>
  <c r="OE319" i="29"/>
  <c r="OF319" i="29"/>
  <c r="OG319" i="29"/>
  <c r="OH319" i="29"/>
  <c r="OI319" i="29"/>
  <c r="OJ319" i="29"/>
  <c r="OK319" i="29"/>
  <c r="OL319" i="29"/>
  <c r="OM319" i="29"/>
  <c r="ON319" i="29"/>
  <c r="OO319" i="29"/>
  <c r="OP319" i="29"/>
  <c r="OQ319" i="29"/>
  <c r="OR319" i="29"/>
  <c r="OS319" i="29"/>
  <c r="OT319" i="29"/>
  <c r="OU319" i="29"/>
  <c r="OV319" i="29"/>
  <c r="OW319" i="29"/>
  <c r="OX319" i="29"/>
  <c r="OY319" i="29"/>
  <c r="OZ319" i="29"/>
  <c r="PA319" i="29"/>
  <c r="PB319" i="29"/>
  <c r="PC319" i="29"/>
  <c r="PD319" i="29"/>
  <c r="PE319" i="29"/>
  <c r="PF319" i="29"/>
  <c r="PG319" i="29"/>
  <c r="PH319" i="29"/>
  <c r="PI319" i="29"/>
  <c r="PJ319" i="29"/>
  <c r="PK319" i="29"/>
  <c r="PL319" i="29"/>
  <c r="PM319" i="29"/>
  <c r="PN319" i="29"/>
  <c r="PO319" i="29"/>
  <c r="PP319" i="29"/>
  <c r="PQ319" i="29"/>
  <c r="PR319" i="29"/>
  <c r="PS319" i="29"/>
  <c r="PT319" i="29"/>
  <c r="PU319" i="29"/>
  <c r="PV319" i="29"/>
  <c r="PW319" i="29"/>
  <c r="PX319" i="29"/>
  <c r="PY319" i="29"/>
  <c r="PZ319" i="29"/>
  <c r="QA319" i="29"/>
  <c r="QB319" i="29"/>
  <c r="QC319" i="29"/>
  <c r="QD319" i="29"/>
  <c r="QE319" i="29"/>
  <c r="QF319" i="29"/>
  <c r="QG319" i="29"/>
  <c r="QH319" i="29"/>
  <c r="QI319" i="29"/>
  <c r="QJ319" i="29"/>
  <c r="QK319" i="29"/>
  <c r="QL319" i="29"/>
  <c r="QM319" i="29"/>
  <c r="QN319" i="29"/>
  <c r="QO319" i="29"/>
  <c r="QP319" i="29"/>
  <c r="QQ319" i="29"/>
  <c r="QR319" i="29"/>
  <c r="QS319" i="29"/>
  <c r="QT319" i="29"/>
  <c r="QU319" i="29"/>
  <c r="QV319" i="29"/>
  <c r="QW319" i="29"/>
  <c r="QX319" i="29"/>
  <c r="QY319" i="29"/>
  <c r="QZ319" i="29"/>
  <c r="RA319" i="29"/>
  <c r="RB319" i="29"/>
  <c r="RC319" i="29"/>
  <c r="RD319" i="29"/>
  <c r="RE319" i="29"/>
  <c r="RF319" i="29"/>
  <c r="RG319" i="29"/>
  <c r="RH319" i="29"/>
  <c r="RI319" i="29"/>
  <c r="RJ319" i="29"/>
  <c r="RK319" i="29"/>
  <c r="RL319" i="29"/>
  <c r="RM319" i="29"/>
  <c r="RN319" i="29"/>
  <c r="RO319" i="29"/>
  <c r="RP319" i="29"/>
  <c r="RQ319" i="29"/>
  <c r="RR319" i="29"/>
  <c r="RS319" i="29"/>
  <c r="RT319" i="29"/>
  <c r="RU319" i="29"/>
  <c r="RV319" i="29"/>
  <c r="RW319" i="29"/>
  <c r="RX319" i="29"/>
  <c r="RY319" i="29"/>
  <c r="RZ319" i="29"/>
  <c r="SA319" i="29"/>
  <c r="SB319" i="29"/>
  <c r="SC319" i="29"/>
  <c r="SD319" i="29"/>
  <c r="SE319" i="29"/>
  <c r="SF319" i="29"/>
  <c r="SG319" i="29"/>
  <c r="SH319" i="29"/>
  <c r="SI319" i="29"/>
  <c r="SJ319" i="29"/>
  <c r="SK319" i="29"/>
  <c r="SL319" i="29"/>
  <c r="SM319" i="29"/>
  <c r="SN319" i="29"/>
  <c r="SO319" i="29"/>
  <c r="SP319" i="29"/>
  <c r="SQ319" i="29"/>
  <c r="SR319" i="29"/>
  <c r="SS319" i="29"/>
  <c r="B320" i="29"/>
  <c r="C320" i="29"/>
  <c r="D320" i="29"/>
  <c r="E320" i="29"/>
  <c r="F320" i="29"/>
  <c r="G320" i="29"/>
  <c r="H320" i="29"/>
  <c r="I320" i="29"/>
  <c r="J320" i="29"/>
  <c r="K320" i="29"/>
  <c r="L320" i="29"/>
  <c r="M320" i="29"/>
  <c r="N320" i="29"/>
  <c r="O320" i="29"/>
  <c r="P320" i="29"/>
  <c r="Q320" i="29"/>
  <c r="R320" i="29"/>
  <c r="S320" i="29"/>
  <c r="T320" i="29"/>
  <c r="U320" i="29"/>
  <c r="V320" i="29"/>
  <c r="W320" i="29"/>
  <c r="X320" i="29"/>
  <c r="Y320" i="29"/>
  <c r="Z320" i="29"/>
  <c r="AA320" i="29"/>
  <c r="AB320" i="29"/>
  <c r="AC320" i="29"/>
  <c r="AD320" i="29"/>
  <c r="AE320" i="29"/>
  <c r="AF320" i="29"/>
  <c r="AG320" i="29"/>
  <c r="AH320" i="29"/>
  <c r="AI320" i="29"/>
  <c r="AJ320" i="29"/>
  <c r="AK320" i="29"/>
  <c r="AL320" i="29"/>
  <c r="AM320" i="29"/>
  <c r="AN320" i="29"/>
  <c r="AO320" i="29"/>
  <c r="AP320" i="29"/>
  <c r="AQ320" i="29"/>
  <c r="AR320" i="29"/>
  <c r="AS320" i="29"/>
  <c r="AT320" i="29"/>
  <c r="AU320" i="29"/>
  <c r="AV320" i="29"/>
  <c r="AW320" i="29"/>
  <c r="AX320" i="29"/>
  <c r="AY320" i="29"/>
  <c r="AZ320" i="29"/>
  <c r="BA320" i="29"/>
  <c r="BB320" i="29"/>
  <c r="BC320" i="29"/>
  <c r="BD320" i="29"/>
  <c r="BE320" i="29"/>
  <c r="BF320" i="29"/>
  <c r="BG320" i="29"/>
  <c r="BH320" i="29"/>
  <c r="BI320" i="29"/>
  <c r="BJ320" i="29"/>
  <c r="BK320" i="29"/>
  <c r="BL320" i="29"/>
  <c r="BM320" i="29"/>
  <c r="BN320" i="29"/>
  <c r="BO320" i="29"/>
  <c r="BP320" i="29"/>
  <c r="BQ320" i="29"/>
  <c r="BR320" i="29"/>
  <c r="BS320" i="29"/>
  <c r="BT320" i="29"/>
  <c r="BU320" i="29"/>
  <c r="BV320" i="29"/>
  <c r="BW320" i="29"/>
  <c r="BX320" i="29"/>
  <c r="BY320" i="29"/>
  <c r="BZ320" i="29"/>
  <c r="CA320" i="29"/>
  <c r="CB320" i="29"/>
  <c r="CC320" i="29"/>
  <c r="CD320" i="29"/>
  <c r="CE320" i="29"/>
  <c r="CF320" i="29"/>
  <c r="CG320" i="29"/>
  <c r="CH320" i="29"/>
  <c r="CI320" i="29"/>
  <c r="CJ320" i="29"/>
  <c r="CK320" i="29"/>
  <c r="CL320" i="29"/>
  <c r="CM320" i="29"/>
  <c r="CN320" i="29"/>
  <c r="CO320" i="29"/>
  <c r="CP320" i="29"/>
  <c r="CQ320" i="29"/>
  <c r="CR320" i="29"/>
  <c r="CS320" i="29"/>
  <c r="CT320" i="29"/>
  <c r="CU320" i="29"/>
  <c r="CV320" i="29"/>
  <c r="CW320" i="29"/>
  <c r="CX320" i="29"/>
  <c r="CY320" i="29"/>
  <c r="CZ320" i="29"/>
  <c r="DA320" i="29"/>
  <c r="DB320" i="29"/>
  <c r="DC320" i="29"/>
  <c r="DD320" i="29"/>
  <c r="DE320" i="29"/>
  <c r="DF320" i="29"/>
  <c r="DG320" i="29"/>
  <c r="DH320" i="29"/>
  <c r="DI320" i="29"/>
  <c r="DJ320" i="29"/>
  <c r="DK320" i="29"/>
  <c r="DL320" i="29"/>
  <c r="DM320" i="29"/>
  <c r="DN320" i="29"/>
  <c r="DO320" i="29"/>
  <c r="DP320" i="29"/>
  <c r="DQ320" i="29"/>
  <c r="DR320" i="29"/>
  <c r="DS320" i="29"/>
  <c r="DT320" i="29"/>
  <c r="DU320" i="29"/>
  <c r="DV320" i="29"/>
  <c r="DW320" i="29"/>
  <c r="DX320" i="29"/>
  <c r="DY320" i="29"/>
  <c r="DZ320" i="29"/>
  <c r="EA320" i="29"/>
  <c r="EB320" i="29"/>
  <c r="EC320" i="29"/>
  <c r="ED320" i="29"/>
  <c r="EE320" i="29"/>
  <c r="EF320" i="29"/>
  <c r="EG320" i="29"/>
  <c r="EH320" i="29"/>
  <c r="EI320" i="29"/>
  <c r="EJ320" i="29"/>
  <c r="EK320" i="29"/>
  <c r="EL320" i="29"/>
  <c r="EM320" i="29"/>
  <c r="EN320" i="29"/>
  <c r="EO320" i="29"/>
  <c r="EP320" i="29"/>
  <c r="EQ320" i="29"/>
  <c r="ER320" i="29"/>
  <c r="ES320" i="29"/>
  <c r="ET320" i="29"/>
  <c r="EU320" i="29"/>
  <c r="EV320" i="29"/>
  <c r="EW320" i="29"/>
  <c r="EX320" i="29"/>
  <c r="EY320" i="29"/>
  <c r="EZ320" i="29"/>
  <c r="FA320" i="29"/>
  <c r="FB320" i="29"/>
  <c r="FC320" i="29"/>
  <c r="FD320" i="29"/>
  <c r="FE320" i="29"/>
  <c r="FF320" i="29"/>
  <c r="FG320" i="29"/>
  <c r="FH320" i="29"/>
  <c r="FI320" i="29"/>
  <c r="FJ320" i="29"/>
  <c r="FK320" i="29"/>
  <c r="FL320" i="29"/>
  <c r="FM320" i="29"/>
  <c r="FN320" i="29"/>
  <c r="FO320" i="29"/>
  <c r="FP320" i="29"/>
  <c r="FQ320" i="29"/>
  <c r="FR320" i="29"/>
  <c r="FS320" i="29"/>
  <c r="FT320" i="29"/>
  <c r="FU320" i="29"/>
  <c r="FV320" i="29"/>
  <c r="FW320" i="29"/>
  <c r="FX320" i="29"/>
  <c r="FY320" i="29"/>
  <c r="FZ320" i="29"/>
  <c r="GA320" i="29"/>
  <c r="GB320" i="29"/>
  <c r="GC320" i="29"/>
  <c r="GD320" i="29"/>
  <c r="GE320" i="29"/>
  <c r="GF320" i="29"/>
  <c r="GG320" i="29"/>
  <c r="GH320" i="29"/>
  <c r="GI320" i="29"/>
  <c r="GJ320" i="29"/>
  <c r="GK320" i="29"/>
  <c r="GL320" i="29"/>
  <c r="GM320" i="29"/>
  <c r="GN320" i="29"/>
  <c r="GO320" i="29"/>
  <c r="GP320" i="29"/>
  <c r="GQ320" i="29"/>
  <c r="GR320" i="29"/>
  <c r="GS320" i="29"/>
  <c r="GT320" i="29"/>
  <c r="GU320" i="29"/>
  <c r="GV320" i="29"/>
  <c r="GW320" i="29"/>
  <c r="GX320" i="29"/>
  <c r="GY320" i="29"/>
  <c r="GZ320" i="29"/>
  <c r="HA320" i="29"/>
  <c r="HB320" i="29"/>
  <c r="HC320" i="29"/>
  <c r="HD320" i="29"/>
  <c r="HE320" i="29"/>
  <c r="HF320" i="29"/>
  <c r="HG320" i="29"/>
  <c r="HH320" i="29"/>
  <c r="HI320" i="29"/>
  <c r="HJ320" i="29"/>
  <c r="HK320" i="29"/>
  <c r="HL320" i="29"/>
  <c r="HM320" i="29"/>
  <c r="HN320" i="29"/>
  <c r="HO320" i="29"/>
  <c r="HP320" i="29"/>
  <c r="HQ320" i="29"/>
  <c r="HR320" i="29"/>
  <c r="HS320" i="29"/>
  <c r="HT320" i="29"/>
  <c r="HU320" i="29"/>
  <c r="HV320" i="29"/>
  <c r="HW320" i="29"/>
  <c r="HX320" i="29"/>
  <c r="HY320" i="29"/>
  <c r="HZ320" i="29"/>
  <c r="IA320" i="29"/>
  <c r="IB320" i="29"/>
  <c r="IC320" i="29"/>
  <c r="ID320" i="29"/>
  <c r="IE320" i="29"/>
  <c r="IF320" i="29"/>
  <c r="IG320" i="29"/>
  <c r="IH320" i="29"/>
  <c r="II320" i="29"/>
  <c r="IJ320" i="29"/>
  <c r="IK320" i="29"/>
  <c r="IL320" i="29"/>
  <c r="IM320" i="29"/>
  <c r="IN320" i="29"/>
  <c r="IO320" i="29"/>
  <c r="IP320" i="29"/>
  <c r="IQ320" i="29"/>
  <c r="IR320" i="29"/>
  <c r="IS320" i="29"/>
  <c r="IT320" i="29"/>
  <c r="IU320" i="29"/>
  <c r="IV320" i="29"/>
  <c r="IW320" i="29"/>
  <c r="IX320" i="29"/>
  <c r="IY320" i="29"/>
  <c r="IZ320" i="29"/>
  <c r="JA320" i="29"/>
  <c r="JB320" i="29"/>
  <c r="JC320" i="29"/>
  <c r="JD320" i="29"/>
  <c r="JE320" i="29"/>
  <c r="JF320" i="29"/>
  <c r="JG320" i="29"/>
  <c r="JH320" i="29"/>
  <c r="JI320" i="29"/>
  <c r="JJ320" i="29"/>
  <c r="JK320" i="29"/>
  <c r="JL320" i="29"/>
  <c r="JM320" i="29"/>
  <c r="JN320" i="29"/>
  <c r="JO320" i="29"/>
  <c r="JP320" i="29"/>
  <c r="JQ320" i="29"/>
  <c r="JR320" i="29"/>
  <c r="JS320" i="29"/>
  <c r="JT320" i="29"/>
  <c r="JU320" i="29"/>
  <c r="JV320" i="29"/>
  <c r="JW320" i="29"/>
  <c r="JX320" i="29"/>
  <c r="JY320" i="29"/>
  <c r="JZ320" i="29"/>
  <c r="KA320" i="29"/>
  <c r="KB320" i="29"/>
  <c r="KC320" i="29"/>
  <c r="KD320" i="29"/>
  <c r="KE320" i="29"/>
  <c r="KF320" i="29"/>
  <c r="KG320" i="29"/>
  <c r="KH320" i="29"/>
  <c r="KI320" i="29"/>
  <c r="KJ320" i="29"/>
  <c r="KK320" i="29"/>
  <c r="KL320" i="29"/>
  <c r="KM320" i="29"/>
  <c r="KN320" i="29"/>
  <c r="KO320" i="29"/>
  <c r="KP320" i="29"/>
  <c r="KQ320" i="29"/>
  <c r="KR320" i="29"/>
  <c r="KS320" i="29"/>
  <c r="KT320" i="29"/>
  <c r="KU320" i="29"/>
  <c r="KV320" i="29"/>
  <c r="KW320" i="29"/>
  <c r="KX320" i="29"/>
  <c r="KY320" i="29"/>
  <c r="KZ320" i="29"/>
  <c r="LA320" i="29"/>
  <c r="LB320" i="29"/>
  <c r="LC320" i="29"/>
  <c r="LD320" i="29"/>
  <c r="LE320" i="29"/>
  <c r="LF320" i="29"/>
  <c r="LG320" i="29"/>
  <c r="LH320" i="29"/>
  <c r="LI320" i="29"/>
  <c r="LJ320" i="29"/>
  <c r="LK320" i="29"/>
  <c r="LL320" i="29"/>
  <c r="LM320" i="29"/>
  <c r="LN320" i="29"/>
  <c r="LO320" i="29"/>
  <c r="LP320" i="29"/>
  <c r="LQ320" i="29"/>
  <c r="LR320" i="29"/>
  <c r="LS320" i="29"/>
  <c r="LT320" i="29"/>
  <c r="LU320" i="29"/>
  <c r="LV320" i="29"/>
  <c r="LW320" i="29"/>
  <c r="LX320" i="29"/>
  <c r="LY320" i="29"/>
  <c r="LZ320" i="29"/>
  <c r="MA320" i="29"/>
  <c r="MB320" i="29"/>
  <c r="MC320" i="29"/>
  <c r="MD320" i="29"/>
  <c r="ME320" i="29"/>
  <c r="MF320" i="29"/>
  <c r="MG320" i="29"/>
  <c r="MH320" i="29"/>
  <c r="MI320" i="29"/>
  <c r="MJ320" i="29"/>
  <c r="MK320" i="29"/>
  <c r="ML320" i="29"/>
  <c r="MM320" i="29"/>
  <c r="MN320" i="29"/>
  <c r="MO320" i="29"/>
  <c r="MP320" i="29"/>
  <c r="MQ320" i="29"/>
  <c r="MR320" i="29"/>
  <c r="MS320" i="29"/>
  <c r="MT320" i="29"/>
  <c r="MU320" i="29"/>
  <c r="MV320" i="29"/>
  <c r="MW320" i="29"/>
  <c r="MX320" i="29"/>
  <c r="MY320" i="29"/>
  <c r="MZ320" i="29"/>
  <c r="NA320" i="29"/>
  <c r="NB320" i="29"/>
  <c r="NC320" i="29"/>
  <c r="ND320" i="29"/>
  <c r="NE320" i="29"/>
  <c r="NF320" i="29"/>
  <c r="NG320" i="29"/>
  <c r="NH320" i="29"/>
  <c r="NI320" i="29"/>
  <c r="NJ320" i="29"/>
  <c r="NK320" i="29"/>
  <c r="NL320" i="29"/>
  <c r="NM320" i="29"/>
  <c r="NN320" i="29"/>
  <c r="NO320" i="29"/>
  <c r="NP320" i="29"/>
  <c r="NQ320" i="29"/>
  <c r="NR320" i="29"/>
  <c r="NS320" i="29"/>
  <c r="NT320" i="29"/>
  <c r="NU320" i="29"/>
  <c r="NV320" i="29"/>
  <c r="NW320" i="29"/>
  <c r="NX320" i="29"/>
  <c r="NY320" i="29"/>
  <c r="NZ320" i="29"/>
  <c r="OA320" i="29"/>
  <c r="OB320" i="29"/>
  <c r="OC320" i="29"/>
  <c r="OD320" i="29"/>
  <c r="OE320" i="29"/>
  <c r="OF320" i="29"/>
  <c r="OG320" i="29"/>
  <c r="OH320" i="29"/>
  <c r="OI320" i="29"/>
  <c r="OJ320" i="29"/>
  <c r="OK320" i="29"/>
  <c r="OL320" i="29"/>
  <c r="OM320" i="29"/>
  <c r="ON320" i="29"/>
  <c r="OO320" i="29"/>
  <c r="OP320" i="29"/>
  <c r="OQ320" i="29"/>
  <c r="OR320" i="29"/>
  <c r="OS320" i="29"/>
  <c r="OT320" i="29"/>
  <c r="OU320" i="29"/>
  <c r="OV320" i="29"/>
  <c r="OW320" i="29"/>
  <c r="OX320" i="29"/>
  <c r="OY320" i="29"/>
  <c r="OZ320" i="29"/>
  <c r="PA320" i="29"/>
  <c r="PB320" i="29"/>
  <c r="PC320" i="29"/>
  <c r="PD320" i="29"/>
  <c r="PE320" i="29"/>
  <c r="PF320" i="29"/>
  <c r="PG320" i="29"/>
  <c r="PH320" i="29"/>
  <c r="PI320" i="29"/>
  <c r="PJ320" i="29"/>
  <c r="PK320" i="29"/>
  <c r="PL320" i="29"/>
  <c r="PM320" i="29"/>
  <c r="PN320" i="29"/>
  <c r="PO320" i="29"/>
  <c r="PP320" i="29"/>
  <c r="PQ320" i="29"/>
  <c r="PR320" i="29"/>
  <c r="PS320" i="29"/>
  <c r="PT320" i="29"/>
  <c r="PU320" i="29"/>
  <c r="PV320" i="29"/>
  <c r="PW320" i="29"/>
  <c r="PX320" i="29"/>
  <c r="PY320" i="29"/>
  <c r="PZ320" i="29"/>
  <c r="QA320" i="29"/>
  <c r="QB320" i="29"/>
  <c r="QC320" i="29"/>
  <c r="QD320" i="29"/>
  <c r="QE320" i="29"/>
  <c r="QF320" i="29"/>
  <c r="QG320" i="29"/>
  <c r="QH320" i="29"/>
  <c r="QI320" i="29"/>
  <c r="QJ320" i="29"/>
  <c r="QK320" i="29"/>
  <c r="QL320" i="29"/>
  <c r="QM320" i="29"/>
  <c r="QN320" i="29"/>
  <c r="QO320" i="29"/>
  <c r="QP320" i="29"/>
  <c r="QQ320" i="29"/>
  <c r="QR320" i="29"/>
  <c r="QS320" i="29"/>
  <c r="QT320" i="29"/>
  <c r="QU320" i="29"/>
  <c r="QV320" i="29"/>
  <c r="QW320" i="29"/>
  <c r="QX320" i="29"/>
  <c r="QY320" i="29"/>
  <c r="QZ320" i="29"/>
  <c r="RA320" i="29"/>
  <c r="RB320" i="29"/>
  <c r="RC320" i="29"/>
  <c r="RD320" i="29"/>
  <c r="RE320" i="29"/>
  <c r="RF320" i="29"/>
  <c r="RG320" i="29"/>
  <c r="RH320" i="29"/>
  <c r="RI320" i="29"/>
  <c r="RJ320" i="29"/>
  <c r="RK320" i="29"/>
  <c r="RL320" i="29"/>
  <c r="RM320" i="29"/>
  <c r="RN320" i="29"/>
  <c r="RO320" i="29"/>
  <c r="RP320" i="29"/>
  <c r="RQ320" i="29"/>
  <c r="RR320" i="29"/>
  <c r="RS320" i="29"/>
  <c r="RT320" i="29"/>
  <c r="RU320" i="29"/>
  <c r="RV320" i="29"/>
  <c r="RW320" i="29"/>
  <c r="RX320" i="29"/>
  <c r="RY320" i="29"/>
  <c r="RZ320" i="29"/>
  <c r="SA320" i="29"/>
  <c r="SB320" i="29"/>
  <c r="SC320" i="29"/>
  <c r="SD320" i="29"/>
  <c r="SE320" i="29"/>
  <c r="SF320" i="29"/>
  <c r="SG320" i="29"/>
  <c r="SH320" i="29"/>
  <c r="SI320" i="29"/>
  <c r="SJ320" i="29"/>
  <c r="SK320" i="29"/>
  <c r="SL320" i="29"/>
  <c r="SM320" i="29"/>
  <c r="SN320" i="29"/>
  <c r="SO320" i="29"/>
  <c r="SP320" i="29"/>
  <c r="SQ320" i="29"/>
  <c r="SR320" i="29"/>
  <c r="SS320" i="29"/>
  <c r="B321" i="29"/>
  <c r="C321" i="29"/>
  <c r="D321" i="29"/>
  <c r="E321" i="29"/>
  <c r="F321" i="29"/>
  <c r="G321" i="29"/>
  <c r="H321" i="29"/>
  <c r="I321" i="29"/>
  <c r="J321" i="29"/>
  <c r="K321" i="29"/>
  <c r="L321" i="29"/>
  <c r="M321" i="29"/>
  <c r="N321" i="29"/>
  <c r="O321" i="29"/>
  <c r="P321" i="29"/>
  <c r="Q321" i="29"/>
  <c r="R321" i="29"/>
  <c r="S321" i="29"/>
  <c r="T321" i="29"/>
  <c r="U321" i="29"/>
  <c r="V321" i="29"/>
  <c r="W321" i="29"/>
  <c r="X321" i="29"/>
  <c r="Y321" i="29"/>
  <c r="Z321" i="29"/>
  <c r="AA321" i="29"/>
  <c r="AB321" i="29"/>
  <c r="AC321" i="29"/>
  <c r="AD321" i="29"/>
  <c r="AE321" i="29"/>
  <c r="AF321" i="29"/>
  <c r="AG321" i="29"/>
  <c r="AH321" i="29"/>
  <c r="AI321" i="29"/>
  <c r="AJ321" i="29"/>
  <c r="AK321" i="29"/>
  <c r="AL321" i="29"/>
  <c r="AM321" i="29"/>
  <c r="AN321" i="29"/>
  <c r="AO321" i="29"/>
  <c r="AP321" i="29"/>
  <c r="AQ321" i="29"/>
  <c r="AR321" i="29"/>
  <c r="AS321" i="29"/>
  <c r="AT321" i="29"/>
  <c r="AU321" i="29"/>
  <c r="AV321" i="29"/>
  <c r="AW321" i="29"/>
  <c r="AX321" i="29"/>
  <c r="AY321" i="29"/>
  <c r="AZ321" i="29"/>
  <c r="BA321" i="29"/>
  <c r="BB321" i="29"/>
  <c r="BC321" i="29"/>
  <c r="BD321" i="29"/>
  <c r="BE321" i="29"/>
  <c r="BF321" i="29"/>
  <c r="BG321" i="29"/>
  <c r="BH321" i="29"/>
  <c r="BI321" i="29"/>
  <c r="BJ321" i="29"/>
  <c r="BK321" i="29"/>
  <c r="BL321" i="29"/>
  <c r="BM321" i="29"/>
  <c r="BN321" i="29"/>
  <c r="BO321" i="29"/>
  <c r="BP321" i="29"/>
  <c r="BQ321" i="29"/>
  <c r="BR321" i="29"/>
  <c r="BS321" i="29"/>
  <c r="BT321" i="29"/>
  <c r="BU321" i="29"/>
  <c r="BV321" i="29"/>
  <c r="BW321" i="29"/>
  <c r="BX321" i="29"/>
  <c r="BY321" i="29"/>
  <c r="BZ321" i="29"/>
  <c r="CA321" i="29"/>
  <c r="CB321" i="29"/>
  <c r="CC321" i="29"/>
  <c r="CD321" i="29"/>
  <c r="CE321" i="29"/>
  <c r="CF321" i="29"/>
  <c r="CG321" i="29"/>
  <c r="CH321" i="29"/>
  <c r="CI321" i="29"/>
  <c r="CJ321" i="29"/>
  <c r="CK321" i="29"/>
  <c r="CL321" i="29"/>
  <c r="CM321" i="29"/>
  <c r="CN321" i="29"/>
  <c r="CO321" i="29"/>
  <c r="CP321" i="29"/>
  <c r="CQ321" i="29"/>
  <c r="CR321" i="29"/>
  <c r="CS321" i="29"/>
  <c r="CT321" i="29"/>
  <c r="CU321" i="29"/>
  <c r="CV321" i="29"/>
  <c r="CW321" i="29"/>
  <c r="CX321" i="29"/>
  <c r="CY321" i="29"/>
  <c r="CZ321" i="29"/>
  <c r="DA321" i="29"/>
  <c r="DB321" i="29"/>
  <c r="DC321" i="29"/>
  <c r="DD321" i="29"/>
  <c r="DE321" i="29"/>
  <c r="DF321" i="29"/>
  <c r="DG321" i="29"/>
  <c r="DH321" i="29"/>
  <c r="DI321" i="29"/>
  <c r="DJ321" i="29"/>
  <c r="DK321" i="29"/>
  <c r="DL321" i="29"/>
  <c r="DM321" i="29"/>
  <c r="DN321" i="29"/>
  <c r="DO321" i="29"/>
  <c r="DP321" i="29"/>
  <c r="DQ321" i="29"/>
  <c r="DR321" i="29"/>
  <c r="DS321" i="29"/>
  <c r="DT321" i="29"/>
  <c r="DU321" i="29"/>
  <c r="DV321" i="29"/>
  <c r="DW321" i="29"/>
  <c r="DX321" i="29"/>
  <c r="DY321" i="29"/>
  <c r="DZ321" i="29"/>
  <c r="EA321" i="29"/>
  <c r="EB321" i="29"/>
  <c r="EC321" i="29"/>
  <c r="ED321" i="29"/>
  <c r="EE321" i="29"/>
  <c r="EF321" i="29"/>
  <c r="EG321" i="29"/>
  <c r="EH321" i="29"/>
  <c r="EI321" i="29"/>
  <c r="EJ321" i="29"/>
  <c r="EK321" i="29"/>
  <c r="EL321" i="29"/>
  <c r="EM321" i="29"/>
  <c r="EN321" i="29"/>
  <c r="EO321" i="29"/>
  <c r="EP321" i="29"/>
  <c r="EQ321" i="29"/>
  <c r="ER321" i="29"/>
  <c r="ES321" i="29"/>
  <c r="ET321" i="29"/>
  <c r="EU321" i="29"/>
  <c r="EV321" i="29"/>
  <c r="EW321" i="29"/>
  <c r="EX321" i="29"/>
  <c r="EY321" i="29"/>
  <c r="EZ321" i="29"/>
  <c r="FA321" i="29"/>
  <c r="FB321" i="29"/>
  <c r="FC321" i="29"/>
  <c r="FD321" i="29"/>
  <c r="FE321" i="29"/>
  <c r="FF321" i="29"/>
  <c r="FG321" i="29"/>
  <c r="FH321" i="29"/>
  <c r="FI321" i="29"/>
  <c r="FJ321" i="29"/>
  <c r="FK321" i="29"/>
  <c r="FL321" i="29"/>
  <c r="FM321" i="29"/>
  <c r="FN321" i="29"/>
  <c r="FO321" i="29"/>
  <c r="FP321" i="29"/>
  <c r="FQ321" i="29"/>
  <c r="FR321" i="29"/>
  <c r="FS321" i="29"/>
  <c r="FT321" i="29"/>
  <c r="FU321" i="29"/>
  <c r="FV321" i="29"/>
  <c r="FW321" i="29"/>
  <c r="FX321" i="29"/>
  <c r="FY321" i="29"/>
  <c r="FZ321" i="29"/>
  <c r="GA321" i="29"/>
  <c r="GB321" i="29"/>
  <c r="GC321" i="29"/>
  <c r="GD321" i="29"/>
  <c r="GE321" i="29"/>
  <c r="GF321" i="29"/>
  <c r="GG321" i="29"/>
  <c r="GH321" i="29"/>
  <c r="GI321" i="29"/>
  <c r="GJ321" i="29"/>
  <c r="GK321" i="29"/>
  <c r="GL321" i="29"/>
  <c r="GM321" i="29"/>
  <c r="GN321" i="29"/>
  <c r="GO321" i="29"/>
  <c r="GP321" i="29"/>
  <c r="GQ321" i="29"/>
  <c r="GR321" i="29"/>
  <c r="GS321" i="29"/>
  <c r="GT321" i="29"/>
  <c r="GU321" i="29"/>
  <c r="GV321" i="29"/>
  <c r="GW321" i="29"/>
  <c r="GX321" i="29"/>
  <c r="GY321" i="29"/>
  <c r="GZ321" i="29"/>
  <c r="HA321" i="29"/>
  <c r="HB321" i="29"/>
  <c r="HC321" i="29"/>
  <c r="HD321" i="29"/>
  <c r="HE321" i="29"/>
  <c r="HF321" i="29"/>
  <c r="HG321" i="29"/>
  <c r="HH321" i="29"/>
  <c r="HI321" i="29"/>
  <c r="HJ321" i="29"/>
  <c r="HK321" i="29"/>
  <c r="HL321" i="29"/>
  <c r="HM321" i="29"/>
  <c r="HN321" i="29"/>
  <c r="HO321" i="29"/>
  <c r="HP321" i="29"/>
  <c r="HQ321" i="29"/>
  <c r="HR321" i="29"/>
  <c r="HS321" i="29"/>
  <c r="HT321" i="29"/>
  <c r="HU321" i="29"/>
  <c r="HV321" i="29"/>
  <c r="HW321" i="29"/>
  <c r="HX321" i="29"/>
  <c r="HY321" i="29"/>
  <c r="HZ321" i="29"/>
  <c r="IA321" i="29"/>
  <c r="IB321" i="29"/>
  <c r="IC321" i="29"/>
  <c r="ID321" i="29"/>
  <c r="IE321" i="29"/>
  <c r="IF321" i="29"/>
  <c r="IG321" i="29"/>
  <c r="IH321" i="29"/>
  <c r="II321" i="29"/>
  <c r="IJ321" i="29"/>
  <c r="IK321" i="29"/>
  <c r="IL321" i="29"/>
  <c r="IM321" i="29"/>
  <c r="IN321" i="29"/>
  <c r="IO321" i="29"/>
  <c r="IP321" i="29"/>
  <c r="IQ321" i="29"/>
  <c r="IR321" i="29"/>
  <c r="IS321" i="29"/>
  <c r="IT321" i="29"/>
  <c r="IU321" i="29"/>
  <c r="IV321" i="29"/>
  <c r="IW321" i="29"/>
  <c r="IX321" i="29"/>
  <c r="IY321" i="29"/>
  <c r="IZ321" i="29"/>
  <c r="JA321" i="29"/>
  <c r="JB321" i="29"/>
  <c r="JC321" i="29"/>
  <c r="JD321" i="29"/>
  <c r="JE321" i="29"/>
  <c r="JF321" i="29"/>
  <c r="JG321" i="29"/>
  <c r="JH321" i="29"/>
  <c r="JI321" i="29"/>
  <c r="JJ321" i="29"/>
  <c r="JK321" i="29"/>
  <c r="JL321" i="29"/>
  <c r="JM321" i="29"/>
  <c r="JN321" i="29"/>
  <c r="JO321" i="29"/>
  <c r="JP321" i="29"/>
  <c r="JQ321" i="29"/>
  <c r="JR321" i="29"/>
  <c r="JS321" i="29"/>
  <c r="JT321" i="29"/>
  <c r="JU321" i="29"/>
  <c r="JV321" i="29"/>
  <c r="JW321" i="29"/>
  <c r="JX321" i="29"/>
  <c r="JY321" i="29"/>
  <c r="JZ321" i="29"/>
  <c r="KA321" i="29"/>
  <c r="KB321" i="29"/>
  <c r="KC321" i="29"/>
  <c r="KD321" i="29"/>
  <c r="KE321" i="29"/>
  <c r="KF321" i="29"/>
  <c r="KG321" i="29"/>
  <c r="KH321" i="29"/>
  <c r="KI321" i="29"/>
  <c r="KJ321" i="29"/>
  <c r="KK321" i="29"/>
  <c r="KL321" i="29"/>
  <c r="KM321" i="29"/>
  <c r="KN321" i="29"/>
  <c r="KO321" i="29"/>
  <c r="KP321" i="29"/>
  <c r="KQ321" i="29"/>
  <c r="KR321" i="29"/>
  <c r="KS321" i="29"/>
  <c r="KT321" i="29"/>
  <c r="KU321" i="29"/>
  <c r="KV321" i="29"/>
  <c r="KW321" i="29"/>
  <c r="KX321" i="29"/>
  <c r="KY321" i="29"/>
  <c r="KZ321" i="29"/>
  <c r="LA321" i="29"/>
  <c r="LB321" i="29"/>
  <c r="LC321" i="29"/>
  <c r="LD321" i="29"/>
  <c r="LE321" i="29"/>
  <c r="LF321" i="29"/>
  <c r="LG321" i="29"/>
  <c r="LH321" i="29"/>
  <c r="LI321" i="29"/>
  <c r="LJ321" i="29"/>
  <c r="LK321" i="29"/>
  <c r="LL321" i="29"/>
  <c r="LM321" i="29"/>
  <c r="LN321" i="29"/>
  <c r="LO321" i="29"/>
  <c r="LP321" i="29"/>
  <c r="LQ321" i="29"/>
  <c r="LR321" i="29"/>
  <c r="LS321" i="29"/>
  <c r="LT321" i="29"/>
  <c r="LU321" i="29"/>
  <c r="LV321" i="29"/>
  <c r="LW321" i="29"/>
  <c r="LX321" i="29"/>
  <c r="LY321" i="29"/>
  <c r="LZ321" i="29"/>
  <c r="MA321" i="29"/>
  <c r="MB321" i="29"/>
  <c r="MC321" i="29"/>
  <c r="MD321" i="29"/>
  <c r="ME321" i="29"/>
  <c r="MF321" i="29"/>
  <c r="MG321" i="29"/>
  <c r="MH321" i="29"/>
  <c r="MI321" i="29"/>
  <c r="MJ321" i="29"/>
  <c r="MK321" i="29"/>
  <c r="ML321" i="29"/>
  <c r="MM321" i="29"/>
  <c r="MN321" i="29"/>
  <c r="MO321" i="29"/>
  <c r="MP321" i="29"/>
  <c r="MQ321" i="29"/>
  <c r="MR321" i="29"/>
  <c r="MS321" i="29"/>
  <c r="MT321" i="29"/>
  <c r="MU321" i="29"/>
  <c r="MV321" i="29"/>
  <c r="MW321" i="29"/>
  <c r="MX321" i="29"/>
  <c r="MY321" i="29"/>
  <c r="MZ321" i="29"/>
  <c r="NA321" i="29"/>
  <c r="NB321" i="29"/>
  <c r="NC321" i="29"/>
  <c r="ND321" i="29"/>
  <c r="NE321" i="29"/>
  <c r="NF321" i="29"/>
  <c r="NG321" i="29"/>
  <c r="NH321" i="29"/>
  <c r="NI321" i="29"/>
  <c r="NJ321" i="29"/>
  <c r="NK321" i="29"/>
  <c r="NL321" i="29"/>
  <c r="NM321" i="29"/>
  <c r="NN321" i="29"/>
  <c r="NO321" i="29"/>
  <c r="NP321" i="29"/>
  <c r="NQ321" i="29"/>
  <c r="NR321" i="29"/>
  <c r="NS321" i="29"/>
  <c r="NT321" i="29"/>
  <c r="NU321" i="29"/>
  <c r="NV321" i="29"/>
  <c r="NW321" i="29"/>
  <c r="NX321" i="29"/>
  <c r="NY321" i="29"/>
  <c r="NZ321" i="29"/>
  <c r="OA321" i="29"/>
  <c r="OB321" i="29"/>
  <c r="OC321" i="29"/>
  <c r="OD321" i="29"/>
  <c r="OE321" i="29"/>
  <c r="OF321" i="29"/>
  <c r="OG321" i="29"/>
  <c r="OH321" i="29"/>
  <c r="OI321" i="29"/>
  <c r="OJ321" i="29"/>
  <c r="OK321" i="29"/>
  <c r="OL321" i="29"/>
  <c r="OM321" i="29"/>
  <c r="ON321" i="29"/>
  <c r="OO321" i="29"/>
  <c r="OP321" i="29"/>
  <c r="OQ321" i="29"/>
  <c r="OR321" i="29"/>
  <c r="OS321" i="29"/>
  <c r="OT321" i="29"/>
  <c r="OU321" i="29"/>
  <c r="OV321" i="29"/>
  <c r="OW321" i="29"/>
  <c r="OX321" i="29"/>
  <c r="OY321" i="29"/>
  <c r="OZ321" i="29"/>
  <c r="PA321" i="29"/>
  <c r="PB321" i="29"/>
  <c r="PC321" i="29"/>
  <c r="PD321" i="29"/>
  <c r="PE321" i="29"/>
  <c r="PF321" i="29"/>
  <c r="PG321" i="29"/>
  <c r="PH321" i="29"/>
  <c r="PI321" i="29"/>
  <c r="PJ321" i="29"/>
  <c r="PK321" i="29"/>
  <c r="PL321" i="29"/>
  <c r="PM321" i="29"/>
  <c r="PN321" i="29"/>
  <c r="PO321" i="29"/>
  <c r="PP321" i="29"/>
  <c r="PQ321" i="29"/>
  <c r="PR321" i="29"/>
  <c r="PS321" i="29"/>
  <c r="PT321" i="29"/>
  <c r="PU321" i="29"/>
  <c r="PV321" i="29"/>
  <c r="PW321" i="29"/>
  <c r="PX321" i="29"/>
  <c r="PY321" i="29"/>
  <c r="PZ321" i="29"/>
  <c r="QA321" i="29"/>
  <c r="QB321" i="29"/>
  <c r="QC321" i="29"/>
  <c r="QD321" i="29"/>
  <c r="QE321" i="29"/>
  <c r="QF321" i="29"/>
  <c r="QG321" i="29"/>
  <c r="QH321" i="29"/>
  <c r="QI321" i="29"/>
  <c r="QJ321" i="29"/>
  <c r="QK321" i="29"/>
  <c r="QL321" i="29"/>
  <c r="QM321" i="29"/>
  <c r="QN321" i="29"/>
  <c r="QO321" i="29"/>
  <c r="QP321" i="29"/>
  <c r="QQ321" i="29"/>
  <c r="QR321" i="29"/>
  <c r="QS321" i="29"/>
  <c r="QT321" i="29"/>
  <c r="QU321" i="29"/>
  <c r="QV321" i="29"/>
  <c r="QW321" i="29"/>
  <c r="QX321" i="29"/>
  <c r="QY321" i="29"/>
  <c r="QZ321" i="29"/>
  <c r="RA321" i="29"/>
  <c r="RB321" i="29"/>
  <c r="RC321" i="29"/>
  <c r="RD321" i="29"/>
  <c r="RE321" i="29"/>
  <c r="RF321" i="29"/>
  <c r="RG321" i="29"/>
  <c r="RH321" i="29"/>
  <c r="RI321" i="29"/>
  <c r="RJ321" i="29"/>
  <c r="RK321" i="29"/>
  <c r="RL321" i="29"/>
  <c r="RM321" i="29"/>
  <c r="RN321" i="29"/>
  <c r="RO321" i="29"/>
  <c r="RP321" i="29"/>
  <c r="RQ321" i="29"/>
  <c r="RR321" i="29"/>
  <c r="RS321" i="29"/>
  <c r="RT321" i="29"/>
  <c r="RU321" i="29"/>
  <c r="RV321" i="29"/>
  <c r="RW321" i="29"/>
  <c r="RX321" i="29"/>
  <c r="RY321" i="29"/>
  <c r="RZ321" i="29"/>
  <c r="SA321" i="29"/>
  <c r="SB321" i="29"/>
  <c r="SC321" i="29"/>
  <c r="SD321" i="29"/>
  <c r="SE321" i="29"/>
  <c r="SF321" i="29"/>
  <c r="SG321" i="29"/>
  <c r="SH321" i="29"/>
  <c r="SI321" i="29"/>
  <c r="SJ321" i="29"/>
  <c r="SK321" i="29"/>
  <c r="SL321" i="29"/>
  <c r="SM321" i="29"/>
  <c r="SN321" i="29"/>
  <c r="SO321" i="29"/>
  <c r="SP321" i="29"/>
  <c r="SQ321" i="29"/>
  <c r="SR321" i="29"/>
  <c r="SS321" i="29"/>
  <c r="B322" i="29"/>
  <c r="C322" i="29"/>
  <c r="D322" i="29"/>
  <c r="E322" i="29"/>
  <c r="F322" i="29"/>
  <c r="G322" i="29"/>
  <c r="H322" i="29"/>
  <c r="I322" i="29"/>
  <c r="J322" i="29"/>
  <c r="K322" i="29"/>
  <c r="L322" i="29"/>
  <c r="M322" i="29"/>
  <c r="N322" i="29"/>
  <c r="O322" i="29"/>
  <c r="P322" i="29"/>
  <c r="Q322" i="29"/>
  <c r="R322" i="29"/>
  <c r="S322" i="29"/>
  <c r="T322" i="29"/>
  <c r="U322" i="29"/>
  <c r="V322" i="29"/>
  <c r="W322" i="29"/>
  <c r="X322" i="29"/>
  <c r="Y322" i="29"/>
  <c r="Z322" i="29"/>
  <c r="AA322" i="29"/>
  <c r="AB322" i="29"/>
  <c r="AC322" i="29"/>
  <c r="AD322" i="29"/>
  <c r="AE322" i="29"/>
  <c r="AF322" i="29"/>
  <c r="AG322" i="29"/>
  <c r="AH322" i="29"/>
  <c r="AI322" i="29"/>
  <c r="AJ322" i="29"/>
  <c r="AK322" i="29"/>
  <c r="AL322" i="29"/>
  <c r="AM322" i="29"/>
  <c r="AN322" i="29"/>
  <c r="AO322" i="29"/>
  <c r="AP322" i="29"/>
  <c r="AQ322" i="29"/>
  <c r="AR322" i="29"/>
  <c r="AS322" i="29"/>
  <c r="AT322" i="29"/>
  <c r="AU322" i="29"/>
  <c r="AV322" i="29"/>
  <c r="AW322" i="29"/>
  <c r="AX322" i="29"/>
  <c r="AY322" i="29"/>
  <c r="AZ322" i="29"/>
  <c r="BA322" i="29"/>
  <c r="BB322" i="29"/>
  <c r="BC322" i="29"/>
  <c r="BD322" i="29"/>
  <c r="BE322" i="29"/>
  <c r="BF322" i="29"/>
  <c r="BG322" i="29"/>
  <c r="BH322" i="29"/>
  <c r="BI322" i="29"/>
  <c r="BJ322" i="29"/>
  <c r="BK322" i="29"/>
  <c r="BL322" i="29"/>
  <c r="BM322" i="29"/>
  <c r="BN322" i="29"/>
  <c r="BO322" i="29"/>
  <c r="BP322" i="29"/>
  <c r="BQ322" i="29"/>
  <c r="BR322" i="29"/>
  <c r="BS322" i="29"/>
  <c r="BT322" i="29"/>
  <c r="BU322" i="29"/>
  <c r="BV322" i="29"/>
  <c r="BW322" i="29"/>
  <c r="BX322" i="29"/>
  <c r="BY322" i="29"/>
  <c r="BZ322" i="29"/>
  <c r="CA322" i="29"/>
  <c r="CB322" i="29"/>
  <c r="CC322" i="29"/>
  <c r="CD322" i="29"/>
  <c r="CE322" i="29"/>
  <c r="CF322" i="29"/>
  <c r="CG322" i="29"/>
  <c r="CH322" i="29"/>
  <c r="CI322" i="29"/>
  <c r="CJ322" i="29"/>
  <c r="CK322" i="29"/>
  <c r="CL322" i="29"/>
  <c r="CM322" i="29"/>
  <c r="CN322" i="29"/>
  <c r="CO322" i="29"/>
  <c r="CP322" i="29"/>
  <c r="CQ322" i="29"/>
  <c r="CR322" i="29"/>
  <c r="CS322" i="29"/>
  <c r="CT322" i="29"/>
  <c r="CU322" i="29"/>
  <c r="CV322" i="29"/>
  <c r="CW322" i="29"/>
  <c r="CX322" i="29"/>
  <c r="CY322" i="29"/>
  <c r="CZ322" i="29"/>
  <c r="DA322" i="29"/>
  <c r="DB322" i="29"/>
  <c r="DC322" i="29"/>
  <c r="DD322" i="29"/>
  <c r="DE322" i="29"/>
  <c r="DF322" i="29"/>
  <c r="DG322" i="29"/>
  <c r="DH322" i="29"/>
  <c r="DI322" i="29"/>
  <c r="DJ322" i="29"/>
  <c r="DK322" i="29"/>
  <c r="DL322" i="29"/>
  <c r="DM322" i="29"/>
  <c r="DN322" i="29"/>
  <c r="DO322" i="29"/>
  <c r="DP322" i="29"/>
  <c r="DQ322" i="29"/>
  <c r="DR322" i="29"/>
  <c r="DS322" i="29"/>
  <c r="DT322" i="29"/>
  <c r="DU322" i="29"/>
  <c r="DV322" i="29"/>
  <c r="DW322" i="29"/>
  <c r="DX322" i="29"/>
  <c r="DY322" i="29"/>
  <c r="DZ322" i="29"/>
  <c r="EA322" i="29"/>
  <c r="EB322" i="29"/>
  <c r="EC322" i="29"/>
  <c r="ED322" i="29"/>
  <c r="EE322" i="29"/>
  <c r="EF322" i="29"/>
  <c r="EG322" i="29"/>
  <c r="EH322" i="29"/>
  <c r="EI322" i="29"/>
  <c r="EJ322" i="29"/>
  <c r="EK322" i="29"/>
  <c r="EL322" i="29"/>
  <c r="EM322" i="29"/>
  <c r="EN322" i="29"/>
  <c r="EO322" i="29"/>
  <c r="EP322" i="29"/>
  <c r="EQ322" i="29"/>
  <c r="ER322" i="29"/>
  <c r="ES322" i="29"/>
  <c r="ET322" i="29"/>
  <c r="EU322" i="29"/>
  <c r="EV322" i="29"/>
  <c r="EW322" i="29"/>
  <c r="EX322" i="29"/>
  <c r="EY322" i="29"/>
  <c r="EZ322" i="29"/>
  <c r="FA322" i="29"/>
  <c r="FB322" i="29"/>
  <c r="FC322" i="29"/>
  <c r="FD322" i="29"/>
  <c r="FE322" i="29"/>
  <c r="FF322" i="29"/>
  <c r="FG322" i="29"/>
  <c r="FH322" i="29"/>
  <c r="FI322" i="29"/>
  <c r="FJ322" i="29"/>
  <c r="FK322" i="29"/>
  <c r="FL322" i="29"/>
  <c r="FM322" i="29"/>
  <c r="FN322" i="29"/>
  <c r="FO322" i="29"/>
  <c r="FP322" i="29"/>
  <c r="FQ322" i="29"/>
  <c r="FR322" i="29"/>
  <c r="FS322" i="29"/>
  <c r="FT322" i="29"/>
  <c r="FU322" i="29"/>
  <c r="FV322" i="29"/>
  <c r="FW322" i="29"/>
  <c r="FX322" i="29"/>
  <c r="FY322" i="29"/>
  <c r="FZ322" i="29"/>
  <c r="GA322" i="29"/>
  <c r="GB322" i="29"/>
  <c r="GC322" i="29"/>
  <c r="GD322" i="29"/>
  <c r="GE322" i="29"/>
  <c r="GF322" i="29"/>
  <c r="GG322" i="29"/>
  <c r="GH322" i="29"/>
  <c r="GI322" i="29"/>
  <c r="GJ322" i="29"/>
  <c r="GK322" i="29"/>
  <c r="GL322" i="29"/>
  <c r="GM322" i="29"/>
  <c r="GN322" i="29"/>
  <c r="GO322" i="29"/>
  <c r="GP322" i="29"/>
  <c r="GQ322" i="29"/>
  <c r="GR322" i="29"/>
  <c r="GS322" i="29"/>
  <c r="GT322" i="29"/>
  <c r="GU322" i="29"/>
  <c r="GV322" i="29"/>
  <c r="GW322" i="29"/>
  <c r="GX322" i="29"/>
  <c r="GY322" i="29"/>
  <c r="GZ322" i="29"/>
  <c r="HA322" i="29"/>
  <c r="HB322" i="29"/>
  <c r="HC322" i="29"/>
  <c r="HD322" i="29"/>
  <c r="HE322" i="29"/>
  <c r="HF322" i="29"/>
  <c r="HG322" i="29"/>
  <c r="HH322" i="29"/>
  <c r="HI322" i="29"/>
  <c r="HJ322" i="29"/>
  <c r="HK322" i="29"/>
  <c r="HL322" i="29"/>
  <c r="HM322" i="29"/>
  <c r="HN322" i="29"/>
  <c r="HO322" i="29"/>
  <c r="HP322" i="29"/>
  <c r="HQ322" i="29"/>
  <c r="HR322" i="29"/>
  <c r="HS322" i="29"/>
  <c r="HT322" i="29"/>
  <c r="HU322" i="29"/>
  <c r="HV322" i="29"/>
  <c r="HW322" i="29"/>
  <c r="HX322" i="29"/>
  <c r="HY322" i="29"/>
  <c r="HZ322" i="29"/>
  <c r="IA322" i="29"/>
  <c r="IB322" i="29"/>
  <c r="IC322" i="29"/>
  <c r="ID322" i="29"/>
  <c r="IE322" i="29"/>
  <c r="IF322" i="29"/>
  <c r="IG322" i="29"/>
  <c r="IH322" i="29"/>
  <c r="II322" i="29"/>
  <c r="IJ322" i="29"/>
  <c r="IK322" i="29"/>
  <c r="IL322" i="29"/>
  <c r="IM322" i="29"/>
  <c r="IN322" i="29"/>
  <c r="IO322" i="29"/>
  <c r="IP322" i="29"/>
  <c r="IQ322" i="29"/>
  <c r="IR322" i="29"/>
  <c r="IS322" i="29"/>
  <c r="IT322" i="29"/>
  <c r="IU322" i="29"/>
  <c r="IV322" i="29"/>
  <c r="IW322" i="29"/>
  <c r="IX322" i="29"/>
  <c r="IY322" i="29"/>
  <c r="IZ322" i="29"/>
  <c r="JA322" i="29"/>
  <c r="JB322" i="29"/>
  <c r="JC322" i="29"/>
  <c r="JD322" i="29"/>
  <c r="JE322" i="29"/>
  <c r="JF322" i="29"/>
  <c r="JG322" i="29"/>
  <c r="JH322" i="29"/>
  <c r="JI322" i="29"/>
  <c r="JJ322" i="29"/>
  <c r="JK322" i="29"/>
  <c r="JL322" i="29"/>
  <c r="JM322" i="29"/>
  <c r="JN322" i="29"/>
  <c r="JO322" i="29"/>
  <c r="JP322" i="29"/>
  <c r="JQ322" i="29"/>
  <c r="JR322" i="29"/>
  <c r="JS322" i="29"/>
  <c r="JT322" i="29"/>
  <c r="JU322" i="29"/>
  <c r="JV322" i="29"/>
  <c r="JW322" i="29"/>
  <c r="JX322" i="29"/>
  <c r="JY322" i="29"/>
  <c r="JZ322" i="29"/>
  <c r="KA322" i="29"/>
  <c r="KB322" i="29"/>
  <c r="KC322" i="29"/>
  <c r="KD322" i="29"/>
  <c r="KE322" i="29"/>
  <c r="KF322" i="29"/>
  <c r="KG322" i="29"/>
  <c r="KH322" i="29"/>
  <c r="KI322" i="29"/>
  <c r="KJ322" i="29"/>
  <c r="KK322" i="29"/>
  <c r="KL322" i="29"/>
  <c r="KM322" i="29"/>
  <c r="KN322" i="29"/>
  <c r="KO322" i="29"/>
  <c r="KP322" i="29"/>
  <c r="KQ322" i="29"/>
  <c r="KR322" i="29"/>
  <c r="KS322" i="29"/>
  <c r="KT322" i="29"/>
  <c r="KU322" i="29"/>
  <c r="KV322" i="29"/>
  <c r="KW322" i="29"/>
  <c r="KX322" i="29"/>
  <c r="KY322" i="29"/>
  <c r="KZ322" i="29"/>
  <c r="LA322" i="29"/>
  <c r="LB322" i="29"/>
  <c r="LC322" i="29"/>
  <c r="LD322" i="29"/>
  <c r="LE322" i="29"/>
  <c r="LF322" i="29"/>
  <c r="LG322" i="29"/>
  <c r="LH322" i="29"/>
  <c r="LI322" i="29"/>
  <c r="LJ322" i="29"/>
  <c r="LK322" i="29"/>
  <c r="LL322" i="29"/>
  <c r="LM322" i="29"/>
  <c r="LN322" i="29"/>
  <c r="LO322" i="29"/>
  <c r="LP322" i="29"/>
  <c r="LQ322" i="29"/>
  <c r="LR322" i="29"/>
  <c r="LS322" i="29"/>
  <c r="LT322" i="29"/>
  <c r="LU322" i="29"/>
  <c r="LV322" i="29"/>
  <c r="LW322" i="29"/>
  <c r="LX322" i="29"/>
  <c r="LY322" i="29"/>
  <c r="LZ322" i="29"/>
  <c r="MA322" i="29"/>
  <c r="MB322" i="29"/>
  <c r="MC322" i="29"/>
  <c r="MD322" i="29"/>
  <c r="ME322" i="29"/>
  <c r="MF322" i="29"/>
  <c r="MG322" i="29"/>
  <c r="MH322" i="29"/>
  <c r="MI322" i="29"/>
  <c r="MJ322" i="29"/>
  <c r="MK322" i="29"/>
  <c r="ML322" i="29"/>
  <c r="MM322" i="29"/>
  <c r="MN322" i="29"/>
  <c r="MO322" i="29"/>
  <c r="MP322" i="29"/>
  <c r="MQ322" i="29"/>
  <c r="MR322" i="29"/>
  <c r="MS322" i="29"/>
  <c r="MT322" i="29"/>
  <c r="MU322" i="29"/>
  <c r="MV322" i="29"/>
  <c r="MW322" i="29"/>
  <c r="MX322" i="29"/>
  <c r="MY322" i="29"/>
  <c r="MZ322" i="29"/>
  <c r="NA322" i="29"/>
  <c r="NB322" i="29"/>
  <c r="NC322" i="29"/>
  <c r="ND322" i="29"/>
  <c r="NE322" i="29"/>
  <c r="NF322" i="29"/>
  <c r="NG322" i="29"/>
  <c r="NH322" i="29"/>
  <c r="NI322" i="29"/>
  <c r="NJ322" i="29"/>
  <c r="NK322" i="29"/>
  <c r="NL322" i="29"/>
  <c r="NM322" i="29"/>
  <c r="NN322" i="29"/>
  <c r="NO322" i="29"/>
  <c r="NP322" i="29"/>
  <c r="NQ322" i="29"/>
  <c r="NR322" i="29"/>
  <c r="NS322" i="29"/>
  <c r="NT322" i="29"/>
  <c r="NU322" i="29"/>
  <c r="NV322" i="29"/>
  <c r="NW322" i="29"/>
  <c r="NX322" i="29"/>
  <c r="NY322" i="29"/>
  <c r="NZ322" i="29"/>
  <c r="OA322" i="29"/>
  <c r="OB322" i="29"/>
  <c r="OC322" i="29"/>
  <c r="OD322" i="29"/>
  <c r="OE322" i="29"/>
  <c r="OF322" i="29"/>
  <c r="OG322" i="29"/>
  <c r="OH322" i="29"/>
  <c r="OI322" i="29"/>
  <c r="OJ322" i="29"/>
  <c r="OK322" i="29"/>
  <c r="OL322" i="29"/>
  <c r="OM322" i="29"/>
  <c r="ON322" i="29"/>
  <c r="OO322" i="29"/>
  <c r="OP322" i="29"/>
  <c r="OQ322" i="29"/>
  <c r="OR322" i="29"/>
  <c r="OS322" i="29"/>
  <c r="OT322" i="29"/>
  <c r="OU322" i="29"/>
  <c r="OV322" i="29"/>
  <c r="OW322" i="29"/>
  <c r="OX322" i="29"/>
  <c r="OY322" i="29"/>
  <c r="OZ322" i="29"/>
  <c r="PA322" i="29"/>
  <c r="PB322" i="29"/>
  <c r="PC322" i="29"/>
  <c r="PD322" i="29"/>
  <c r="PE322" i="29"/>
  <c r="PF322" i="29"/>
  <c r="PG322" i="29"/>
  <c r="PH322" i="29"/>
  <c r="PI322" i="29"/>
  <c r="PJ322" i="29"/>
  <c r="PK322" i="29"/>
  <c r="PL322" i="29"/>
  <c r="PM322" i="29"/>
  <c r="PN322" i="29"/>
  <c r="PO322" i="29"/>
  <c r="PP322" i="29"/>
  <c r="PQ322" i="29"/>
  <c r="PR322" i="29"/>
  <c r="PS322" i="29"/>
  <c r="PT322" i="29"/>
  <c r="PU322" i="29"/>
  <c r="PV322" i="29"/>
  <c r="PW322" i="29"/>
  <c r="PX322" i="29"/>
  <c r="PY322" i="29"/>
  <c r="PZ322" i="29"/>
  <c r="QA322" i="29"/>
  <c r="QB322" i="29"/>
  <c r="QC322" i="29"/>
  <c r="QD322" i="29"/>
  <c r="QE322" i="29"/>
  <c r="QF322" i="29"/>
  <c r="QG322" i="29"/>
  <c r="QH322" i="29"/>
  <c r="QI322" i="29"/>
  <c r="QJ322" i="29"/>
  <c r="QK322" i="29"/>
  <c r="QL322" i="29"/>
  <c r="QM322" i="29"/>
  <c r="QN322" i="29"/>
  <c r="QO322" i="29"/>
  <c r="QP322" i="29"/>
  <c r="QQ322" i="29"/>
  <c r="QR322" i="29"/>
  <c r="QS322" i="29"/>
  <c r="QT322" i="29"/>
  <c r="QU322" i="29"/>
  <c r="QV322" i="29"/>
  <c r="QW322" i="29"/>
  <c r="QX322" i="29"/>
  <c r="QY322" i="29"/>
  <c r="QZ322" i="29"/>
  <c r="RA322" i="29"/>
  <c r="RB322" i="29"/>
  <c r="RC322" i="29"/>
  <c r="RD322" i="29"/>
  <c r="RE322" i="29"/>
  <c r="RF322" i="29"/>
  <c r="RG322" i="29"/>
  <c r="RH322" i="29"/>
  <c r="RI322" i="29"/>
  <c r="RJ322" i="29"/>
  <c r="RK322" i="29"/>
  <c r="RL322" i="29"/>
  <c r="RM322" i="29"/>
  <c r="RN322" i="29"/>
  <c r="RO322" i="29"/>
  <c r="RP322" i="29"/>
  <c r="RQ322" i="29"/>
  <c r="RR322" i="29"/>
  <c r="RS322" i="29"/>
  <c r="RT322" i="29"/>
  <c r="RU322" i="29"/>
  <c r="RV322" i="29"/>
  <c r="RW322" i="29"/>
  <c r="RX322" i="29"/>
  <c r="RY322" i="29"/>
  <c r="RZ322" i="29"/>
  <c r="SA322" i="29"/>
  <c r="SB322" i="29"/>
  <c r="SC322" i="29"/>
  <c r="SD322" i="29"/>
  <c r="SE322" i="29"/>
  <c r="SF322" i="29"/>
  <c r="SG322" i="29"/>
  <c r="SH322" i="29"/>
  <c r="SI322" i="29"/>
  <c r="SJ322" i="29"/>
  <c r="SK322" i="29"/>
  <c r="SL322" i="29"/>
  <c r="SM322" i="29"/>
  <c r="SN322" i="29"/>
  <c r="SO322" i="29"/>
  <c r="SP322" i="29"/>
  <c r="SQ322" i="29"/>
  <c r="SR322" i="29"/>
  <c r="SS322" i="29"/>
  <c r="B323" i="29"/>
  <c r="C323" i="29"/>
  <c r="D323" i="29"/>
  <c r="E323" i="29"/>
  <c r="F323" i="29"/>
  <c r="G323" i="29"/>
  <c r="H323" i="29"/>
  <c r="I323" i="29"/>
  <c r="J323" i="29"/>
  <c r="K323" i="29"/>
  <c r="L323" i="29"/>
  <c r="M323" i="29"/>
  <c r="N323" i="29"/>
  <c r="O323" i="29"/>
  <c r="P323" i="29"/>
  <c r="Q323" i="29"/>
  <c r="R323" i="29"/>
  <c r="S323" i="29"/>
  <c r="T323" i="29"/>
  <c r="U323" i="29"/>
  <c r="V323" i="29"/>
  <c r="W323" i="29"/>
  <c r="X323" i="29"/>
  <c r="Y323" i="29"/>
  <c r="Z323" i="29"/>
  <c r="AA323" i="29"/>
  <c r="AB323" i="29"/>
  <c r="AC323" i="29"/>
  <c r="AD323" i="29"/>
  <c r="AE323" i="29"/>
  <c r="AF323" i="29"/>
  <c r="AG323" i="29"/>
  <c r="AH323" i="29"/>
  <c r="AI323" i="29"/>
  <c r="AJ323" i="29"/>
  <c r="AK323" i="29"/>
  <c r="AL323" i="29"/>
  <c r="AM323" i="29"/>
  <c r="AN323" i="29"/>
  <c r="AO323" i="29"/>
  <c r="AP323" i="29"/>
  <c r="AQ323" i="29"/>
  <c r="AR323" i="29"/>
  <c r="AS323" i="29"/>
  <c r="AT323" i="29"/>
  <c r="AU323" i="29"/>
  <c r="AV323" i="29"/>
  <c r="AW323" i="29"/>
  <c r="AX323" i="29"/>
  <c r="AY323" i="29"/>
  <c r="AZ323" i="29"/>
  <c r="BA323" i="29"/>
  <c r="BB323" i="29"/>
  <c r="BC323" i="29"/>
  <c r="BD323" i="29"/>
  <c r="BE323" i="29"/>
  <c r="BF323" i="29"/>
  <c r="BG323" i="29"/>
  <c r="BH323" i="29"/>
  <c r="BI323" i="29"/>
  <c r="BJ323" i="29"/>
  <c r="BK323" i="29"/>
  <c r="BL323" i="29"/>
  <c r="BM323" i="29"/>
  <c r="BN323" i="29"/>
  <c r="BO323" i="29"/>
  <c r="BP323" i="29"/>
  <c r="BQ323" i="29"/>
  <c r="BR323" i="29"/>
  <c r="BS323" i="29"/>
  <c r="BT323" i="29"/>
  <c r="BU323" i="29"/>
  <c r="BV323" i="29"/>
  <c r="BW323" i="29"/>
  <c r="BX323" i="29"/>
  <c r="BY323" i="29"/>
  <c r="BZ323" i="29"/>
  <c r="CA323" i="29"/>
  <c r="CB323" i="29"/>
  <c r="CC323" i="29"/>
  <c r="CD323" i="29"/>
  <c r="CE323" i="29"/>
  <c r="CF323" i="29"/>
  <c r="CG323" i="29"/>
  <c r="CH323" i="29"/>
  <c r="CI323" i="29"/>
  <c r="CJ323" i="29"/>
  <c r="CK323" i="29"/>
  <c r="CL323" i="29"/>
  <c r="CM323" i="29"/>
  <c r="CN323" i="29"/>
  <c r="CO323" i="29"/>
  <c r="CP323" i="29"/>
  <c r="CQ323" i="29"/>
  <c r="CR323" i="29"/>
  <c r="CS323" i="29"/>
  <c r="CT323" i="29"/>
  <c r="CU323" i="29"/>
  <c r="CV323" i="29"/>
  <c r="CW323" i="29"/>
  <c r="CX323" i="29"/>
  <c r="CY323" i="29"/>
  <c r="CZ323" i="29"/>
  <c r="DA323" i="29"/>
  <c r="DB323" i="29"/>
  <c r="DC323" i="29"/>
  <c r="DD323" i="29"/>
  <c r="DE323" i="29"/>
  <c r="DF323" i="29"/>
  <c r="DG323" i="29"/>
  <c r="DH323" i="29"/>
  <c r="DI323" i="29"/>
  <c r="DJ323" i="29"/>
  <c r="DK323" i="29"/>
  <c r="DL323" i="29"/>
  <c r="DM323" i="29"/>
  <c r="DN323" i="29"/>
  <c r="DO323" i="29"/>
  <c r="DP323" i="29"/>
  <c r="DQ323" i="29"/>
  <c r="DR323" i="29"/>
  <c r="DS323" i="29"/>
  <c r="DT323" i="29"/>
  <c r="DU323" i="29"/>
  <c r="DV323" i="29"/>
  <c r="DW323" i="29"/>
  <c r="DX323" i="29"/>
  <c r="DY323" i="29"/>
  <c r="DZ323" i="29"/>
  <c r="EA323" i="29"/>
  <c r="EB323" i="29"/>
  <c r="EC323" i="29"/>
  <c r="ED323" i="29"/>
  <c r="EE323" i="29"/>
  <c r="EF323" i="29"/>
  <c r="EG323" i="29"/>
  <c r="EH323" i="29"/>
  <c r="EI323" i="29"/>
  <c r="EJ323" i="29"/>
  <c r="EK323" i="29"/>
  <c r="EL323" i="29"/>
  <c r="EM323" i="29"/>
  <c r="EN323" i="29"/>
  <c r="EO323" i="29"/>
  <c r="EP323" i="29"/>
  <c r="EQ323" i="29"/>
  <c r="ER323" i="29"/>
  <c r="ES323" i="29"/>
  <c r="ET323" i="29"/>
  <c r="EU323" i="29"/>
  <c r="EV323" i="29"/>
  <c r="EW323" i="29"/>
  <c r="EX323" i="29"/>
  <c r="EY323" i="29"/>
  <c r="EZ323" i="29"/>
  <c r="FA323" i="29"/>
  <c r="FB323" i="29"/>
  <c r="FC323" i="29"/>
  <c r="FD323" i="29"/>
  <c r="FE323" i="29"/>
  <c r="FF323" i="29"/>
  <c r="FG323" i="29"/>
  <c r="FH323" i="29"/>
  <c r="FI323" i="29"/>
  <c r="FJ323" i="29"/>
  <c r="FK323" i="29"/>
  <c r="FL323" i="29"/>
  <c r="FM323" i="29"/>
  <c r="FN323" i="29"/>
  <c r="FO323" i="29"/>
  <c r="FP323" i="29"/>
  <c r="FQ323" i="29"/>
  <c r="FR323" i="29"/>
  <c r="FS323" i="29"/>
  <c r="FT323" i="29"/>
  <c r="FU323" i="29"/>
  <c r="FV323" i="29"/>
  <c r="FW323" i="29"/>
  <c r="FX323" i="29"/>
  <c r="FY323" i="29"/>
  <c r="FZ323" i="29"/>
  <c r="GA323" i="29"/>
  <c r="GB323" i="29"/>
  <c r="GC323" i="29"/>
  <c r="GD323" i="29"/>
  <c r="GE323" i="29"/>
  <c r="GF323" i="29"/>
  <c r="GG323" i="29"/>
  <c r="GH323" i="29"/>
  <c r="GI323" i="29"/>
  <c r="GJ323" i="29"/>
  <c r="GK323" i="29"/>
  <c r="GL323" i="29"/>
  <c r="GM323" i="29"/>
  <c r="GN323" i="29"/>
  <c r="GO323" i="29"/>
  <c r="GP323" i="29"/>
  <c r="GQ323" i="29"/>
  <c r="GR323" i="29"/>
  <c r="GS323" i="29"/>
  <c r="GT323" i="29"/>
  <c r="GU323" i="29"/>
  <c r="GV323" i="29"/>
  <c r="GW323" i="29"/>
  <c r="GX323" i="29"/>
  <c r="GY323" i="29"/>
  <c r="GZ323" i="29"/>
  <c r="HA323" i="29"/>
  <c r="HB323" i="29"/>
  <c r="HC323" i="29"/>
  <c r="HD323" i="29"/>
  <c r="HE323" i="29"/>
  <c r="HF323" i="29"/>
  <c r="HG323" i="29"/>
  <c r="HH323" i="29"/>
  <c r="HI323" i="29"/>
  <c r="HJ323" i="29"/>
  <c r="HK323" i="29"/>
  <c r="HL323" i="29"/>
  <c r="HM323" i="29"/>
  <c r="HN323" i="29"/>
  <c r="HO323" i="29"/>
  <c r="HP323" i="29"/>
  <c r="HQ323" i="29"/>
  <c r="HR323" i="29"/>
  <c r="HS323" i="29"/>
  <c r="HT323" i="29"/>
  <c r="HU323" i="29"/>
  <c r="HV323" i="29"/>
  <c r="HW323" i="29"/>
  <c r="HX323" i="29"/>
  <c r="HY323" i="29"/>
  <c r="HZ323" i="29"/>
  <c r="IA323" i="29"/>
  <c r="IB323" i="29"/>
  <c r="IC323" i="29"/>
  <c r="ID323" i="29"/>
  <c r="IE323" i="29"/>
  <c r="IF323" i="29"/>
  <c r="IG323" i="29"/>
  <c r="IH323" i="29"/>
  <c r="II323" i="29"/>
  <c r="IJ323" i="29"/>
  <c r="IK323" i="29"/>
  <c r="IL323" i="29"/>
  <c r="IM323" i="29"/>
  <c r="IN323" i="29"/>
  <c r="IO323" i="29"/>
  <c r="IP323" i="29"/>
  <c r="IQ323" i="29"/>
  <c r="IR323" i="29"/>
  <c r="IS323" i="29"/>
  <c r="IT323" i="29"/>
  <c r="IU323" i="29"/>
  <c r="IV323" i="29"/>
  <c r="IW323" i="29"/>
  <c r="IX323" i="29"/>
  <c r="IY323" i="29"/>
  <c r="IZ323" i="29"/>
  <c r="JA323" i="29"/>
  <c r="JB323" i="29"/>
  <c r="JC323" i="29"/>
  <c r="JD323" i="29"/>
  <c r="JE323" i="29"/>
  <c r="JF323" i="29"/>
  <c r="JG323" i="29"/>
  <c r="JH323" i="29"/>
  <c r="JI323" i="29"/>
  <c r="JJ323" i="29"/>
  <c r="JK323" i="29"/>
  <c r="JL323" i="29"/>
  <c r="JM323" i="29"/>
  <c r="JN323" i="29"/>
  <c r="JO323" i="29"/>
  <c r="JP323" i="29"/>
  <c r="JQ323" i="29"/>
  <c r="JR323" i="29"/>
  <c r="JS323" i="29"/>
  <c r="JT323" i="29"/>
  <c r="JU323" i="29"/>
  <c r="JV323" i="29"/>
  <c r="JW323" i="29"/>
  <c r="JX323" i="29"/>
  <c r="JY323" i="29"/>
  <c r="JZ323" i="29"/>
  <c r="KA323" i="29"/>
  <c r="KB323" i="29"/>
  <c r="KC323" i="29"/>
  <c r="KD323" i="29"/>
  <c r="KE323" i="29"/>
  <c r="KF323" i="29"/>
  <c r="KG323" i="29"/>
  <c r="KH323" i="29"/>
  <c r="KI323" i="29"/>
  <c r="KJ323" i="29"/>
  <c r="KK323" i="29"/>
  <c r="KL323" i="29"/>
  <c r="KM323" i="29"/>
  <c r="KN323" i="29"/>
  <c r="KO323" i="29"/>
  <c r="KP323" i="29"/>
  <c r="KQ323" i="29"/>
  <c r="KR323" i="29"/>
  <c r="KS323" i="29"/>
  <c r="KT323" i="29"/>
  <c r="KU323" i="29"/>
  <c r="KV323" i="29"/>
  <c r="KW323" i="29"/>
  <c r="KX323" i="29"/>
  <c r="KY323" i="29"/>
  <c r="KZ323" i="29"/>
  <c r="LA323" i="29"/>
  <c r="LB323" i="29"/>
  <c r="LC323" i="29"/>
  <c r="LD323" i="29"/>
  <c r="LE323" i="29"/>
  <c r="LF323" i="29"/>
  <c r="LG323" i="29"/>
  <c r="LH323" i="29"/>
  <c r="LI323" i="29"/>
  <c r="LJ323" i="29"/>
  <c r="LK323" i="29"/>
  <c r="LL323" i="29"/>
  <c r="LM323" i="29"/>
  <c r="LN323" i="29"/>
  <c r="LO323" i="29"/>
  <c r="LP323" i="29"/>
  <c r="LQ323" i="29"/>
  <c r="LR323" i="29"/>
  <c r="LS323" i="29"/>
  <c r="LT323" i="29"/>
  <c r="LU323" i="29"/>
  <c r="LV323" i="29"/>
  <c r="LW323" i="29"/>
  <c r="LX323" i="29"/>
  <c r="LY323" i="29"/>
  <c r="LZ323" i="29"/>
  <c r="MA323" i="29"/>
  <c r="MB323" i="29"/>
  <c r="MC323" i="29"/>
  <c r="MD323" i="29"/>
  <c r="ME323" i="29"/>
  <c r="MF323" i="29"/>
  <c r="MG323" i="29"/>
  <c r="MH323" i="29"/>
  <c r="MI323" i="29"/>
  <c r="MJ323" i="29"/>
  <c r="MK323" i="29"/>
  <c r="ML323" i="29"/>
  <c r="MM323" i="29"/>
  <c r="MN323" i="29"/>
  <c r="MO323" i="29"/>
  <c r="MP323" i="29"/>
  <c r="MQ323" i="29"/>
  <c r="MR323" i="29"/>
  <c r="MS323" i="29"/>
  <c r="MT323" i="29"/>
  <c r="MU323" i="29"/>
  <c r="MV323" i="29"/>
  <c r="MW323" i="29"/>
  <c r="MX323" i="29"/>
  <c r="MY323" i="29"/>
  <c r="MZ323" i="29"/>
  <c r="NA323" i="29"/>
  <c r="NB323" i="29"/>
  <c r="NC323" i="29"/>
  <c r="ND323" i="29"/>
  <c r="NE323" i="29"/>
  <c r="NF323" i="29"/>
  <c r="NG323" i="29"/>
  <c r="NH323" i="29"/>
  <c r="NI323" i="29"/>
  <c r="NJ323" i="29"/>
  <c r="NK323" i="29"/>
  <c r="NL323" i="29"/>
  <c r="NM323" i="29"/>
  <c r="NN323" i="29"/>
  <c r="NO323" i="29"/>
  <c r="NP323" i="29"/>
  <c r="NQ323" i="29"/>
  <c r="NR323" i="29"/>
  <c r="NS323" i="29"/>
  <c r="NT323" i="29"/>
  <c r="NU323" i="29"/>
  <c r="NV323" i="29"/>
  <c r="NW323" i="29"/>
  <c r="NX323" i="29"/>
  <c r="NY323" i="29"/>
  <c r="NZ323" i="29"/>
  <c r="OA323" i="29"/>
  <c r="OB323" i="29"/>
  <c r="OC323" i="29"/>
  <c r="OD323" i="29"/>
  <c r="OE323" i="29"/>
  <c r="OF323" i="29"/>
  <c r="OG323" i="29"/>
  <c r="OH323" i="29"/>
  <c r="OI323" i="29"/>
  <c r="OJ323" i="29"/>
  <c r="OK323" i="29"/>
  <c r="OL323" i="29"/>
  <c r="OM323" i="29"/>
  <c r="ON323" i="29"/>
  <c r="OO323" i="29"/>
  <c r="OP323" i="29"/>
  <c r="OQ323" i="29"/>
  <c r="OR323" i="29"/>
  <c r="OS323" i="29"/>
  <c r="OT323" i="29"/>
  <c r="OU323" i="29"/>
  <c r="OV323" i="29"/>
  <c r="OW323" i="29"/>
  <c r="OX323" i="29"/>
  <c r="OY323" i="29"/>
  <c r="OZ323" i="29"/>
  <c r="PA323" i="29"/>
  <c r="PB323" i="29"/>
  <c r="PC323" i="29"/>
  <c r="PD323" i="29"/>
  <c r="PE323" i="29"/>
  <c r="PF323" i="29"/>
  <c r="PG323" i="29"/>
  <c r="PH323" i="29"/>
  <c r="PI323" i="29"/>
  <c r="PJ323" i="29"/>
  <c r="PK323" i="29"/>
  <c r="PL323" i="29"/>
  <c r="PM323" i="29"/>
  <c r="PN323" i="29"/>
  <c r="PO323" i="29"/>
  <c r="PP323" i="29"/>
  <c r="PQ323" i="29"/>
  <c r="PR323" i="29"/>
  <c r="PS323" i="29"/>
  <c r="PT323" i="29"/>
  <c r="PU323" i="29"/>
  <c r="PV323" i="29"/>
  <c r="PW323" i="29"/>
  <c r="PX323" i="29"/>
  <c r="PY323" i="29"/>
  <c r="PZ323" i="29"/>
  <c r="QA323" i="29"/>
  <c r="QB323" i="29"/>
  <c r="QC323" i="29"/>
  <c r="QD323" i="29"/>
  <c r="QE323" i="29"/>
  <c r="QF323" i="29"/>
  <c r="QG323" i="29"/>
  <c r="QH323" i="29"/>
  <c r="QI323" i="29"/>
  <c r="QJ323" i="29"/>
  <c r="QK323" i="29"/>
  <c r="QL323" i="29"/>
  <c r="QM323" i="29"/>
  <c r="QN323" i="29"/>
  <c r="QO323" i="29"/>
  <c r="QP323" i="29"/>
  <c r="QQ323" i="29"/>
  <c r="QR323" i="29"/>
  <c r="QS323" i="29"/>
  <c r="QT323" i="29"/>
  <c r="QU323" i="29"/>
  <c r="QV323" i="29"/>
  <c r="QW323" i="29"/>
  <c r="QX323" i="29"/>
  <c r="QY323" i="29"/>
  <c r="QZ323" i="29"/>
  <c r="RA323" i="29"/>
  <c r="RB323" i="29"/>
  <c r="RC323" i="29"/>
  <c r="RD323" i="29"/>
  <c r="RE323" i="29"/>
  <c r="RF323" i="29"/>
  <c r="RG323" i="29"/>
  <c r="RH323" i="29"/>
  <c r="RI323" i="29"/>
  <c r="RJ323" i="29"/>
  <c r="RK323" i="29"/>
  <c r="RL323" i="29"/>
  <c r="RM323" i="29"/>
  <c r="RN323" i="29"/>
  <c r="RO323" i="29"/>
  <c r="RP323" i="29"/>
  <c r="RQ323" i="29"/>
  <c r="RR323" i="29"/>
  <c r="RS323" i="29"/>
  <c r="RT323" i="29"/>
  <c r="RU323" i="29"/>
  <c r="RV323" i="29"/>
  <c r="RW323" i="29"/>
  <c r="RX323" i="29"/>
  <c r="RY323" i="29"/>
  <c r="RZ323" i="29"/>
  <c r="SA323" i="29"/>
  <c r="SB323" i="29"/>
  <c r="SC323" i="29"/>
  <c r="SD323" i="29"/>
  <c r="SE323" i="29"/>
  <c r="SF323" i="29"/>
  <c r="SG323" i="29"/>
  <c r="SH323" i="29"/>
  <c r="SI323" i="29"/>
  <c r="SJ323" i="29"/>
  <c r="SK323" i="29"/>
  <c r="SL323" i="29"/>
  <c r="SM323" i="29"/>
  <c r="SN323" i="29"/>
  <c r="SO323" i="29"/>
  <c r="SP323" i="29"/>
  <c r="SQ323" i="29"/>
  <c r="SR323" i="29"/>
  <c r="SS323" i="29"/>
  <c r="B324" i="29"/>
  <c r="C324" i="29"/>
  <c r="D324" i="29"/>
  <c r="E324" i="29"/>
  <c r="F324" i="29"/>
  <c r="G324" i="29"/>
  <c r="H324" i="29"/>
  <c r="I324" i="29"/>
  <c r="J324" i="29"/>
  <c r="K324" i="29"/>
  <c r="L324" i="29"/>
  <c r="M324" i="29"/>
  <c r="N324" i="29"/>
  <c r="O324" i="29"/>
  <c r="P324" i="29"/>
  <c r="Q324" i="29"/>
  <c r="R324" i="29"/>
  <c r="S324" i="29"/>
  <c r="T324" i="29"/>
  <c r="U324" i="29"/>
  <c r="V324" i="29"/>
  <c r="W324" i="29"/>
  <c r="X324" i="29"/>
  <c r="Y324" i="29"/>
  <c r="Z324" i="29"/>
  <c r="AA324" i="29"/>
  <c r="AB324" i="29"/>
  <c r="AC324" i="29"/>
  <c r="AD324" i="29"/>
  <c r="AE324" i="29"/>
  <c r="AF324" i="29"/>
  <c r="AG324" i="29"/>
  <c r="AH324" i="29"/>
  <c r="AI324" i="29"/>
  <c r="AJ324" i="29"/>
  <c r="AK324" i="29"/>
  <c r="AL324" i="29"/>
  <c r="AM324" i="29"/>
  <c r="AN324" i="29"/>
  <c r="AO324" i="29"/>
  <c r="AP324" i="29"/>
  <c r="AQ324" i="29"/>
  <c r="AR324" i="29"/>
  <c r="AS324" i="29"/>
  <c r="AT324" i="29"/>
  <c r="AU324" i="29"/>
  <c r="AV324" i="29"/>
  <c r="AW324" i="29"/>
  <c r="AX324" i="29"/>
  <c r="AY324" i="29"/>
  <c r="AZ324" i="29"/>
  <c r="BA324" i="29"/>
  <c r="BB324" i="29"/>
  <c r="BC324" i="29"/>
  <c r="BD324" i="29"/>
  <c r="BE324" i="29"/>
  <c r="BF324" i="29"/>
  <c r="BG324" i="29"/>
  <c r="BH324" i="29"/>
  <c r="BI324" i="29"/>
  <c r="BJ324" i="29"/>
  <c r="BK324" i="29"/>
  <c r="BL324" i="29"/>
  <c r="BM324" i="29"/>
  <c r="BN324" i="29"/>
  <c r="BO324" i="29"/>
  <c r="BP324" i="29"/>
  <c r="BQ324" i="29"/>
  <c r="BR324" i="29"/>
  <c r="BS324" i="29"/>
  <c r="BT324" i="29"/>
  <c r="BU324" i="29"/>
  <c r="BV324" i="29"/>
  <c r="BW324" i="29"/>
  <c r="BX324" i="29"/>
  <c r="BY324" i="29"/>
  <c r="BZ324" i="29"/>
  <c r="CA324" i="29"/>
  <c r="CB324" i="29"/>
  <c r="CC324" i="29"/>
  <c r="CD324" i="29"/>
  <c r="CE324" i="29"/>
  <c r="CF324" i="29"/>
  <c r="CG324" i="29"/>
  <c r="CH324" i="29"/>
  <c r="CI324" i="29"/>
  <c r="CJ324" i="29"/>
  <c r="CK324" i="29"/>
  <c r="CL324" i="29"/>
  <c r="CM324" i="29"/>
  <c r="CN324" i="29"/>
  <c r="CO324" i="29"/>
  <c r="CP324" i="29"/>
  <c r="CQ324" i="29"/>
  <c r="CR324" i="29"/>
  <c r="CS324" i="29"/>
  <c r="CT324" i="29"/>
  <c r="CU324" i="29"/>
  <c r="CV324" i="29"/>
  <c r="CW324" i="29"/>
  <c r="CX324" i="29"/>
  <c r="CY324" i="29"/>
  <c r="CZ324" i="29"/>
  <c r="DA324" i="29"/>
  <c r="DB324" i="29"/>
  <c r="DC324" i="29"/>
  <c r="DD324" i="29"/>
  <c r="DE324" i="29"/>
  <c r="DF324" i="29"/>
  <c r="DG324" i="29"/>
  <c r="DH324" i="29"/>
  <c r="DI324" i="29"/>
  <c r="DJ324" i="29"/>
  <c r="DK324" i="29"/>
  <c r="DL324" i="29"/>
  <c r="DM324" i="29"/>
  <c r="DN324" i="29"/>
  <c r="DO324" i="29"/>
  <c r="DP324" i="29"/>
  <c r="DQ324" i="29"/>
  <c r="DR324" i="29"/>
  <c r="DS324" i="29"/>
  <c r="DT324" i="29"/>
  <c r="DU324" i="29"/>
  <c r="DV324" i="29"/>
  <c r="DW324" i="29"/>
  <c r="DX324" i="29"/>
  <c r="DY324" i="29"/>
  <c r="DZ324" i="29"/>
  <c r="EA324" i="29"/>
  <c r="EB324" i="29"/>
  <c r="EC324" i="29"/>
  <c r="ED324" i="29"/>
  <c r="EE324" i="29"/>
  <c r="EF324" i="29"/>
  <c r="EG324" i="29"/>
  <c r="EH324" i="29"/>
  <c r="EI324" i="29"/>
  <c r="EJ324" i="29"/>
  <c r="EK324" i="29"/>
  <c r="EL324" i="29"/>
  <c r="EM324" i="29"/>
  <c r="EN324" i="29"/>
  <c r="EO324" i="29"/>
  <c r="EP324" i="29"/>
  <c r="EQ324" i="29"/>
  <c r="ER324" i="29"/>
  <c r="ES324" i="29"/>
  <c r="ET324" i="29"/>
  <c r="EU324" i="29"/>
  <c r="EV324" i="29"/>
  <c r="EW324" i="29"/>
  <c r="EX324" i="29"/>
  <c r="EY324" i="29"/>
  <c r="EZ324" i="29"/>
  <c r="FA324" i="29"/>
  <c r="FB324" i="29"/>
  <c r="FC324" i="29"/>
  <c r="FD324" i="29"/>
  <c r="FE324" i="29"/>
  <c r="FF324" i="29"/>
  <c r="FG324" i="29"/>
  <c r="FH324" i="29"/>
  <c r="FI324" i="29"/>
  <c r="FJ324" i="29"/>
  <c r="FK324" i="29"/>
  <c r="FL324" i="29"/>
  <c r="FM324" i="29"/>
  <c r="FN324" i="29"/>
  <c r="FO324" i="29"/>
  <c r="FP324" i="29"/>
  <c r="FQ324" i="29"/>
  <c r="FR324" i="29"/>
  <c r="FS324" i="29"/>
  <c r="FT324" i="29"/>
  <c r="FU324" i="29"/>
  <c r="FV324" i="29"/>
  <c r="FW324" i="29"/>
  <c r="FX324" i="29"/>
  <c r="FY324" i="29"/>
  <c r="FZ324" i="29"/>
  <c r="GA324" i="29"/>
  <c r="GB324" i="29"/>
  <c r="GC324" i="29"/>
  <c r="GD324" i="29"/>
  <c r="GE324" i="29"/>
  <c r="GF324" i="29"/>
  <c r="GG324" i="29"/>
  <c r="GH324" i="29"/>
  <c r="GI324" i="29"/>
  <c r="GJ324" i="29"/>
  <c r="GK324" i="29"/>
  <c r="GL324" i="29"/>
  <c r="GM324" i="29"/>
  <c r="GN324" i="29"/>
  <c r="GO324" i="29"/>
  <c r="GP324" i="29"/>
  <c r="GQ324" i="29"/>
  <c r="GR324" i="29"/>
  <c r="GS324" i="29"/>
  <c r="GT324" i="29"/>
  <c r="GU324" i="29"/>
  <c r="GV324" i="29"/>
  <c r="GW324" i="29"/>
  <c r="GX324" i="29"/>
  <c r="GY324" i="29"/>
  <c r="GZ324" i="29"/>
  <c r="HA324" i="29"/>
  <c r="HB324" i="29"/>
  <c r="HC324" i="29"/>
  <c r="HD324" i="29"/>
  <c r="HE324" i="29"/>
  <c r="HF324" i="29"/>
  <c r="HG324" i="29"/>
  <c r="HH324" i="29"/>
  <c r="HI324" i="29"/>
  <c r="HJ324" i="29"/>
  <c r="HK324" i="29"/>
  <c r="HL324" i="29"/>
  <c r="HM324" i="29"/>
  <c r="HN324" i="29"/>
  <c r="HO324" i="29"/>
  <c r="HP324" i="29"/>
  <c r="HQ324" i="29"/>
  <c r="HR324" i="29"/>
  <c r="HS324" i="29"/>
  <c r="HT324" i="29"/>
  <c r="HU324" i="29"/>
  <c r="HV324" i="29"/>
  <c r="HW324" i="29"/>
  <c r="HX324" i="29"/>
  <c r="HY324" i="29"/>
  <c r="HZ324" i="29"/>
  <c r="IA324" i="29"/>
  <c r="IB324" i="29"/>
  <c r="IC324" i="29"/>
  <c r="ID324" i="29"/>
  <c r="IE324" i="29"/>
  <c r="IF324" i="29"/>
  <c r="IG324" i="29"/>
  <c r="IH324" i="29"/>
  <c r="II324" i="29"/>
  <c r="IJ324" i="29"/>
  <c r="IK324" i="29"/>
  <c r="IL324" i="29"/>
  <c r="IM324" i="29"/>
  <c r="IN324" i="29"/>
  <c r="IO324" i="29"/>
  <c r="IP324" i="29"/>
  <c r="IQ324" i="29"/>
  <c r="IR324" i="29"/>
  <c r="IS324" i="29"/>
  <c r="IT324" i="29"/>
  <c r="IU324" i="29"/>
  <c r="IV324" i="29"/>
  <c r="IW324" i="29"/>
  <c r="IX324" i="29"/>
  <c r="IY324" i="29"/>
  <c r="IZ324" i="29"/>
  <c r="JA324" i="29"/>
  <c r="JB324" i="29"/>
  <c r="JC324" i="29"/>
  <c r="JD324" i="29"/>
  <c r="JE324" i="29"/>
  <c r="JF324" i="29"/>
  <c r="JG324" i="29"/>
  <c r="JH324" i="29"/>
  <c r="JI324" i="29"/>
  <c r="JJ324" i="29"/>
  <c r="JK324" i="29"/>
  <c r="JL324" i="29"/>
  <c r="JM324" i="29"/>
  <c r="JN324" i="29"/>
  <c r="JO324" i="29"/>
  <c r="JP324" i="29"/>
  <c r="JQ324" i="29"/>
  <c r="JR324" i="29"/>
  <c r="JS324" i="29"/>
  <c r="JT324" i="29"/>
  <c r="JU324" i="29"/>
  <c r="JV324" i="29"/>
  <c r="JW324" i="29"/>
  <c r="JX324" i="29"/>
  <c r="JY324" i="29"/>
  <c r="JZ324" i="29"/>
  <c r="KA324" i="29"/>
  <c r="KB324" i="29"/>
  <c r="KC324" i="29"/>
  <c r="KD324" i="29"/>
  <c r="KE324" i="29"/>
  <c r="KF324" i="29"/>
  <c r="KG324" i="29"/>
  <c r="KH324" i="29"/>
  <c r="KI324" i="29"/>
  <c r="KJ324" i="29"/>
  <c r="KK324" i="29"/>
  <c r="KL324" i="29"/>
  <c r="KM324" i="29"/>
  <c r="KN324" i="29"/>
  <c r="KO324" i="29"/>
  <c r="KP324" i="29"/>
  <c r="KQ324" i="29"/>
  <c r="KR324" i="29"/>
  <c r="KS324" i="29"/>
  <c r="KT324" i="29"/>
  <c r="KU324" i="29"/>
  <c r="KV324" i="29"/>
  <c r="KW324" i="29"/>
  <c r="KX324" i="29"/>
  <c r="KY324" i="29"/>
  <c r="KZ324" i="29"/>
  <c r="LA324" i="29"/>
  <c r="LB324" i="29"/>
  <c r="LC324" i="29"/>
  <c r="LD324" i="29"/>
  <c r="LE324" i="29"/>
  <c r="LF324" i="29"/>
  <c r="LG324" i="29"/>
  <c r="LH324" i="29"/>
  <c r="LI324" i="29"/>
  <c r="LJ324" i="29"/>
  <c r="LK324" i="29"/>
  <c r="LL324" i="29"/>
  <c r="LM324" i="29"/>
  <c r="LN324" i="29"/>
  <c r="LO324" i="29"/>
  <c r="LP324" i="29"/>
  <c r="LQ324" i="29"/>
  <c r="LR324" i="29"/>
  <c r="LS324" i="29"/>
  <c r="LT324" i="29"/>
  <c r="LU324" i="29"/>
  <c r="LV324" i="29"/>
  <c r="LW324" i="29"/>
  <c r="LX324" i="29"/>
  <c r="LY324" i="29"/>
  <c r="LZ324" i="29"/>
  <c r="MA324" i="29"/>
  <c r="MB324" i="29"/>
  <c r="MC324" i="29"/>
  <c r="MD324" i="29"/>
  <c r="ME324" i="29"/>
  <c r="MF324" i="29"/>
  <c r="MG324" i="29"/>
  <c r="MH324" i="29"/>
  <c r="MI324" i="29"/>
  <c r="MJ324" i="29"/>
  <c r="MK324" i="29"/>
  <c r="ML324" i="29"/>
  <c r="MM324" i="29"/>
  <c r="MN324" i="29"/>
  <c r="MO324" i="29"/>
  <c r="MP324" i="29"/>
  <c r="MQ324" i="29"/>
  <c r="MR324" i="29"/>
  <c r="MS324" i="29"/>
  <c r="MT324" i="29"/>
  <c r="MU324" i="29"/>
  <c r="MV324" i="29"/>
  <c r="MW324" i="29"/>
  <c r="MX324" i="29"/>
  <c r="MY324" i="29"/>
  <c r="MZ324" i="29"/>
  <c r="NA324" i="29"/>
  <c r="NB324" i="29"/>
  <c r="NC324" i="29"/>
  <c r="ND324" i="29"/>
  <c r="NE324" i="29"/>
  <c r="NF324" i="29"/>
  <c r="NG324" i="29"/>
  <c r="NH324" i="29"/>
  <c r="NI324" i="29"/>
  <c r="NJ324" i="29"/>
  <c r="NK324" i="29"/>
  <c r="NL324" i="29"/>
  <c r="NM324" i="29"/>
  <c r="NN324" i="29"/>
  <c r="NO324" i="29"/>
  <c r="NP324" i="29"/>
  <c r="NQ324" i="29"/>
  <c r="NR324" i="29"/>
  <c r="NS324" i="29"/>
  <c r="NT324" i="29"/>
  <c r="NU324" i="29"/>
  <c r="NV324" i="29"/>
  <c r="NW324" i="29"/>
  <c r="NX324" i="29"/>
  <c r="NY324" i="29"/>
  <c r="NZ324" i="29"/>
  <c r="OA324" i="29"/>
  <c r="OB324" i="29"/>
  <c r="OC324" i="29"/>
  <c r="OD324" i="29"/>
  <c r="OE324" i="29"/>
  <c r="OF324" i="29"/>
  <c r="OG324" i="29"/>
  <c r="OH324" i="29"/>
  <c r="OI324" i="29"/>
  <c r="OJ324" i="29"/>
  <c r="OK324" i="29"/>
  <c r="OL324" i="29"/>
  <c r="OM324" i="29"/>
  <c r="ON324" i="29"/>
  <c r="OO324" i="29"/>
  <c r="OP324" i="29"/>
  <c r="OQ324" i="29"/>
  <c r="OR324" i="29"/>
  <c r="OS324" i="29"/>
  <c r="OT324" i="29"/>
  <c r="OU324" i="29"/>
  <c r="OV324" i="29"/>
  <c r="OW324" i="29"/>
  <c r="OX324" i="29"/>
  <c r="OY324" i="29"/>
  <c r="OZ324" i="29"/>
  <c r="PA324" i="29"/>
  <c r="PB324" i="29"/>
  <c r="PC324" i="29"/>
  <c r="PD324" i="29"/>
  <c r="PE324" i="29"/>
  <c r="PF324" i="29"/>
  <c r="PG324" i="29"/>
  <c r="PH324" i="29"/>
  <c r="PI324" i="29"/>
  <c r="PJ324" i="29"/>
  <c r="PK324" i="29"/>
  <c r="PL324" i="29"/>
  <c r="PM324" i="29"/>
  <c r="PN324" i="29"/>
  <c r="PO324" i="29"/>
  <c r="PP324" i="29"/>
  <c r="PQ324" i="29"/>
  <c r="PR324" i="29"/>
  <c r="PS324" i="29"/>
  <c r="PT324" i="29"/>
  <c r="PU324" i="29"/>
  <c r="PV324" i="29"/>
  <c r="PW324" i="29"/>
  <c r="PX324" i="29"/>
  <c r="PY324" i="29"/>
  <c r="PZ324" i="29"/>
  <c r="QA324" i="29"/>
  <c r="QB324" i="29"/>
  <c r="QC324" i="29"/>
  <c r="QD324" i="29"/>
  <c r="QE324" i="29"/>
  <c r="QF324" i="29"/>
  <c r="QG324" i="29"/>
  <c r="QH324" i="29"/>
  <c r="QI324" i="29"/>
  <c r="QJ324" i="29"/>
  <c r="QK324" i="29"/>
  <c r="QL324" i="29"/>
  <c r="QM324" i="29"/>
  <c r="QN324" i="29"/>
  <c r="QO324" i="29"/>
  <c r="QP324" i="29"/>
  <c r="QQ324" i="29"/>
  <c r="QR324" i="29"/>
  <c r="QS324" i="29"/>
  <c r="QT324" i="29"/>
  <c r="QU324" i="29"/>
  <c r="QV324" i="29"/>
  <c r="QW324" i="29"/>
  <c r="QX324" i="29"/>
  <c r="QY324" i="29"/>
  <c r="QZ324" i="29"/>
  <c r="RA324" i="29"/>
  <c r="RB324" i="29"/>
  <c r="RC324" i="29"/>
  <c r="RD324" i="29"/>
  <c r="RE324" i="29"/>
  <c r="RF324" i="29"/>
  <c r="RG324" i="29"/>
  <c r="RH324" i="29"/>
  <c r="RI324" i="29"/>
  <c r="RJ324" i="29"/>
  <c r="RK324" i="29"/>
  <c r="RL324" i="29"/>
  <c r="RM324" i="29"/>
  <c r="RN324" i="29"/>
  <c r="RO324" i="29"/>
  <c r="RP324" i="29"/>
  <c r="RQ324" i="29"/>
  <c r="RR324" i="29"/>
  <c r="RS324" i="29"/>
  <c r="RT324" i="29"/>
  <c r="RU324" i="29"/>
  <c r="RV324" i="29"/>
  <c r="RW324" i="29"/>
  <c r="RX324" i="29"/>
  <c r="RY324" i="29"/>
  <c r="RZ324" i="29"/>
  <c r="SA324" i="29"/>
  <c r="SB324" i="29"/>
  <c r="SC324" i="29"/>
  <c r="SD324" i="29"/>
  <c r="SE324" i="29"/>
  <c r="SF324" i="29"/>
  <c r="SG324" i="29"/>
  <c r="SH324" i="29"/>
  <c r="SI324" i="29"/>
  <c r="SJ324" i="29"/>
  <c r="SK324" i="29"/>
  <c r="SL324" i="29"/>
  <c r="SM324" i="29"/>
  <c r="SN324" i="29"/>
  <c r="SO324" i="29"/>
  <c r="SP324" i="29"/>
  <c r="SQ324" i="29"/>
  <c r="SR324" i="29"/>
  <c r="SS324" i="29"/>
  <c r="B325" i="29"/>
  <c r="C325" i="29"/>
  <c r="D325" i="29"/>
  <c r="E325" i="29"/>
  <c r="F325" i="29"/>
  <c r="G325" i="29"/>
  <c r="H325" i="29"/>
  <c r="I325" i="29"/>
  <c r="J325" i="29"/>
  <c r="K325" i="29"/>
  <c r="L325" i="29"/>
  <c r="M325" i="29"/>
  <c r="N325" i="29"/>
  <c r="O325" i="29"/>
  <c r="P325" i="29"/>
  <c r="Q325" i="29"/>
  <c r="R325" i="29"/>
  <c r="S325" i="29"/>
  <c r="T325" i="29"/>
  <c r="U325" i="29"/>
  <c r="V325" i="29"/>
  <c r="W325" i="29"/>
  <c r="X325" i="29"/>
  <c r="Y325" i="29"/>
  <c r="Z325" i="29"/>
  <c r="AA325" i="29"/>
  <c r="AB325" i="29"/>
  <c r="AC325" i="29"/>
  <c r="AD325" i="29"/>
  <c r="AE325" i="29"/>
  <c r="AF325" i="29"/>
  <c r="AG325" i="29"/>
  <c r="AH325" i="29"/>
  <c r="AI325" i="29"/>
  <c r="AJ325" i="29"/>
  <c r="AK325" i="29"/>
  <c r="AL325" i="29"/>
  <c r="AM325" i="29"/>
  <c r="AN325" i="29"/>
  <c r="AO325" i="29"/>
  <c r="AP325" i="29"/>
  <c r="AQ325" i="29"/>
  <c r="AR325" i="29"/>
  <c r="AS325" i="29"/>
  <c r="AT325" i="29"/>
  <c r="AU325" i="29"/>
  <c r="AV325" i="29"/>
  <c r="AW325" i="29"/>
  <c r="AX325" i="29"/>
  <c r="AY325" i="29"/>
  <c r="AZ325" i="29"/>
  <c r="BA325" i="29"/>
  <c r="BB325" i="29"/>
  <c r="BC325" i="29"/>
  <c r="BD325" i="29"/>
  <c r="BE325" i="29"/>
  <c r="BF325" i="29"/>
  <c r="BG325" i="29"/>
  <c r="BH325" i="29"/>
  <c r="BI325" i="29"/>
  <c r="BJ325" i="29"/>
  <c r="BK325" i="29"/>
  <c r="BL325" i="29"/>
  <c r="BM325" i="29"/>
  <c r="BN325" i="29"/>
  <c r="BO325" i="29"/>
  <c r="BP325" i="29"/>
  <c r="BQ325" i="29"/>
  <c r="BR325" i="29"/>
  <c r="BS325" i="29"/>
  <c r="BT325" i="29"/>
  <c r="BU325" i="29"/>
  <c r="BV325" i="29"/>
  <c r="BW325" i="29"/>
  <c r="BX325" i="29"/>
  <c r="BY325" i="29"/>
  <c r="BZ325" i="29"/>
  <c r="CA325" i="29"/>
  <c r="CB325" i="29"/>
  <c r="CC325" i="29"/>
  <c r="CD325" i="29"/>
  <c r="CE325" i="29"/>
  <c r="CF325" i="29"/>
  <c r="CG325" i="29"/>
  <c r="CH325" i="29"/>
  <c r="CI325" i="29"/>
  <c r="CJ325" i="29"/>
  <c r="CK325" i="29"/>
  <c r="CL325" i="29"/>
  <c r="CM325" i="29"/>
  <c r="CN325" i="29"/>
  <c r="CO325" i="29"/>
  <c r="CP325" i="29"/>
  <c r="CQ325" i="29"/>
  <c r="CR325" i="29"/>
  <c r="CS325" i="29"/>
  <c r="CT325" i="29"/>
  <c r="CU325" i="29"/>
  <c r="CV325" i="29"/>
  <c r="CW325" i="29"/>
  <c r="CX325" i="29"/>
  <c r="CY325" i="29"/>
  <c r="CZ325" i="29"/>
  <c r="DA325" i="29"/>
  <c r="DB325" i="29"/>
  <c r="DC325" i="29"/>
  <c r="DD325" i="29"/>
  <c r="DE325" i="29"/>
  <c r="DF325" i="29"/>
  <c r="DG325" i="29"/>
  <c r="DH325" i="29"/>
  <c r="DI325" i="29"/>
  <c r="DJ325" i="29"/>
  <c r="DK325" i="29"/>
  <c r="DL325" i="29"/>
  <c r="DM325" i="29"/>
  <c r="DN325" i="29"/>
  <c r="DO325" i="29"/>
  <c r="DP325" i="29"/>
  <c r="DQ325" i="29"/>
  <c r="DR325" i="29"/>
  <c r="DS325" i="29"/>
  <c r="DT325" i="29"/>
  <c r="DU325" i="29"/>
  <c r="DV325" i="29"/>
  <c r="DW325" i="29"/>
  <c r="DX325" i="29"/>
  <c r="DY325" i="29"/>
  <c r="DZ325" i="29"/>
  <c r="EA325" i="29"/>
  <c r="EB325" i="29"/>
  <c r="EC325" i="29"/>
  <c r="ED325" i="29"/>
  <c r="EE325" i="29"/>
  <c r="EF325" i="29"/>
  <c r="EG325" i="29"/>
  <c r="EH325" i="29"/>
  <c r="EI325" i="29"/>
  <c r="EJ325" i="29"/>
  <c r="EK325" i="29"/>
  <c r="EL325" i="29"/>
  <c r="EM325" i="29"/>
  <c r="EN325" i="29"/>
  <c r="EO325" i="29"/>
  <c r="EP325" i="29"/>
  <c r="EQ325" i="29"/>
  <c r="ER325" i="29"/>
  <c r="ES325" i="29"/>
  <c r="ET325" i="29"/>
  <c r="EU325" i="29"/>
  <c r="EV325" i="29"/>
  <c r="EW325" i="29"/>
  <c r="EX325" i="29"/>
  <c r="EY325" i="29"/>
  <c r="EZ325" i="29"/>
  <c r="FA325" i="29"/>
  <c r="FB325" i="29"/>
  <c r="FC325" i="29"/>
  <c r="FD325" i="29"/>
  <c r="FE325" i="29"/>
  <c r="FF325" i="29"/>
  <c r="FG325" i="29"/>
  <c r="FH325" i="29"/>
  <c r="FI325" i="29"/>
  <c r="FJ325" i="29"/>
  <c r="FK325" i="29"/>
  <c r="FL325" i="29"/>
  <c r="FM325" i="29"/>
  <c r="FN325" i="29"/>
  <c r="FO325" i="29"/>
  <c r="FP325" i="29"/>
  <c r="FQ325" i="29"/>
  <c r="FR325" i="29"/>
  <c r="FS325" i="29"/>
  <c r="FT325" i="29"/>
  <c r="FU325" i="29"/>
  <c r="FV325" i="29"/>
  <c r="FW325" i="29"/>
  <c r="FX325" i="29"/>
  <c r="FY325" i="29"/>
  <c r="FZ325" i="29"/>
  <c r="GA325" i="29"/>
  <c r="GB325" i="29"/>
  <c r="GC325" i="29"/>
  <c r="GD325" i="29"/>
  <c r="GE325" i="29"/>
  <c r="GF325" i="29"/>
  <c r="GG325" i="29"/>
  <c r="GH325" i="29"/>
  <c r="GI325" i="29"/>
  <c r="GJ325" i="29"/>
  <c r="GK325" i="29"/>
  <c r="GL325" i="29"/>
  <c r="GM325" i="29"/>
  <c r="GN325" i="29"/>
  <c r="GO325" i="29"/>
  <c r="GP325" i="29"/>
  <c r="GQ325" i="29"/>
  <c r="GR325" i="29"/>
  <c r="GS325" i="29"/>
  <c r="GT325" i="29"/>
  <c r="GU325" i="29"/>
  <c r="GV325" i="29"/>
  <c r="GW325" i="29"/>
  <c r="GX325" i="29"/>
  <c r="GY325" i="29"/>
  <c r="GZ325" i="29"/>
  <c r="HA325" i="29"/>
  <c r="HB325" i="29"/>
  <c r="HC325" i="29"/>
  <c r="HD325" i="29"/>
  <c r="HE325" i="29"/>
  <c r="HF325" i="29"/>
  <c r="HG325" i="29"/>
  <c r="HH325" i="29"/>
  <c r="HI325" i="29"/>
  <c r="HJ325" i="29"/>
  <c r="HK325" i="29"/>
  <c r="HL325" i="29"/>
  <c r="HM325" i="29"/>
  <c r="HN325" i="29"/>
  <c r="HO325" i="29"/>
  <c r="HP325" i="29"/>
  <c r="HQ325" i="29"/>
  <c r="HR325" i="29"/>
  <c r="HS325" i="29"/>
  <c r="HT325" i="29"/>
  <c r="HU325" i="29"/>
  <c r="HV325" i="29"/>
  <c r="HW325" i="29"/>
  <c r="HX325" i="29"/>
  <c r="HY325" i="29"/>
  <c r="HZ325" i="29"/>
  <c r="IA325" i="29"/>
  <c r="IB325" i="29"/>
  <c r="IC325" i="29"/>
  <c r="ID325" i="29"/>
  <c r="IE325" i="29"/>
  <c r="IF325" i="29"/>
  <c r="IG325" i="29"/>
  <c r="IH325" i="29"/>
  <c r="II325" i="29"/>
  <c r="IJ325" i="29"/>
  <c r="IK325" i="29"/>
  <c r="IL325" i="29"/>
  <c r="IM325" i="29"/>
  <c r="IN325" i="29"/>
  <c r="IO325" i="29"/>
  <c r="IP325" i="29"/>
  <c r="IQ325" i="29"/>
  <c r="IR325" i="29"/>
  <c r="IS325" i="29"/>
  <c r="IT325" i="29"/>
  <c r="IU325" i="29"/>
  <c r="IV325" i="29"/>
  <c r="IW325" i="29"/>
  <c r="IX325" i="29"/>
  <c r="IY325" i="29"/>
  <c r="IZ325" i="29"/>
  <c r="JA325" i="29"/>
  <c r="JB325" i="29"/>
  <c r="JC325" i="29"/>
  <c r="JD325" i="29"/>
  <c r="JE325" i="29"/>
  <c r="JF325" i="29"/>
  <c r="JG325" i="29"/>
  <c r="JH325" i="29"/>
  <c r="JI325" i="29"/>
  <c r="JJ325" i="29"/>
  <c r="JK325" i="29"/>
  <c r="JL325" i="29"/>
  <c r="JM325" i="29"/>
  <c r="JN325" i="29"/>
  <c r="JO325" i="29"/>
  <c r="JP325" i="29"/>
  <c r="JQ325" i="29"/>
  <c r="JR325" i="29"/>
  <c r="JS325" i="29"/>
  <c r="JT325" i="29"/>
  <c r="JU325" i="29"/>
  <c r="JV325" i="29"/>
  <c r="JW325" i="29"/>
  <c r="JX325" i="29"/>
  <c r="JY325" i="29"/>
  <c r="JZ325" i="29"/>
  <c r="KA325" i="29"/>
  <c r="KB325" i="29"/>
  <c r="KC325" i="29"/>
  <c r="KD325" i="29"/>
  <c r="KE325" i="29"/>
  <c r="KF325" i="29"/>
  <c r="KG325" i="29"/>
  <c r="KH325" i="29"/>
  <c r="KI325" i="29"/>
  <c r="KJ325" i="29"/>
  <c r="KK325" i="29"/>
  <c r="KL325" i="29"/>
  <c r="KM325" i="29"/>
  <c r="KN325" i="29"/>
  <c r="KO325" i="29"/>
  <c r="KP325" i="29"/>
  <c r="KQ325" i="29"/>
  <c r="KR325" i="29"/>
  <c r="KS325" i="29"/>
  <c r="KT325" i="29"/>
  <c r="KU325" i="29"/>
  <c r="KV325" i="29"/>
  <c r="KW325" i="29"/>
  <c r="KX325" i="29"/>
  <c r="KY325" i="29"/>
  <c r="KZ325" i="29"/>
  <c r="LA325" i="29"/>
  <c r="LB325" i="29"/>
  <c r="LC325" i="29"/>
  <c r="LD325" i="29"/>
  <c r="LE325" i="29"/>
  <c r="LF325" i="29"/>
  <c r="LG325" i="29"/>
  <c r="LH325" i="29"/>
  <c r="LI325" i="29"/>
  <c r="LJ325" i="29"/>
  <c r="LK325" i="29"/>
  <c r="LL325" i="29"/>
  <c r="LM325" i="29"/>
  <c r="LN325" i="29"/>
  <c r="LO325" i="29"/>
  <c r="LP325" i="29"/>
  <c r="LQ325" i="29"/>
  <c r="LR325" i="29"/>
  <c r="LS325" i="29"/>
  <c r="LT325" i="29"/>
  <c r="LU325" i="29"/>
  <c r="LV325" i="29"/>
  <c r="LW325" i="29"/>
  <c r="LX325" i="29"/>
  <c r="LY325" i="29"/>
  <c r="LZ325" i="29"/>
  <c r="MA325" i="29"/>
  <c r="MB325" i="29"/>
  <c r="MC325" i="29"/>
  <c r="MD325" i="29"/>
  <c r="ME325" i="29"/>
  <c r="MF325" i="29"/>
  <c r="MG325" i="29"/>
  <c r="MH325" i="29"/>
  <c r="MI325" i="29"/>
  <c r="MJ325" i="29"/>
  <c r="MK325" i="29"/>
  <c r="ML325" i="29"/>
  <c r="MM325" i="29"/>
  <c r="MN325" i="29"/>
  <c r="MO325" i="29"/>
  <c r="MP325" i="29"/>
  <c r="MQ325" i="29"/>
  <c r="MR325" i="29"/>
  <c r="MS325" i="29"/>
  <c r="MT325" i="29"/>
  <c r="MU325" i="29"/>
  <c r="MV325" i="29"/>
  <c r="MW325" i="29"/>
  <c r="MX325" i="29"/>
  <c r="MY325" i="29"/>
  <c r="MZ325" i="29"/>
  <c r="NA325" i="29"/>
  <c r="NB325" i="29"/>
  <c r="NC325" i="29"/>
  <c r="ND325" i="29"/>
  <c r="NE325" i="29"/>
  <c r="NF325" i="29"/>
  <c r="NG325" i="29"/>
  <c r="NH325" i="29"/>
  <c r="NI325" i="29"/>
  <c r="NJ325" i="29"/>
  <c r="NK325" i="29"/>
  <c r="NL325" i="29"/>
  <c r="NM325" i="29"/>
  <c r="NN325" i="29"/>
  <c r="NO325" i="29"/>
  <c r="NP325" i="29"/>
  <c r="NQ325" i="29"/>
  <c r="NR325" i="29"/>
  <c r="NS325" i="29"/>
  <c r="NT325" i="29"/>
  <c r="NU325" i="29"/>
  <c r="NV325" i="29"/>
  <c r="NW325" i="29"/>
  <c r="NX325" i="29"/>
  <c r="NY325" i="29"/>
  <c r="NZ325" i="29"/>
  <c r="OA325" i="29"/>
  <c r="OB325" i="29"/>
  <c r="OC325" i="29"/>
  <c r="OD325" i="29"/>
  <c r="OE325" i="29"/>
  <c r="OF325" i="29"/>
  <c r="OG325" i="29"/>
  <c r="OH325" i="29"/>
  <c r="OI325" i="29"/>
  <c r="OJ325" i="29"/>
  <c r="OK325" i="29"/>
  <c r="OL325" i="29"/>
  <c r="OM325" i="29"/>
  <c r="ON325" i="29"/>
  <c r="OO325" i="29"/>
  <c r="OP325" i="29"/>
  <c r="OQ325" i="29"/>
  <c r="OR325" i="29"/>
  <c r="OS325" i="29"/>
  <c r="OT325" i="29"/>
  <c r="OU325" i="29"/>
  <c r="OV325" i="29"/>
  <c r="OW325" i="29"/>
  <c r="OX325" i="29"/>
  <c r="OY325" i="29"/>
  <c r="OZ325" i="29"/>
  <c r="PA325" i="29"/>
  <c r="PB325" i="29"/>
  <c r="PC325" i="29"/>
  <c r="PD325" i="29"/>
  <c r="PE325" i="29"/>
  <c r="PF325" i="29"/>
  <c r="PG325" i="29"/>
  <c r="PH325" i="29"/>
  <c r="PI325" i="29"/>
  <c r="PJ325" i="29"/>
  <c r="PK325" i="29"/>
  <c r="PL325" i="29"/>
  <c r="PM325" i="29"/>
  <c r="PN325" i="29"/>
  <c r="PO325" i="29"/>
  <c r="PP325" i="29"/>
  <c r="PQ325" i="29"/>
  <c r="PR325" i="29"/>
  <c r="PS325" i="29"/>
  <c r="PT325" i="29"/>
  <c r="PU325" i="29"/>
  <c r="PV325" i="29"/>
  <c r="PW325" i="29"/>
  <c r="PX325" i="29"/>
  <c r="PY325" i="29"/>
  <c r="PZ325" i="29"/>
  <c r="QA325" i="29"/>
  <c r="QB325" i="29"/>
  <c r="QC325" i="29"/>
  <c r="QD325" i="29"/>
  <c r="QE325" i="29"/>
  <c r="QF325" i="29"/>
  <c r="QG325" i="29"/>
  <c r="QH325" i="29"/>
  <c r="QI325" i="29"/>
  <c r="QJ325" i="29"/>
  <c r="QK325" i="29"/>
  <c r="QL325" i="29"/>
  <c r="QM325" i="29"/>
  <c r="QN325" i="29"/>
  <c r="QO325" i="29"/>
  <c r="QP325" i="29"/>
  <c r="QQ325" i="29"/>
  <c r="QR325" i="29"/>
  <c r="QS325" i="29"/>
  <c r="QT325" i="29"/>
  <c r="QU325" i="29"/>
  <c r="QV325" i="29"/>
  <c r="QW325" i="29"/>
  <c r="QX325" i="29"/>
  <c r="QY325" i="29"/>
  <c r="QZ325" i="29"/>
  <c r="RA325" i="29"/>
  <c r="RB325" i="29"/>
  <c r="RC325" i="29"/>
  <c r="RD325" i="29"/>
  <c r="RE325" i="29"/>
  <c r="RF325" i="29"/>
  <c r="RG325" i="29"/>
  <c r="RH325" i="29"/>
  <c r="RI325" i="29"/>
  <c r="RJ325" i="29"/>
  <c r="RK325" i="29"/>
  <c r="RL325" i="29"/>
  <c r="RM325" i="29"/>
  <c r="RN325" i="29"/>
  <c r="RO325" i="29"/>
  <c r="RP325" i="29"/>
  <c r="RQ325" i="29"/>
  <c r="RR325" i="29"/>
  <c r="RS325" i="29"/>
  <c r="RT325" i="29"/>
  <c r="RU325" i="29"/>
  <c r="RV325" i="29"/>
  <c r="RW325" i="29"/>
  <c r="RX325" i="29"/>
  <c r="RY325" i="29"/>
  <c r="RZ325" i="29"/>
  <c r="SA325" i="29"/>
  <c r="SB325" i="29"/>
  <c r="SC325" i="29"/>
  <c r="SD325" i="29"/>
  <c r="SE325" i="29"/>
  <c r="SF325" i="29"/>
  <c r="SG325" i="29"/>
  <c r="SH325" i="29"/>
  <c r="SI325" i="29"/>
  <c r="SJ325" i="29"/>
  <c r="SK325" i="29"/>
  <c r="SL325" i="29"/>
  <c r="SM325" i="29"/>
  <c r="SN325" i="29"/>
  <c r="SO325" i="29"/>
  <c r="SP325" i="29"/>
  <c r="SQ325" i="29"/>
  <c r="SR325" i="29"/>
  <c r="SS325" i="29"/>
  <c r="B326" i="29"/>
  <c r="C326" i="29"/>
  <c r="D326" i="29"/>
  <c r="E326" i="29"/>
  <c r="F326" i="29"/>
  <c r="G326" i="29"/>
  <c r="H326" i="29"/>
  <c r="I326" i="29"/>
  <c r="J326" i="29"/>
  <c r="K326" i="29"/>
  <c r="L326" i="29"/>
  <c r="M326" i="29"/>
  <c r="N326" i="29"/>
  <c r="O326" i="29"/>
  <c r="P326" i="29"/>
  <c r="Q326" i="29"/>
  <c r="R326" i="29"/>
  <c r="S326" i="29"/>
  <c r="T326" i="29"/>
  <c r="U326" i="29"/>
  <c r="V326" i="29"/>
  <c r="W326" i="29"/>
  <c r="X326" i="29"/>
  <c r="Y326" i="29"/>
  <c r="Z326" i="29"/>
  <c r="AA326" i="29"/>
  <c r="AB326" i="29"/>
  <c r="AC326" i="29"/>
  <c r="AD326" i="29"/>
  <c r="AE326" i="29"/>
  <c r="AF326" i="29"/>
  <c r="AG326" i="29"/>
  <c r="AH326" i="29"/>
  <c r="AI326" i="29"/>
  <c r="AJ326" i="29"/>
  <c r="AK326" i="29"/>
  <c r="AL326" i="29"/>
  <c r="AM326" i="29"/>
  <c r="AN326" i="29"/>
  <c r="AO326" i="29"/>
  <c r="AP326" i="29"/>
  <c r="AQ326" i="29"/>
  <c r="AR326" i="29"/>
  <c r="AS326" i="29"/>
  <c r="AT326" i="29"/>
  <c r="AU326" i="29"/>
  <c r="AV326" i="29"/>
  <c r="AW326" i="29"/>
  <c r="AX326" i="29"/>
  <c r="AY326" i="29"/>
  <c r="AZ326" i="29"/>
  <c r="BA326" i="29"/>
  <c r="BB326" i="29"/>
  <c r="BC326" i="29"/>
  <c r="BD326" i="29"/>
  <c r="BE326" i="29"/>
  <c r="BF326" i="29"/>
  <c r="BG326" i="29"/>
  <c r="BH326" i="29"/>
  <c r="BI326" i="29"/>
  <c r="BJ326" i="29"/>
  <c r="BK326" i="29"/>
  <c r="BL326" i="29"/>
  <c r="BM326" i="29"/>
  <c r="BN326" i="29"/>
  <c r="BO326" i="29"/>
  <c r="BP326" i="29"/>
  <c r="BQ326" i="29"/>
  <c r="BR326" i="29"/>
  <c r="BS326" i="29"/>
  <c r="BT326" i="29"/>
  <c r="BU326" i="29"/>
  <c r="BV326" i="29"/>
  <c r="BW326" i="29"/>
  <c r="BX326" i="29"/>
  <c r="BY326" i="29"/>
  <c r="BZ326" i="29"/>
  <c r="CA326" i="29"/>
  <c r="CB326" i="29"/>
  <c r="CC326" i="29"/>
  <c r="CD326" i="29"/>
  <c r="CE326" i="29"/>
  <c r="CF326" i="29"/>
  <c r="CG326" i="29"/>
  <c r="CH326" i="29"/>
  <c r="CI326" i="29"/>
  <c r="CJ326" i="29"/>
  <c r="CK326" i="29"/>
  <c r="CL326" i="29"/>
  <c r="CM326" i="29"/>
  <c r="CN326" i="29"/>
  <c r="CO326" i="29"/>
  <c r="CP326" i="29"/>
  <c r="CQ326" i="29"/>
  <c r="CR326" i="29"/>
  <c r="CS326" i="29"/>
  <c r="CT326" i="29"/>
  <c r="CU326" i="29"/>
  <c r="CV326" i="29"/>
  <c r="CW326" i="29"/>
  <c r="CX326" i="29"/>
  <c r="CY326" i="29"/>
  <c r="CZ326" i="29"/>
  <c r="DA326" i="29"/>
  <c r="DB326" i="29"/>
  <c r="DC326" i="29"/>
  <c r="DD326" i="29"/>
  <c r="DE326" i="29"/>
  <c r="DF326" i="29"/>
  <c r="DG326" i="29"/>
  <c r="DH326" i="29"/>
  <c r="DI326" i="29"/>
  <c r="DJ326" i="29"/>
  <c r="DK326" i="29"/>
  <c r="DL326" i="29"/>
  <c r="DM326" i="29"/>
  <c r="DN326" i="29"/>
  <c r="DO326" i="29"/>
  <c r="DP326" i="29"/>
  <c r="DQ326" i="29"/>
  <c r="DR326" i="29"/>
  <c r="DS326" i="29"/>
  <c r="DT326" i="29"/>
  <c r="DU326" i="29"/>
  <c r="DV326" i="29"/>
  <c r="DW326" i="29"/>
  <c r="DX326" i="29"/>
  <c r="DY326" i="29"/>
  <c r="DZ326" i="29"/>
  <c r="EA326" i="29"/>
  <c r="EB326" i="29"/>
  <c r="EC326" i="29"/>
  <c r="ED326" i="29"/>
  <c r="EE326" i="29"/>
  <c r="EF326" i="29"/>
  <c r="EG326" i="29"/>
  <c r="EH326" i="29"/>
  <c r="EI326" i="29"/>
  <c r="EJ326" i="29"/>
  <c r="EK326" i="29"/>
  <c r="EL326" i="29"/>
  <c r="EM326" i="29"/>
  <c r="EN326" i="29"/>
  <c r="EO326" i="29"/>
  <c r="EP326" i="29"/>
  <c r="EQ326" i="29"/>
  <c r="ER326" i="29"/>
  <c r="ES326" i="29"/>
  <c r="ET326" i="29"/>
  <c r="EU326" i="29"/>
  <c r="EV326" i="29"/>
  <c r="EW326" i="29"/>
  <c r="EX326" i="29"/>
  <c r="EY326" i="29"/>
  <c r="EZ326" i="29"/>
  <c r="FA326" i="29"/>
  <c r="FB326" i="29"/>
  <c r="FC326" i="29"/>
  <c r="FD326" i="29"/>
  <c r="FE326" i="29"/>
  <c r="FF326" i="29"/>
  <c r="FG326" i="29"/>
  <c r="FH326" i="29"/>
  <c r="FI326" i="29"/>
  <c r="FJ326" i="29"/>
  <c r="FK326" i="29"/>
  <c r="FL326" i="29"/>
  <c r="FM326" i="29"/>
  <c r="FN326" i="29"/>
  <c r="FO326" i="29"/>
  <c r="FP326" i="29"/>
  <c r="FQ326" i="29"/>
  <c r="FR326" i="29"/>
  <c r="FS326" i="29"/>
  <c r="FT326" i="29"/>
  <c r="FU326" i="29"/>
  <c r="FV326" i="29"/>
  <c r="FW326" i="29"/>
  <c r="FX326" i="29"/>
  <c r="FY326" i="29"/>
  <c r="FZ326" i="29"/>
  <c r="GA326" i="29"/>
  <c r="GB326" i="29"/>
  <c r="GC326" i="29"/>
  <c r="GD326" i="29"/>
  <c r="GE326" i="29"/>
  <c r="GF326" i="29"/>
  <c r="GG326" i="29"/>
  <c r="GH326" i="29"/>
  <c r="GI326" i="29"/>
  <c r="GJ326" i="29"/>
  <c r="GK326" i="29"/>
  <c r="GL326" i="29"/>
  <c r="GM326" i="29"/>
  <c r="GN326" i="29"/>
  <c r="GO326" i="29"/>
  <c r="GP326" i="29"/>
  <c r="GQ326" i="29"/>
  <c r="GR326" i="29"/>
  <c r="GS326" i="29"/>
  <c r="GT326" i="29"/>
  <c r="GU326" i="29"/>
  <c r="GV326" i="29"/>
  <c r="GW326" i="29"/>
  <c r="GX326" i="29"/>
  <c r="GY326" i="29"/>
  <c r="GZ326" i="29"/>
  <c r="HA326" i="29"/>
  <c r="HB326" i="29"/>
  <c r="HC326" i="29"/>
  <c r="HD326" i="29"/>
  <c r="HE326" i="29"/>
  <c r="HF326" i="29"/>
  <c r="HG326" i="29"/>
  <c r="HH326" i="29"/>
  <c r="HI326" i="29"/>
  <c r="HJ326" i="29"/>
  <c r="HK326" i="29"/>
  <c r="HL326" i="29"/>
  <c r="HM326" i="29"/>
  <c r="HN326" i="29"/>
  <c r="HO326" i="29"/>
  <c r="HP326" i="29"/>
  <c r="HQ326" i="29"/>
  <c r="HR326" i="29"/>
  <c r="HS326" i="29"/>
  <c r="HT326" i="29"/>
  <c r="HU326" i="29"/>
  <c r="HV326" i="29"/>
  <c r="HW326" i="29"/>
  <c r="HX326" i="29"/>
  <c r="HY326" i="29"/>
  <c r="HZ326" i="29"/>
  <c r="IA326" i="29"/>
  <c r="IB326" i="29"/>
  <c r="IC326" i="29"/>
  <c r="ID326" i="29"/>
  <c r="IE326" i="29"/>
  <c r="IF326" i="29"/>
  <c r="IG326" i="29"/>
  <c r="IH326" i="29"/>
  <c r="II326" i="29"/>
  <c r="IJ326" i="29"/>
  <c r="IK326" i="29"/>
  <c r="IL326" i="29"/>
  <c r="IM326" i="29"/>
  <c r="IN326" i="29"/>
  <c r="IO326" i="29"/>
  <c r="IP326" i="29"/>
  <c r="IQ326" i="29"/>
  <c r="IR326" i="29"/>
  <c r="IS326" i="29"/>
  <c r="IT326" i="29"/>
  <c r="IU326" i="29"/>
  <c r="IV326" i="29"/>
  <c r="IW326" i="29"/>
  <c r="IX326" i="29"/>
  <c r="IY326" i="29"/>
  <c r="IZ326" i="29"/>
  <c r="JA326" i="29"/>
  <c r="JB326" i="29"/>
  <c r="JC326" i="29"/>
  <c r="JD326" i="29"/>
  <c r="JE326" i="29"/>
  <c r="JF326" i="29"/>
  <c r="JG326" i="29"/>
  <c r="JH326" i="29"/>
  <c r="JI326" i="29"/>
  <c r="JJ326" i="29"/>
  <c r="JK326" i="29"/>
  <c r="JL326" i="29"/>
  <c r="JM326" i="29"/>
  <c r="JN326" i="29"/>
  <c r="JO326" i="29"/>
  <c r="JP326" i="29"/>
  <c r="JQ326" i="29"/>
  <c r="JR326" i="29"/>
  <c r="JS326" i="29"/>
  <c r="JT326" i="29"/>
  <c r="JU326" i="29"/>
  <c r="JV326" i="29"/>
  <c r="JW326" i="29"/>
  <c r="JX326" i="29"/>
  <c r="JY326" i="29"/>
  <c r="JZ326" i="29"/>
  <c r="KA326" i="29"/>
  <c r="KB326" i="29"/>
  <c r="KC326" i="29"/>
  <c r="KD326" i="29"/>
  <c r="KE326" i="29"/>
  <c r="KF326" i="29"/>
  <c r="KG326" i="29"/>
  <c r="KH326" i="29"/>
  <c r="KI326" i="29"/>
  <c r="KJ326" i="29"/>
  <c r="KK326" i="29"/>
  <c r="KL326" i="29"/>
  <c r="KM326" i="29"/>
  <c r="KN326" i="29"/>
  <c r="KO326" i="29"/>
  <c r="KP326" i="29"/>
  <c r="KQ326" i="29"/>
  <c r="KR326" i="29"/>
  <c r="KS326" i="29"/>
  <c r="KT326" i="29"/>
  <c r="KU326" i="29"/>
  <c r="KV326" i="29"/>
  <c r="KW326" i="29"/>
  <c r="KX326" i="29"/>
  <c r="KY326" i="29"/>
  <c r="KZ326" i="29"/>
  <c r="LA326" i="29"/>
  <c r="LB326" i="29"/>
  <c r="LC326" i="29"/>
  <c r="LD326" i="29"/>
  <c r="LE326" i="29"/>
  <c r="LF326" i="29"/>
  <c r="LG326" i="29"/>
  <c r="LH326" i="29"/>
  <c r="LI326" i="29"/>
  <c r="LJ326" i="29"/>
  <c r="LK326" i="29"/>
  <c r="LL326" i="29"/>
  <c r="LM326" i="29"/>
  <c r="LN326" i="29"/>
  <c r="LO326" i="29"/>
  <c r="LP326" i="29"/>
  <c r="LQ326" i="29"/>
  <c r="LR326" i="29"/>
  <c r="LS326" i="29"/>
  <c r="LT326" i="29"/>
  <c r="LU326" i="29"/>
  <c r="LV326" i="29"/>
  <c r="LW326" i="29"/>
  <c r="LX326" i="29"/>
  <c r="LY326" i="29"/>
  <c r="LZ326" i="29"/>
  <c r="MA326" i="29"/>
  <c r="MB326" i="29"/>
  <c r="MC326" i="29"/>
  <c r="MD326" i="29"/>
  <c r="ME326" i="29"/>
  <c r="MF326" i="29"/>
  <c r="MG326" i="29"/>
  <c r="MH326" i="29"/>
  <c r="MI326" i="29"/>
  <c r="MJ326" i="29"/>
  <c r="MK326" i="29"/>
  <c r="ML326" i="29"/>
  <c r="MM326" i="29"/>
  <c r="MN326" i="29"/>
  <c r="MO326" i="29"/>
  <c r="MP326" i="29"/>
  <c r="MQ326" i="29"/>
  <c r="MR326" i="29"/>
  <c r="MS326" i="29"/>
  <c r="MT326" i="29"/>
  <c r="MU326" i="29"/>
  <c r="MV326" i="29"/>
  <c r="MW326" i="29"/>
  <c r="MX326" i="29"/>
  <c r="MY326" i="29"/>
  <c r="MZ326" i="29"/>
  <c r="NA326" i="29"/>
  <c r="NB326" i="29"/>
  <c r="NC326" i="29"/>
  <c r="ND326" i="29"/>
  <c r="NE326" i="29"/>
  <c r="NF326" i="29"/>
  <c r="NG326" i="29"/>
  <c r="NH326" i="29"/>
  <c r="NI326" i="29"/>
  <c r="NJ326" i="29"/>
  <c r="NK326" i="29"/>
  <c r="NL326" i="29"/>
  <c r="NM326" i="29"/>
  <c r="NN326" i="29"/>
  <c r="NO326" i="29"/>
  <c r="NP326" i="29"/>
  <c r="NQ326" i="29"/>
  <c r="NR326" i="29"/>
  <c r="NS326" i="29"/>
  <c r="NT326" i="29"/>
  <c r="NU326" i="29"/>
  <c r="NV326" i="29"/>
  <c r="NW326" i="29"/>
  <c r="NX326" i="29"/>
  <c r="NY326" i="29"/>
  <c r="NZ326" i="29"/>
  <c r="OA326" i="29"/>
  <c r="OB326" i="29"/>
  <c r="OC326" i="29"/>
  <c r="OD326" i="29"/>
  <c r="OE326" i="29"/>
  <c r="OF326" i="29"/>
  <c r="OG326" i="29"/>
  <c r="OH326" i="29"/>
  <c r="OI326" i="29"/>
  <c r="OJ326" i="29"/>
  <c r="OK326" i="29"/>
  <c r="OL326" i="29"/>
  <c r="OM326" i="29"/>
  <c r="ON326" i="29"/>
  <c r="OO326" i="29"/>
  <c r="OP326" i="29"/>
  <c r="OQ326" i="29"/>
  <c r="OR326" i="29"/>
  <c r="OS326" i="29"/>
  <c r="OT326" i="29"/>
  <c r="OU326" i="29"/>
  <c r="OV326" i="29"/>
  <c r="OW326" i="29"/>
  <c r="OX326" i="29"/>
  <c r="OY326" i="29"/>
  <c r="OZ326" i="29"/>
  <c r="PA326" i="29"/>
  <c r="PB326" i="29"/>
  <c r="PC326" i="29"/>
  <c r="PD326" i="29"/>
  <c r="PE326" i="29"/>
  <c r="PF326" i="29"/>
  <c r="PG326" i="29"/>
  <c r="PH326" i="29"/>
  <c r="PI326" i="29"/>
  <c r="PJ326" i="29"/>
  <c r="PK326" i="29"/>
  <c r="PL326" i="29"/>
  <c r="PM326" i="29"/>
  <c r="PN326" i="29"/>
  <c r="PO326" i="29"/>
  <c r="PP326" i="29"/>
  <c r="PQ326" i="29"/>
  <c r="PR326" i="29"/>
  <c r="PS326" i="29"/>
  <c r="PT326" i="29"/>
  <c r="PU326" i="29"/>
  <c r="PV326" i="29"/>
  <c r="PW326" i="29"/>
  <c r="PX326" i="29"/>
  <c r="PY326" i="29"/>
  <c r="PZ326" i="29"/>
  <c r="QA326" i="29"/>
  <c r="QB326" i="29"/>
  <c r="QC326" i="29"/>
  <c r="QD326" i="29"/>
  <c r="QE326" i="29"/>
  <c r="QF326" i="29"/>
  <c r="QG326" i="29"/>
  <c r="QH326" i="29"/>
  <c r="QI326" i="29"/>
  <c r="QJ326" i="29"/>
  <c r="QK326" i="29"/>
  <c r="QL326" i="29"/>
  <c r="QM326" i="29"/>
  <c r="QN326" i="29"/>
  <c r="QO326" i="29"/>
  <c r="QP326" i="29"/>
  <c r="QQ326" i="29"/>
  <c r="QR326" i="29"/>
  <c r="QS326" i="29"/>
  <c r="QT326" i="29"/>
  <c r="QU326" i="29"/>
  <c r="QV326" i="29"/>
  <c r="QW326" i="29"/>
  <c r="QX326" i="29"/>
  <c r="QY326" i="29"/>
  <c r="QZ326" i="29"/>
  <c r="RA326" i="29"/>
  <c r="RB326" i="29"/>
  <c r="RC326" i="29"/>
  <c r="RD326" i="29"/>
  <c r="RE326" i="29"/>
  <c r="RF326" i="29"/>
  <c r="RG326" i="29"/>
  <c r="RH326" i="29"/>
  <c r="RI326" i="29"/>
  <c r="RJ326" i="29"/>
  <c r="RK326" i="29"/>
  <c r="RL326" i="29"/>
  <c r="RM326" i="29"/>
  <c r="RN326" i="29"/>
  <c r="RO326" i="29"/>
  <c r="RP326" i="29"/>
  <c r="RQ326" i="29"/>
  <c r="RR326" i="29"/>
  <c r="RS326" i="29"/>
  <c r="RT326" i="29"/>
  <c r="RU326" i="29"/>
  <c r="RV326" i="29"/>
  <c r="RW326" i="29"/>
  <c r="RX326" i="29"/>
  <c r="RY326" i="29"/>
  <c r="RZ326" i="29"/>
  <c r="SA326" i="29"/>
  <c r="SB326" i="29"/>
  <c r="SC326" i="29"/>
  <c r="SD326" i="29"/>
  <c r="SE326" i="29"/>
  <c r="SF326" i="29"/>
  <c r="SG326" i="29"/>
  <c r="SH326" i="29"/>
  <c r="SI326" i="29"/>
  <c r="SJ326" i="29"/>
  <c r="SK326" i="29"/>
  <c r="SL326" i="29"/>
  <c r="SM326" i="29"/>
  <c r="SN326" i="29"/>
  <c r="SO326" i="29"/>
  <c r="SP326" i="29"/>
  <c r="SQ326" i="29"/>
  <c r="SR326" i="29"/>
  <c r="SS326" i="29"/>
  <c r="B327" i="29"/>
  <c r="C327" i="29"/>
  <c r="D327" i="29"/>
  <c r="E327" i="29"/>
  <c r="F327" i="29"/>
  <c r="G327" i="29"/>
  <c r="H327" i="29"/>
  <c r="I327" i="29"/>
  <c r="J327" i="29"/>
  <c r="K327" i="29"/>
  <c r="L327" i="29"/>
  <c r="M327" i="29"/>
  <c r="N327" i="29"/>
  <c r="O327" i="29"/>
  <c r="P327" i="29"/>
  <c r="Q327" i="29"/>
  <c r="R327" i="29"/>
  <c r="S327" i="29"/>
  <c r="T327" i="29"/>
  <c r="U327" i="29"/>
  <c r="V327" i="29"/>
  <c r="W327" i="29"/>
  <c r="X327" i="29"/>
  <c r="Y327" i="29"/>
  <c r="Z327" i="29"/>
  <c r="AA327" i="29"/>
  <c r="AB327" i="29"/>
  <c r="AC327" i="29"/>
  <c r="AD327" i="29"/>
  <c r="AE327" i="29"/>
  <c r="AF327" i="29"/>
  <c r="AG327" i="29"/>
  <c r="AH327" i="29"/>
  <c r="AI327" i="29"/>
  <c r="AJ327" i="29"/>
  <c r="AK327" i="29"/>
  <c r="AL327" i="29"/>
  <c r="AM327" i="29"/>
  <c r="AN327" i="29"/>
  <c r="AO327" i="29"/>
  <c r="AP327" i="29"/>
  <c r="AQ327" i="29"/>
  <c r="AR327" i="29"/>
  <c r="AS327" i="29"/>
  <c r="AT327" i="29"/>
  <c r="AU327" i="29"/>
  <c r="AV327" i="29"/>
  <c r="AW327" i="29"/>
  <c r="AX327" i="29"/>
  <c r="AY327" i="29"/>
  <c r="AZ327" i="29"/>
  <c r="BA327" i="29"/>
  <c r="BB327" i="29"/>
  <c r="BC327" i="29"/>
  <c r="BD327" i="29"/>
  <c r="BE327" i="29"/>
  <c r="BF327" i="29"/>
  <c r="BG327" i="29"/>
  <c r="BH327" i="29"/>
  <c r="BI327" i="29"/>
  <c r="BJ327" i="29"/>
  <c r="BK327" i="29"/>
  <c r="BL327" i="29"/>
  <c r="BM327" i="29"/>
  <c r="BN327" i="29"/>
  <c r="BO327" i="29"/>
  <c r="BP327" i="29"/>
  <c r="BQ327" i="29"/>
  <c r="BR327" i="29"/>
  <c r="BS327" i="29"/>
  <c r="BT327" i="29"/>
  <c r="BU327" i="29"/>
  <c r="BV327" i="29"/>
  <c r="BW327" i="29"/>
  <c r="BX327" i="29"/>
  <c r="BY327" i="29"/>
  <c r="BZ327" i="29"/>
  <c r="CA327" i="29"/>
  <c r="CB327" i="29"/>
  <c r="CC327" i="29"/>
  <c r="CD327" i="29"/>
  <c r="CE327" i="29"/>
  <c r="CF327" i="29"/>
  <c r="CG327" i="29"/>
  <c r="CH327" i="29"/>
  <c r="CI327" i="29"/>
  <c r="CJ327" i="29"/>
  <c r="CK327" i="29"/>
  <c r="CL327" i="29"/>
  <c r="CM327" i="29"/>
  <c r="CN327" i="29"/>
  <c r="CO327" i="29"/>
  <c r="CP327" i="29"/>
  <c r="CQ327" i="29"/>
  <c r="CR327" i="29"/>
  <c r="CS327" i="29"/>
  <c r="CT327" i="29"/>
  <c r="CU327" i="29"/>
  <c r="CV327" i="29"/>
  <c r="CW327" i="29"/>
  <c r="CX327" i="29"/>
  <c r="CY327" i="29"/>
  <c r="CZ327" i="29"/>
  <c r="DA327" i="29"/>
  <c r="DB327" i="29"/>
  <c r="DC327" i="29"/>
  <c r="DD327" i="29"/>
  <c r="DE327" i="29"/>
  <c r="DF327" i="29"/>
  <c r="DG327" i="29"/>
  <c r="DH327" i="29"/>
  <c r="DI327" i="29"/>
  <c r="DJ327" i="29"/>
  <c r="DK327" i="29"/>
  <c r="DL327" i="29"/>
  <c r="DM327" i="29"/>
  <c r="DN327" i="29"/>
  <c r="DO327" i="29"/>
  <c r="DP327" i="29"/>
  <c r="DQ327" i="29"/>
  <c r="DR327" i="29"/>
  <c r="DS327" i="29"/>
  <c r="DT327" i="29"/>
  <c r="DU327" i="29"/>
  <c r="DV327" i="29"/>
  <c r="DW327" i="29"/>
  <c r="DX327" i="29"/>
  <c r="DY327" i="29"/>
  <c r="DZ327" i="29"/>
  <c r="EA327" i="29"/>
  <c r="EB327" i="29"/>
  <c r="EC327" i="29"/>
  <c r="ED327" i="29"/>
  <c r="EE327" i="29"/>
  <c r="EF327" i="29"/>
  <c r="EG327" i="29"/>
  <c r="EH327" i="29"/>
  <c r="EI327" i="29"/>
  <c r="EJ327" i="29"/>
  <c r="EK327" i="29"/>
  <c r="EL327" i="29"/>
  <c r="EM327" i="29"/>
  <c r="EN327" i="29"/>
  <c r="EO327" i="29"/>
  <c r="EP327" i="29"/>
  <c r="EQ327" i="29"/>
  <c r="ER327" i="29"/>
  <c r="ES327" i="29"/>
  <c r="ET327" i="29"/>
  <c r="EU327" i="29"/>
  <c r="EV327" i="29"/>
  <c r="EW327" i="29"/>
  <c r="EX327" i="29"/>
  <c r="EY327" i="29"/>
  <c r="EZ327" i="29"/>
  <c r="FA327" i="29"/>
  <c r="FB327" i="29"/>
  <c r="FC327" i="29"/>
  <c r="FD327" i="29"/>
  <c r="FE327" i="29"/>
  <c r="FF327" i="29"/>
  <c r="FG327" i="29"/>
  <c r="FH327" i="29"/>
  <c r="FI327" i="29"/>
  <c r="FJ327" i="29"/>
  <c r="FK327" i="29"/>
  <c r="FL327" i="29"/>
  <c r="FM327" i="29"/>
  <c r="FN327" i="29"/>
  <c r="FO327" i="29"/>
  <c r="FP327" i="29"/>
  <c r="FQ327" i="29"/>
  <c r="FR327" i="29"/>
  <c r="FS327" i="29"/>
  <c r="FT327" i="29"/>
  <c r="FU327" i="29"/>
  <c r="FV327" i="29"/>
  <c r="FW327" i="29"/>
  <c r="FX327" i="29"/>
  <c r="FY327" i="29"/>
  <c r="FZ327" i="29"/>
  <c r="GA327" i="29"/>
  <c r="GB327" i="29"/>
  <c r="GC327" i="29"/>
  <c r="GD327" i="29"/>
  <c r="GE327" i="29"/>
  <c r="GF327" i="29"/>
  <c r="GG327" i="29"/>
  <c r="GH327" i="29"/>
  <c r="GI327" i="29"/>
  <c r="GJ327" i="29"/>
  <c r="GK327" i="29"/>
  <c r="GL327" i="29"/>
  <c r="GM327" i="29"/>
  <c r="GN327" i="29"/>
  <c r="GO327" i="29"/>
  <c r="GP327" i="29"/>
  <c r="GQ327" i="29"/>
  <c r="GR327" i="29"/>
  <c r="GS327" i="29"/>
  <c r="GT327" i="29"/>
  <c r="GU327" i="29"/>
  <c r="GV327" i="29"/>
  <c r="GW327" i="29"/>
  <c r="GX327" i="29"/>
  <c r="GY327" i="29"/>
  <c r="GZ327" i="29"/>
  <c r="HA327" i="29"/>
  <c r="HB327" i="29"/>
  <c r="HC327" i="29"/>
  <c r="HD327" i="29"/>
  <c r="HE327" i="29"/>
  <c r="HF327" i="29"/>
  <c r="HG327" i="29"/>
  <c r="HH327" i="29"/>
  <c r="HI327" i="29"/>
  <c r="HJ327" i="29"/>
  <c r="HK327" i="29"/>
  <c r="HL327" i="29"/>
  <c r="HM327" i="29"/>
  <c r="HN327" i="29"/>
  <c r="HO327" i="29"/>
  <c r="HP327" i="29"/>
  <c r="HQ327" i="29"/>
  <c r="HR327" i="29"/>
  <c r="HS327" i="29"/>
  <c r="HT327" i="29"/>
  <c r="HU327" i="29"/>
  <c r="HV327" i="29"/>
  <c r="HW327" i="29"/>
  <c r="HX327" i="29"/>
  <c r="HY327" i="29"/>
  <c r="HZ327" i="29"/>
  <c r="IA327" i="29"/>
  <c r="IB327" i="29"/>
  <c r="IC327" i="29"/>
  <c r="ID327" i="29"/>
  <c r="IE327" i="29"/>
  <c r="IF327" i="29"/>
  <c r="IG327" i="29"/>
  <c r="IH327" i="29"/>
  <c r="II327" i="29"/>
  <c r="IJ327" i="29"/>
  <c r="IK327" i="29"/>
  <c r="IL327" i="29"/>
  <c r="IM327" i="29"/>
  <c r="IN327" i="29"/>
  <c r="IO327" i="29"/>
  <c r="IP327" i="29"/>
  <c r="IQ327" i="29"/>
  <c r="IR327" i="29"/>
  <c r="IS327" i="29"/>
  <c r="IT327" i="29"/>
  <c r="IU327" i="29"/>
  <c r="IV327" i="29"/>
  <c r="IW327" i="29"/>
  <c r="IX327" i="29"/>
  <c r="IY327" i="29"/>
  <c r="IZ327" i="29"/>
  <c r="JA327" i="29"/>
  <c r="JB327" i="29"/>
  <c r="JC327" i="29"/>
  <c r="JD327" i="29"/>
  <c r="JE327" i="29"/>
  <c r="JF327" i="29"/>
  <c r="JG327" i="29"/>
  <c r="JH327" i="29"/>
  <c r="JI327" i="29"/>
  <c r="JJ327" i="29"/>
  <c r="JK327" i="29"/>
  <c r="JL327" i="29"/>
  <c r="JM327" i="29"/>
  <c r="JN327" i="29"/>
  <c r="JO327" i="29"/>
  <c r="JP327" i="29"/>
  <c r="JQ327" i="29"/>
  <c r="JR327" i="29"/>
  <c r="JS327" i="29"/>
  <c r="JT327" i="29"/>
  <c r="JU327" i="29"/>
  <c r="JV327" i="29"/>
  <c r="JW327" i="29"/>
  <c r="JX327" i="29"/>
  <c r="JY327" i="29"/>
  <c r="JZ327" i="29"/>
  <c r="KA327" i="29"/>
  <c r="KB327" i="29"/>
  <c r="KC327" i="29"/>
  <c r="KD327" i="29"/>
  <c r="KE327" i="29"/>
  <c r="KF327" i="29"/>
  <c r="KG327" i="29"/>
  <c r="KH327" i="29"/>
  <c r="KI327" i="29"/>
  <c r="KJ327" i="29"/>
  <c r="KK327" i="29"/>
  <c r="KL327" i="29"/>
  <c r="KM327" i="29"/>
  <c r="KN327" i="29"/>
  <c r="KO327" i="29"/>
  <c r="KP327" i="29"/>
  <c r="KQ327" i="29"/>
  <c r="KR327" i="29"/>
  <c r="KS327" i="29"/>
  <c r="KT327" i="29"/>
  <c r="KU327" i="29"/>
  <c r="KV327" i="29"/>
  <c r="KW327" i="29"/>
  <c r="KX327" i="29"/>
  <c r="KY327" i="29"/>
  <c r="KZ327" i="29"/>
  <c r="LA327" i="29"/>
  <c r="LB327" i="29"/>
  <c r="LC327" i="29"/>
  <c r="LD327" i="29"/>
  <c r="LE327" i="29"/>
  <c r="LF327" i="29"/>
  <c r="LG327" i="29"/>
  <c r="LH327" i="29"/>
  <c r="LI327" i="29"/>
  <c r="LJ327" i="29"/>
  <c r="LK327" i="29"/>
  <c r="LL327" i="29"/>
  <c r="LM327" i="29"/>
  <c r="LN327" i="29"/>
  <c r="LO327" i="29"/>
  <c r="LP327" i="29"/>
  <c r="LQ327" i="29"/>
  <c r="LR327" i="29"/>
  <c r="LS327" i="29"/>
  <c r="LT327" i="29"/>
  <c r="LU327" i="29"/>
  <c r="LV327" i="29"/>
  <c r="LW327" i="29"/>
  <c r="LX327" i="29"/>
  <c r="LY327" i="29"/>
  <c r="LZ327" i="29"/>
  <c r="MA327" i="29"/>
  <c r="MB327" i="29"/>
  <c r="MC327" i="29"/>
  <c r="MD327" i="29"/>
  <c r="ME327" i="29"/>
  <c r="MF327" i="29"/>
  <c r="MG327" i="29"/>
  <c r="MH327" i="29"/>
  <c r="MI327" i="29"/>
  <c r="MJ327" i="29"/>
  <c r="MK327" i="29"/>
  <c r="ML327" i="29"/>
  <c r="MM327" i="29"/>
  <c r="MN327" i="29"/>
  <c r="MO327" i="29"/>
  <c r="MP327" i="29"/>
  <c r="MQ327" i="29"/>
  <c r="MR327" i="29"/>
  <c r="MS327" i="29"/>
  <c r="MT327" i="29"/>
  <c r="MU327" i="29"/>
  <c r="MV327" i="29"/>
  <c r="MW327" i="29"/>
  <c r="MX327" i="29"/>
  <c r="MY327" i="29"/>
  <c r="MZ327" i="29"/>
  <c r="NA327" i="29"/>
  <c r="NB327" i="29"/>
  <c r="NC327" i="29"/>
  <c r="ND327" i="29"/>
  <c r="NE327" i="29"/>
  <c r="NF327" i="29"/>
  <c r="NG327" i="29"/>
  <c r="NH327" i="29"/>
  <c r="NI327" i="29"/>
  <c r="NJ327" i="29"/>
  <c r="NK327" i="29"/>
  <c r="NL327" i="29"/>
  <c r="NM327" i="29"/>
  <c r="NN327" i="29"/>
  <c r="NO327" i="29"/>
  <c r="NP327" i="29"/>
  <c r="NQ327" i="29"/>
  <c r="NR327" i="29"/>
  <c r="NS327" i="29"/>
  <c r="NT327" i="29"/>
  <c r="NU327" i="29"/>
  <c r="NV327" i="29"/>
  <c r="NW327" i="29"/>
  <c r="NX327" i="29"/>
  <c r="NY327" i="29"/>
  <c r="NZ327" i="29"/>
  <c r="OA327" i="29"/>
  <c r="OB327" i="29"/>
  <c r="OC327" i="29"/>
  <c r="OD327" i="29"/>
  <c r="OE327" i="29"/>
  <c r="OF327" i="29"/>
  <c r="OG327" i="29"/>
  <c r="OH327" i="29"/>
  <c r="OI327" i="29"/>
  <c r="OJ327" i="29"/>
  <c r="OK327" i="29"/>
  <c r="OL327" i="29"/>
  <c r="OM327" i="29"/>
  <c r="ON327" i="29"/>
  <c r="OO327" i="29"/>
  <c r="OP327" i="29"/>
  <c r="OQ327" i="29"/>
  <c r="OR327" i="29"/>
  <c r="OS327" i="29"/>
  <c r="OT327" i="29"/>
  <c r="OU327" i="29"/>
  <c r="OV327" i="29"/>
  <c r="OW327" i="29"/>
  <c r="OX327" i="29"/>
  <c r="OY327" i="29"/>
  <c r="OZ327" i="29"/>
  <c r="PA327" i="29"/>
  <c r="PB327" i="29"/>
  <c r="PC327" i="29"/>
  <c r="PD327" i="29"/>
  <c r="PE327" i="29"/>
  <c r="PF327" i="29"/>
  <c r="PG327" i="29"/>
  <c r="PH327" i="29"/>
  <c r="PI327" i="29"/>
  <c r="PJ327" i="29"/>
  <c r="PK327" i="29"/>
  <c r="PL327" i="29"/>
  <c r="PM327" i="29"/>
  <c r="PN327" i="29"/>
  <c r="PO327" i="29"/>
  <c r="PP327" i="29"/>
  <c r="PQ327" i="29"/>
  <c r="PR327" i="29"/>
  <c r="PS327" i="29"/>
  <c r="PT327" i="29"/>
  <c r="PU327" i="29"/>
  <c r="PV327" i="29"/>
  <c r="PW327" i="29"/>
  <c r="PX327" i="29"/>
  <c r="PY327" i="29"/>
  <c r="PZ327" i="29"/>
  <c r="QA327" i="29"/>
  <c r="QB327" i="29"/>
  <c r="QC327" i="29"/>
  <c r="QD327" i="29"/>
  <c r="QE327" i="29"/>
  <c r="QF327" i="29"/>
  <c r="QG327" i="29"/>
  <c r="QH327" i="29"/>
  <c r="QI327" i="29"/>
  <c r="QJ327" i="29"/>
  <c r="QK327" i="29"/>
  <c r="QL327" i="29"/>
  <c r="QM327" i="29"/>
  <c r="QN327" i="29"/>
  <c r="QO327" i="29"/>
  <c r="QP327" i="29"/>
  <c r="QQ327" i="29"/>
  <c r="QR327" i="29"/>
  <c r="QS327" i="29"/>
  <c r="QT327" i="29"/>
  <c r="QU327" i="29"/>
  <c r="QV327" i="29"/>
  <c r="QW327" i="29"/>
  <c r="QX327" i="29"/>
  <c r="QY327" i="29"/>
  <c r="QZ327" i="29"/>
  <c r="RA327" i="29"/>
  <c r="RB327" i="29"/>
  <c r="RC327" i="29"/>
  <c r="RD327" i="29"/>
  <c r="RE327" i="29"/>
  <c r="RF327" i="29"/>
  <c r="RG327" i="29"/>
  <c r="RH327" i="29"/>
  <c r="RI327" i="29"/>
  <c r="RJ327" i="29"/>
  <c r="RK327" i="29"/>
  <c r="RL327" i="29"/>
  <c r="RM327" i="29"/>
  <c r="RN327" i="29"/>
  <c r="RO327" i="29"/>
  <c r="RP327" i="29"/>
  <c r="RQ327" i="29"/>
  <c r="RR327" i="29"/>
  <c r="RS327" i="29"/>
  <c r="RT327" i="29"/>
  <c r="RU327" i="29"/>
  <c r="RV327" i="29"/>
  <c r="RW327" i="29"/>
  <c r="RX327" i="29"/>
  <c r="RY327" i="29"/>
  <c r="RZ327" i="29"/>
  <c r="SA327" i="29"/>
  <c r="SB327" i="29"/>
  <c r="SC327" i="29"/>
  <c r="SD327" i="29"/>
  <c r="SE327" i="29"/>
  <c r="SF327" i="29"/>
  <c r="SG327" i="29"/>
  <c r="SH327" i="29"/>
  <c r="SI327" i="29"/>
  <c r="SJ327" i="29"/>
  <c r="SK327" i="29"/>
  <c r="SL327" i="29"/>
  <c r="SM327" i="29"/>
  <c r="SN327" i="29"/>
  <c r="SO327" i="29"/>
  <c r="SP327" i="29"/>
  <c r="SQ327" i="29"/>
  <c r="SR327" i="29"/>
  <c r="SS327" i="29"/>
  <c r="B328" i="29"/>
  <c r="C328" i="29"/>
  <c r="D328" i="29"/>
  <c r="E328" i="29"/>
  <c r="F328" i="29"/>
  <c r="G328" i="29"/>
  <c r="H328" i="29"/>
  <c r="I328" i="29"/>
  <c r="J328" i="29"/>
  <c r="K328" i="29"/>
  <c r="L328" i="29"/>
  <c r="M328" i="29"/>
  <c r="N328" i="29"/>
  <c r="O328" i="29"/>
  <c r="P328" i="29"/>
  <c r="Q328" i="29"/>
  <c r="R328" i="29"/>
  <c r="S328" i="29"/>
  <c r="T328" i="29"/>
  <c r="U328" i="29"/>
  <c r="V328" i="29"/>
  <c r="W328" i="29"/>
  <c r="X328" i="29"/>
  <c r="Y328" i="29"/>
  <c r="Z328" i="29"/>
  <c r="AA328" i="29"/>
  <c r="AB328" i="29"/>
  <c r="AC328" i="29"/>
  <c r="AD328" i="29"/>
  <c r="AE328" i="29"/>
  <c r="AF328" i="29"/>
  <c r="AG328" i="29"/>
  <c r="AH328" i="29"/>
  <c r="AI328" i="29"/>
  <c r="AJ328" i="29"/>
  <c r="AK328" i="29"/>
  <c r="AL328" i="29"/>
  <c r="AM328" i="29"/>
  <c r="AN328" i="29"/>
  <c r="AO328" i="29"/>
  <c r="AP328" i="29"/>
  <c r="AQ328" i="29"/>
  <c r="AR328" i="29"/>
  <c r="AS328" i="29"/>
  <c r="AT328" i="29"/>
  <c r="AU328" i="29"/>
  <c r="AV328" i="29"/>
  <c r="AW328" i="29"/>
  <c r="AX328" i="29"/>
  <c r="AY328" i="29"/>
  <c r="AZ328" i="29"/>
  <c r="BA328" i="29"/>
  <c r="BB328" i="29"/>
  <c r="BC328" i="29"/>
  <c r="BD328" i="29"/>
  <c r="BE328" i="29"/>
  <c r="BF328" i="29"/>
  <c r="BG328" i="29"/>
  <c r="BH328" i="29"/>
  <c r="BI328" i="29"/>
  <c r="BJ328" i="29"/>
  <c r="BK328" i="29"/>
  <c r="BL328" i="29"/>
  <c r="BM328" i="29"/>
  <c r="BN328" i="29"/>
  <c r="BO328" i="29"/>
  <c r="BP328" i="29"/>
  <c r="BQ328" i="29"/>
  <c r="BR328" i="29"/>
  <c r="BS328" i="29"/>
  <c r="BT328" i="29"/>
  <c r="BU328" i="29"/>
  <c r="BV328" i="29"/>
  <c r="BW328" i="29"/>
  <c r="BX328" i="29"/>
  <c r="BY328" i="29"/>
  <c r="BZ328" i="29"/>
  <c r="CA328" i="29"/>
  <c r="CB328" i="29"/>
  <c r="CC328" i="29"/>
  <c r="CD328" i="29"/>
  <c r="CE328" i="29"/>
  <c r="CF328" i="29"/>
  <c r="CG328" i="29"/>
  <c r="CH328" i="29"/>
  <c r="CI328" i="29"/>
  <c r="CJ328" i="29"/>
  <c r="CK328" i="29"/>
  <c r="CL328" i="29"/>
  <c r="CM328" i="29"/>
  <c r="CN328" i="29"/>
  <c r="CO328" i="29"/>
  <c r="CP328" i="29"/>
  <c r="CQ328" i="29"/>
  <c r="CR328" i="29"/>
  <c r="CS328" i="29"/>
  <c r="CT328" i="29"/>
  <c r="CU328" i="29"/>
  <c r="CV328" i="29"/>
  <c r="CW328" i="29"/>
  <c r="CX328" i="29"/>
  <c r="CY328" i="29"/>
  <c r="CZ328" i="29"/>
  <c r="DA328" i="29"/>
  <c r="DB328" i="29"/>
  <c r="DC328" i="29"/>
  <c r="DD328" i="29"/>
  <c r="DE328" i="29"/>
  <c r="DF328" i="29"/>
  <c r="DG328" i="29"/>
  <c r="DH328" i="29"/>
  <c r="DI328" i="29"/>
  <c r="DJ328" i="29"/>
  <c r="DK328" i="29"/>
  <c r="DL328" i="29"/>
  <c r="DM328" i="29"/>
  <c r="DN328" i="29"/>
  <c r="DO328" i="29"/>
  <c r="DP328" i="29"/>
  <c r="DQ328" i="29"/>
  <c r="DR328" i="29"/>
  <c r="DS328" i="29"/>
  <c r="DT328" i="29"/>
  <c r="DU328" i="29"/>
  <c r="DV328" i="29"/>
  <c r="DW328" i="29"/>
  <c r="DX328" i="29"/>
  <c r="DY328" i="29"/>
  <c r="DZ328" i="29"/>
  <c r="EA328" i="29"/>
  <c r="EB328" i="29"/>
  <c r="EC328" i="29"/>
  <c r="ED328" i="29"/>
  <c r="EE328" i="29"/>
  <c r="EF328" i="29"/>
  <c r="EG328" i="29"/>
  <c r="EH328" i="29"/>
  <c r="EI328" i="29"/>
  <c r="EJ328" i="29"/>
  <c r="EK328" i="29"/>
  <c r="EL328" i="29"/>
  <c r="EM328" i="29"/>
  <c r="EN328" i="29"/>
  <c r="EO328" i="29"/>
  <c r="EP328" i="29"/>
  <c r="EQ328" i="29"/>
  <c r="ER328" i="29"/>
  <c r="ES328" i="29"/>
  <c r="ET328" i="29"/>
  <c r="EU328" i="29"/>
  <c r="EV328" i="29"/>
  <c r="EW328" i="29"/>
  <c r="EX328" i="29"/>
  <c r="EY328" i="29"/>
  <c r="EZ328" i="29"/>
  <c r="FA328" i="29"/>
  <c r="FB328" i="29"/>
  <c r="FC328" i="29"/>
  <c r="FD328" i="29"/>
  <c r="FE328" i="29"/>
  <c r="FF328" i="29"/>
  <c r="FG328" i="29"/>
  <c r="FH328" i="29"/>
  <c r="FI328" i="29"/>
  <c r="FJ328" i="29"/>
  <c r="FK328" i="29"/>
  <c r="FL328" i="29"/>
  <c r="FM328" i="29"/>
  <c r="FN328" i="29"/>
  <c r="FO328" i="29"/>
  <c r="FP328" i="29"/>
  <c r="FQ328" i="29"/>
  <c r="FR328" i="29"/>
  <c r="FS328" i="29"/>
  <c r="FT328" i="29"/>
  <c r="FU328" i="29"/>
  <c r="FV328" i="29"/>
  <c r="FW328" i="29"/>
  <c r="FX328" i="29"/>
  <c r="FY328" i="29"/>
  <c r="FZ328" i="29"/>
  <c r="GA328" i="29"/>
  <c r="GB328" i="29"/>
  <c r="GC328" i="29"/>
  <c r="GD328" i="29"/>
  <c r="GE328" i="29"/>
  <c r="GF328" i="29"/>
  <c r="GG328" i="29"/>
  <c r="GH328" i="29"/>
  <c r="GI328" i="29"/>
  <c r="GJ328" i="29"/>
  <c r="GK328" i="29"/>
  <c r="GL328" i="29"/>
  <c r="GM328" i="29"/>
  <c r="GN328" i="29"/>
  <c r="GO328" i="29"/>
  <c r="GP328" i="29"/>
  <c r="GQ328" i="29"/>
  <c r="GR328" i="29"/>
  <c r="GS328" i="29"/>
  <c r="GT328" i="29"/>
  <c r="GU328" i="29"/>
  <c r="GV328" i="29"/>
  <c r="GW328" i="29"/>
  <c r="GX328" i="29"/>
  <c r="GY328" i="29"/>
  <c r="GZ328" i="29"/>
  <c r="HA328" i="29"/>
  <c r="HB328" i="29"/>
  <c r="HC328" i="29"/>
  <c r="HD328" i="29"/>
  <c r="HE328" i="29"/>
  <c r="HF328" i="29"/>
  <c r="HG328" i="29"/>
  <c r="HH328" i="29"/>
  <c r="HI328" i="29"/>
  <c r="HJ328" i="29"/>
  <c r="HK328" i="29"/>
  <c r="HL328" i="29"/>
  <c r="HM328" i="29"/>
  <c r="HN328" i="29"/>
  <c r="HO328" i="29"/>
  <c r="HP328" i="29"/>
  <c r="HQ328" i="29"/>
  <c r="HR328" i="29"/>
  <c r="HS328" i="29"/>
  <c r="HT328" i="29"/>
  <c r="HU328" i="29"/>
  <c r="HV328" i="29"/>
  <c r="HW328" i="29"/>
  <c r="HX328" i="29"/>
  <c r="HY328" i="29"/>
  <c r="HZ328" i="29"/>
  <c r="IA328" i="29"/>
  <c r="IB328" i="29"/>
  <c r="IC328" i="29"/>
  <c r="ID328" i="29"/>
  <c r="IE328" i="29"/>
  <c r="IF328" i="29"/>
  <c r="IG328" i="29"/>
  <c r="IH328" i="29"/>
  <c r="II328" i="29"/>
  <c r="IJ328" i="29"/>
  <c r="IK328" i="29"/>
  <c r="IL328" i="29"/>
  <c r="IM328" i="29"/>
  <c r="IN328" i="29"/>
  <c r="IO328" i="29"/>
  <c r="IP328" i="29"/>
  <c r="IQ328" i="29"/>
  <c r="IR328" i="29"/>
  <c r="IS328" i="29"/>
  <c r="IT328" i="29"/>
  <c r="IU328" i="29"/>
  <c r="IV328" i="29"/>
  <c r="IW328" i="29"/>
  <c r="IX328" i="29"/>
  <c r="IY328" i="29"/>
  <c r="IZ328" i="29"/>
  <c r="JA328" i="29"/>
  <c r="JB328" i="29"/>
  <c r="JC328" i="29"/>
  <c r="JD328" i="29"/>
  <c r="JE328" i="29"/>
  <c r="JF328" i="29"/>
  <c r="JG328" i="29"/>
  <c r="JH328" i="29"/>
  <c r="JI328" i="29"/>
  <c r="JJ328" i="29"/>
  <c r="JK328" i="29"/>
  <c r="JL328" i="29"/>
  <c r="JM328" i="29"/>
  <c r="JN328" i="29"/>
  <c r="JO328" i="29"/>
  <c r="JP328" i="29"/>
  <c r="JQ328" i="29"/>
  <c r="JR328" i="29"/>
  <c r="JS328" i="29"/>
  <c r="JT328" i="29"/>
  <c r="JU328" i="29"/>
  <c r="JV328" i="29"/>
  <c r="JW328" i="29"/>
  <c r="JX328" i="29"/>
  <c r="JY328" i="29"/>
  <c r="JZ328" i="29"/>
  <c r="KA328" i="29"/>
  <c r="KB328" i="29"/>
  <c r="KC328" i="29"/>
  <c r="KD328" i="29"/>
  <c r="KE328" i="29"/>
  <c r="KF328" i="29"/>
  <c r="KG328" i="29"/>
  <c r="KH328" i="29"/>
  <c r="KI328" i="29"/>
  <c r="KJ328" i="29"/>
  <c r="KK328" i="29"/>
  <c r="KL328" i="29"/>
  <c r="KM328" i="29"/>
  <c r="KN328" i="29"/>
  <c r="KO328" i="29"/>
  <c r="KP328" i="29"/>
  <c r="KQ328" i="29"/>
  <c r="KR328" i="29"/>
  <c r="KS328" i="29"/>
  <c r="KT328" i="29"/>
  <c r="KU328" i="29"/>
  <c r="KV328" i="29"/>
  <c r="KW328" i="29"/>
  <c r="KX328" i="29"/>
  <c r="KY328" i="29"/>
  <c r="KZ328" i="29"/>
  <c r="LA328" i="29"/>
  <c r="LB328" i="29"/>
  <c r="LC328" i="29"/>
  <c r="LD328" i="29"/>
  <c r="LE328" i="29"/>
  <c r="LF328" i="29"/>
  <c r="LG328" i="29"/>
  <c r="LH328" i="29"/>
  <c r="LI328" i="29"/>
  <c r="LJ328" i="29"/>
  <c r="LK328" i="29"/>
  <c r="LL328" i="29"/>
  <c r="LM328" i="29"/>
  <c r="LN328" i="29"/>
  <c r="LO328" i="29"/>
  <c r="LP328" i="29"/>
  <c r="LQ328" i="29"/>
  <c r="LR328" i="29"/>
  <c r="LS328" i="29"/>
  <c r="LT328" i="29"/>
  <c r="LU328" i="29"/>
  <c r="LV328" i="29"/>
  <c r="LW328" i="29"/>
  <c r="LX328" i="29"/>
  <c r="LY328" i="29"/>
  <c r="LZ328" i="29"/>
  <c r="MA328" i="29"/>
  <c r="MB328" i="29"/>
  <c r="MC328" i="29"/>
  <c r="MD328" i="29"/>
  <c r="ME328" i="29"/>
  <c r="MF328" i="29"/>
  <c r="MG328" i="29"/>
  <c r="MH328" i="29"/>
  <c r="MI328" i="29"/>
  <c r="MJ328" i="29"/>
  <c r="MK328" i="29"/>
  <c r="ML328" i="29"/>
  <c r="MM328" i="29"/>
  <c r="MN328" i="29"/>
  <c r="MO328" i="29"/>
  <c r="MP328" i="29"/>
  <c r="MQ328" i="29"/>
  <c r="MR328" i="29"/>
  <c r="MS328" i="29"/>
  <c r="MT328" i="29"/>
  <c r="MU328" i="29"/>
  <c r="MV328" i="29"/>
  <c r="MW328" i="29"/>
  <c r="MX328" i="29"/>
  <c r="MY328" i="29"/>
  <c r="MZ328" i="29"/>
  <c r="NA328" i="29"/>
  <c r="NB328" i="29"/>
  <c r="NC328" i="29"/>
  <c r="ND328" i="29"/>
  <c r="NE328" i="29"/>
  <c r="NF328" i="29"/>
  <c r="NG328" i="29"/>
  <c r="NH328" i="29"/>
  <c r="NI328" i="29"/>
  <c r="NJ328" i="29"/>
  <c r="NK328" i="29"/>
  <c r="NL328" i="29"/>
  <c r="NM328" i="29"/>
  <c r="NN328" i="29"/>
  <c r="NO328" i="29"/>
  <c r="NP328" i="29"/>
  <c r="NQ328" i="29"/>
  <c r="NR328" i="29"/>
  <c r="NS328" i="29"/>
  <c r="NT328" i="29"/>
  <c r="NU328" i="29"/>
  <c r="NV328" i="29"/>
  <c r="NW328" i="29"/>
  <c r="NX328" i="29"/>
  <c r="NY328" i="29"/>
  <c r="NZ328" i="29"/>
  <c r="OA328" i="29"/>
  <c r="OB328" i="29"/>
  <c r="OC328" i="29"/>
  <c r="OD328" i="29"/>
  <c r="OE328" i="29"/>
  <c r="OF328" i="29"/>
  <c r="OG328" i="29"/>
  <c r="OH328" i="29"/>
  <c r="OI328" i="29"/>
  <c r="OJ328" i="29"/>
  <c r="OK328" i="29"/>
  <c r="OL328" i="29"/>
  <c r="OM328" i="29"/>
  <c r="ON328" i="29"/>
  <c r="OO328" i="29"/>
  <c r="OP328" i="29"/>
  <c r="OQ328" i="29"/>
  <c r="OR328" i="29"/>
  <c r="OS328" i="29"/>
  <c r="OT328" i="29"/>
  <c r="OU328" i="29"/>
  <c r="OV328" i="29"/>
  <c r="OW328" i="29"/>
  <c r="OX328" i="29"/>
  <c r="OY328" i="29"/>
  <c r="OZ328" i="29"/>
  <c r="PA328" i="29"/>
  <c r="PB328" i="29"/>
  <c r="PC328" i="29"/>
  <c r="PD328" i="29"/>
  <c r="PE328" i="29"/>
  <c r="PF328" i="29"/>
  <c r="PG328" i="29"/>
  <c r="PH328" i="29"/>
  <c r="PI328" i="29"/>
  <c r="PJ328" i="29"/>
  <c r="PK328" i="29"/>
  <c r="PL328" i="29"/>
  <c r="PM328" i="29"/>
  <c r="PN328" i="29"/>
  <c r="PO328" i="29"/>
  <c r="PP328" i="29"/>
  <c r="PQ328" i="29"/>
  <c r="PR328" i="29"/>
  <c r="PS328" i="29"/>
  <c r="PT328" i="29"/>
  <c r="PU328" i="29"/>
  <c r="PV328" i="29"/>
  <c r="PW328" i="29"/>
  <c r="PX328" i="29"/>
  <c r="PY328" i="29"/>
  <c r="PZ328" i="29"/>
  <c r="QA328" i="29"/>
  <c r="QB328" i="29"/>
  <c r="QC328" i="29"/>
  <c r="QD328" i="29"/>
  <c r="QE328" i="29"/>
  <c r="QF328" i="29"/>
  <c r="QG328" i="29"/>
  <c r="QH328" i="29"/>
  <c r="QI328" i="29"/>
  <c r="QJ328" i="29"/>
  <c r="QK328" i="29"/>
  <c r="QL328" i="29"/>
  <c r="QM328" i="29"/>
  <c r="QN328" i="29"/>
  <c r="QO328" i="29"/>
  <c r="QP328" i="29"/>
  <c r="QQ328" i="29"/>
  <c r="QR328" i="29"/>
  <c r="QS328" i="29"/>
  <c r="QT328" i="29"/>
  <c r="QU328" i="29"/>
  <c r="QV328" i="29"/>
  <c r="QW328" i="29"/>
  <c r="QX328" i="29"/>
  <c r="QY328" i="29"/>
  <c r="QZ328" i="29"/>
  <c r="RA328" i="29"/>
  <c r="RB328" i="29"/>
  <c r="RC328" i="29"/>
  <c r="RD328" i="29"/>
  <c r="RE328" i="29"/>
  <c r="RF328" i="29"/>
  <c r="RG328" i="29"/>
  <c r="RH328" i="29"/>
  <c r="RI328" i="29"/>
  <c r="RJ328" i="29"/>
  <c r="RK328" i="29"/>
  <c r="RL328" i="29"/>
  <c r="RM328" i="29"/>
  <c r="RN328" i="29"/>
  <c r="RO328" i="29"/>
  <c r="RP328" i="29"/>
  <c r="RQ328" i="29"/>
  <c r="RR328" i="29"/>
  <c r="RS328" i="29"/>
  <c r="RT328" i="29"/>
  <c r="RU328" i="29"/>
  <c r="RV328" i="29"/>
  <c r="RW328" i="29"/>
  <c r="RX328" i="29"/>
  <c r="RY328" i="29"/>
  <c r="RZ328" i="29"/>
  <c r="SA328" i="29"/>
  <c r="SB328" i="29"/>
  <c r="SC328" i="29"/>
  <c r="SD328" i="29"/>
  <c r="SE328" i="29"/>
  <c r="SF328" i="29"/>
  <c r="SG328" i="29"/>
  <c r="SH328" i="29"/>
  <c r="SI328" i="29"/>
  <c r="SJ328" i="29"/>
  <c r="SK328" i="29"/>
  <c r="SL328" i="29"/>
  <c r="SM328" i="29"/>
  <c r="SN328" i="29"/>
  <c r="SO328" i="29"/>
  <c r="SP328" i="29"/>
  <c r="SQ328" i="29"/>
  <c r="SR328" i="29"/>
  <c r="SS328" i="29"/>
  <c r="B329" i="29"/>
  <c r="C329" i="29"/>
  <c r="D329" i="29"/>
  <c r="E329" i="29"/>
  <c r="F329" i="29"/>
  <c r="G329" i="29"/>
  <c r="H329" i="29"/>
  <c r="I329" i="29"/>
  <c r="J329" i="29"/>
  <c r="K329" i="29"/>
  <c r="L329" i="29"/>
  <c r="M329" i="29"/>
  <c r="N329" i="29"/>
  <c r="O329" i="29"/>
  <c r="P329" i="29"/>
  <c r="Q329" i="29"/>
  <c r="R329" i="29"/>
  <c r="S329" i="29"/>
  <c r="T329" i="29"/>
  <c r="U329" i="29"/>
  <c r="V329" i="29"/>
  <c r="W329" i="29"/>
  <c r="X329" i="29"/>
  <c r="Y329" i="29"/>
  <c r="Z329" i="29"/>
  <c r="AA329" i="29"/>
  <c r="AB329" i="29"/>
  <c r="AC329" i="29"/>
  <c r="AD329" i="29"/>
  <c r="AE329" i="29"/>
  <c r="AF329" i="29"/>
  <c r="AG329" i="29"/>
  <c r="AH329" i="29"/>
  <c r="AI329" i="29"/>
  <c r="AJ329" i="29"/>
  <c r="AK329" i="29"/>
  <c r="AL329" i="29"/>
  <c r="AM329" i="29"/>
  <c r="AN329" i="29"/>
  <c r="AO329" i="29"/>
  <c r="AP329" i="29"/>
  <c r="AQ329" i="29"/>
  <c r="AR329" i="29"/>
  <c r="AS329" i="29"/>
  <c r="AT329" i="29"/>
  <c r="AU329" i="29"/>
  <c r="AV329" i="29"/>
  <c r="AW329" i="29"/>
  <c r="AX329" i="29"/>
  <c r="AY329" i="29"/>
  <c r="AZ329" i="29"/>
  <c r="BA329" i="29"/>
  <c r="BB329" i="29"/>
  <c r="BC329" i="29"/>
  <c r="BD329" i="29"/>
  <c r="BE329" i="29"/>
  <c r="BF329" i="29"/>
  <c r="BG329" i="29"/>
  <c r="BH329" i="29"/>
  <c r="BI329" i="29"/>
  <c r="BJ329" i="29"/>
  <c r="BK329" i="29"/>
  <c r="BL329" i="29"/>
  <c r="BM329" i="29"/>
  <c r="BN329" i="29"/>
  <c r="BO329" i="29"/>
  <c r="BP329" i="29"/>
  <c r="BQ329" i="29"/>
  <c r="BR329" i="29"/>
  <c r="BS329" i="29"/>
  <c r="BT329" i="29"/>
  <c r="BU329" i="29"/>
  <c r="BV329" i="29"/>
  <c r="BW329" i="29"/>
  <c r="BX329" i="29"/>
  <c r="BY329" i="29"/>
  <c r="BZ329" i="29"/>
  <c r="CA329" i="29"/>
  <c r="CB329" i="29"/>
  <c r="CC329" i="29"/>
  <c r="CD329" i="29"/>
  <c r="CE329" i="29"/>
  <c r="CF329" i="29"/>
  <c r="CG329" i="29"/>
  <c r="CH329" i="29"/>
  <c r="CI329" i="29"/>
  <c r="CJ329" i="29"/>
  <c r="CK329" i="29"/>
  <c r="CL329" i="29"/>
  <c r="CM329" i="29"/>
  <c r="CN329" i="29"/>
  <c r="CO329" i="29"/>
  <c r="CP329" i="29"/>
  <c r="CQ329" i="29"/>
  <c r="CR329" i="29"/>
  <c r="CS329" i="29"/>
  <c r="CT329" i="29"/>
  <c r="CU329" i="29"/>
  <c r="CV329" i="29"/>
  <c r="CW329" i="29"/>
  <c r="CX329" i="29"/>
  <c r="CY329" i="29"/>
  <c r="CZ329" i="29"/>
  <c r="DA329" i="29"/>
  <c r="DB329" i="29"/>
  <c r="DC329" i="29"/>
  <c r="DD329" i="29"/>
  <c r="DE329" i="29"/>
  <c r="DF329" i="29"/>
  <c r="DG329" i="29"/>
  <c r="DH329" i="29"/>
  <c r="DI329" i="29"/>
  <c r="DJ329" i="29"/>
  <c r="DK329" i="29"/>
  <c r="DL329" i="29"/>
  <c r="DM329" i="29"/>
  <c r="DN329" i="29"/>
  <c r="DO329" i="29"/>
  <c r="DP329" i="29"/>
  <c r="DQ329" i="29"/>
  <c r="DR329" i="29"/>
  <c r="DS329" i="29"/>
  <c r="DT329" i="29"/>
  <c r="DU329" i="29"/>
  <c r="DV329" i="29"/>
  <c r="DW329" i="29"/>
  <c r="DX329" i="29"/>
  <c r="DY329" i="29"/>
  <c r="DZ329" i="29"/>
  <c r="EA329" i="29"/>
  <c r="EB329" i="29"/>
  <c r="EC329" i="29"/>
  <c r="ED329" i="29"/>
  <c r="EE329" i="29"/>
  <c r="EF329" i="29"/>
  <c r="EG329" i="29"/>
  <c r="EH329" i="29"/>
  <c r="EI329" i="29"/>
  <c r="EJ329" i="29"/>
  <c r="EK329" i="29"/>
  <c r="EL329" i="29"/>
  <c r="EM329" i="29"/>
  <c r="EN329" i="29"/>
  <c r="EO329" i="29"/>
  <c r="EP329" i="29"/>
  <c r="EQ329" i="29"/>
  <c r="ER329" i="29"/>
  <c r="ES329" i="29"/>
  <c r="ET329" i="29"/>
  <c r="EU329" i="29"/>
  <c r="EV329" i="29"/>
  <c r="EW329" i="29"/>
  <c r="EX329" i="29"/>
  <c r="EY329" i="29"/>
  <c r="EZ329" i="29"/>
  <c r="FA329" i="29"/>
  <c r="FB329" i="29"/>
  <c r="FC329" i="29"/>
  <c r="FD329" i="29"/>
  <c r="FE329" i="29"/>
  <c r="FF329" i="29"/>
  <c r="FG329" i="29"/>
  <c r="FH329" i="29"/>
  <c r="FI329" i="29"/>
  <c r="FJ329" i="29"/>
  <c r="FK329" i="29"/>
  <c r="FL329" i="29"/>
  <c r="FM329" i="29"/>
  <c r="FN329" i="29"/>
  <c r="FO329" i="29"/>
  <c r="FP329" i="29"/>
  <c r="FQ329" i="29"/>
  <c r="FR329" i="29"/>
  <c r="FS329" i="29"/>
  <c r="FT329" i="29"/>
  <c r="FU329" i="29"/>
  <c r="FV329" i="29"/>
  <c r="FW329" i="29"/>
  <c r="FX329" i="29"/>
  <c r="FY329" i="29"/>
  <c r="FZ329" i="29"/>
  <c r="GA329" i="29"/>
  <c r="GB329" i="29"/>
  <c r="GC329" i="29"/>
  <c r="GD329" i="29"/>
  <c r="GE329" i="29"/>
  <c r="GF329" i="29"/>
  <c r="GG329" i="29"/>
  <c r="GH329" i="29"/>
  <c r="GI329" i="29"/>
  <c r="GJ329" i="29"/>
  <c r="GK329" i="29"/>
  <c r="GL329" i="29"/>
  <c r="GM329" i="29"/>
  <c r="GN329" i="29"/>
  <c r="GO329" i="29"/>
  <c r="GP329" i="29"/>
  <c r="GQ329" i="29"/>
  <c r="GR329" i="29"/>
  <c r="GS329" i="29"/>
  <c r="GT329" i="29"/>
  <c r="GU329" i="29"/>
  <c r="GV329" i="29"/>
  <c r="GW329" i="29"/>
  <c r="GX329" i="29"/>
  <c r="GY329" i="29"/>
  <c r="GZ329" i="29"/>
  <c r="HA329" i="29"/>
  <c r="HB329" i="29"/>
  <c r="HC329" i="29"/>
  <c r="HD329" i="29"/>
  <c r="HE329" i="29"/>
  <c r="HF329" i="29"/>
  <c r="HG329" i="29"/>
  <c r="HH329" i="29"/>
  <c r="HI329" i="29"/>
  <c r="HJ329" i="29"/>
  <c r="HK329" i="29"/>
  <c r="HL329" i="29"/>
  <c r="HM329" i="29"/>
  <c r="HN329" i="29"/>
  <c r="HO329" i="29"/>
  <c r="HP329" i="29"/>
  <c r="HQ329" i="29"/>
  <c r="HR329" i="29"/>
  <c r="HS329" i="29"/>
  <c r="HT329" i="29"/>
  <c r="HU329" i="29"/>
  <c r="HV329" i="29"/>
  <c r="HW329" i="29"/>
  <c r="HX329" i="29"/>
  <c r="HY329" i="29"/>
  <c r="HZ329" i="29"/>
  <c r="IA329" i="29"/>
  <c r="IB329" i="29"/>
  <c r="IC329" i="29"/>
  <c r="ID329" i="29"/>
  <c r="IE329" i="29"/>
  <c r="IF329" i="29"/>
  <c r="IG329" i="29"/>
  <c r="IH329" i="29"/>
  <c r="II329" i="29"/>
  <c r="IJ329" i="29"/>
  <c r="IK329" i="29"/>
  <c r="IL329" i="29"/>
  <c r="IM329" i="29"/>
  <c r="IN329" i="29"/>
  <c r="IO329" i="29"/>
  <c r="IP329" i="29"/>
  <c r="IQ329" i="29"/>
  <c r="IR329" i="29"/>
  <c r="IS329" i="29"/>
  <c r="IT329" i="29"/>
  <c r="IU329" i="29"/>
  <c r="IV329" i="29"/>
  <c r="IW329" i="29"/>
  <c r="IX329" i="29"/>
  <c r="IY329" i="29"/>
  <c r="IZ329" i="29"/>
  <c r="JA329" i="29"/>
  <c r="JB329" i="29"/>
  <c r="JC329" i="29"/>
  <c r="JD329" i="29"/>
  <c r="JE329" i="29"/>
  <c r="JF329" i="29"/>
  <c r="JG329" i="29"/>
  <c r="JH329" i="29"/>
  <c r="JI329" i="29"/>
  <c r="JJ329" i="29"/>
  <c r="JK329" i="29"/>
  <c r="JL329" i="29"/>
  <c r="JM329" i="29"/>
  <c r="JN329" i="29"/>
  <c r="JO329" i="29"/>
  <c r="JP329" i="29"/>
  <c r="JQ329" i="29"/>
  <c r="JR329" i="29"/>
  <c r="JS329" i="29"/>
  <c r="JT329" i="29"/>
  <c r="JU329" i="29"/>
  <c r="JV329" i="29"/>
  <c r="JW329" i="29"/>
  <c r="JX329" i="29"/>
  <c r="JY329" i="29"/>
  <c r="JZ329" i="29"/>
  <c r="KA329" i="29"/>
  <c r="KB329" i="29"/>
  <c r="KC329" i="29"/>
  <c r="KD329" i="29"/>
  <c r="KE329" i="29"/>
  <c r="KF329" i="29"/>
  <c r="KG329" i="29"/>
  <c r="KH329" i="29"/>
  <c r="KI329" i="29"/>
  <c r="KJ329" i="29"/>
  <c r="KK329" i="29"/>
  <c r="KL329" i="29"/>
  <c r="KM329" i="29"/>
  <c r="KN329" i="29"/>
  <c r="KO329" i="29"/>
  <c r="KP329" i="29"/>
  <c r="KQ329" i="29"/>
  <c r="KR329" i="29"/>
  <c r="KS329" i="29"/>
  <c r="KT329" i="29"/>
  <c r="KU329" i="29"/>
  <c r="KV329" i="29"/>
  <c r="KW329" i="29"/>
  <c r="KX329" i="29"/>
  <c r="KY329" i="29"/>
  <c r="KZ329" i="29"/>
  <c r="LA329" i="29"/>
  <c r="LB329" i="29"/>
  <c r="LC329" i="29"/>
  <c r="LD329" i="29"/>
  <c r="LE329" i="29"/>
  <c r="LF329" i="29"/>
  <c r="LG329" i="29"/>
  <c r="LH329" i="29"/>
  <c r="LI329" i="29"/>
  <c r="LJ329" i="29"/>
  <c r="LK329" i="29"/>
  <c r="LL329" i="29"/>
  <c r="LM329" i="29"/>
  <c r="LN329" i="29"/>
  <c r="LO329" i="29"/>
  <c r="LP329" i="29"/>
  <c r="LQ329" i="29"/>
  <c r="LR329" i="29"/>
  <c r="LS329" i="29"/>
  <c r="LT329" i="29"/>
  <c r="LU329" i="29"/>
  <c r="LV329" i="29"/>
  <c r="LW329" i="29"/>
  <c r="LX329" i="29"/>
  <c r="LY329" i="29"/>
  <c r="LZ329" i="29"/>
  <c r="MA329" i="29"/>
  <c r="MB329" i="29"/>
  <c r="MC329" i="29"/>
  <c r="MD329" i="29"/>
  <c r="ME329" i="29"/>
  <c r="MF329" i="29"/>
  <c r="MG329" i="29"/>
  <c r="MH329" i="29"/>
  <c r="MI329" i="29"/>
  <c r="MJ329" i="29"/>
  <c r="MK329" i="29"/>
  <c r="ML329" i="29"/>
  <c r="MM329" i="29"/>
  <c r="MN329" i="29"/>
  <c r="MO329" i="29"/>
  <c r="MP329" i="29"/>
  <c r="MQ329" i="29"/>
  <c r="MR329" i="29"/>
  <c r="MS329" i="29"/>
  <c r="MT329" i="29"/>
  <c r="MU329" i="29"/>
  <c r="MV329" i="29"/>
  <c r="MW329" i="29"/>
  <c r="MX329" i="29"/>
  <c r="MY329" i="29"/>
  <c r="MZ329" i="29"/>
  <c r="NA329" i="29"/>
  <c r="NB329" i="29"/>
  <c r="NC329" i="29"/>
  <c r="ND329" i="29"/>
  <c r="NE329" i="29"/>
  <c r="NF329" i="29"/>
  <c r="NG329" i="29"/>
  <c r="NH329" i="29"/>
  <c r="NI329" i="29"/>
  <c r="NJ329" i="29"/>
  <c r="NK329" i="29"/>
  <c r="NL329" i="29"/>
  <c r="NM329" i="29"/>
  <c r="NN329" i="29"/>
  <c r="NO329" i="29"/>
  <c r="NP329" i="29"/>
  <c r="NQ329" i="29"/>
  <c r="NR329" i="29"/>
  <c r="NS329" i="29"/>
  <c r="NT329" i="29"/>
  <c r="NU329" i="29"/>
  <c r="NV329" i="29"/>
  <c r="NW329" i="29"/>
  <c r="NX329" i="29"/>
  <c r="NY329" i="29"/>
  <c r="NZ329" i="29"/>
  <c r="OA329" i="29"/>
  <c r="OB329" i="29"/>
  <c r="OC329" i="29"/>
  <c r="OD329" i="29"/>
  <c r="OE329" i="29"/>
  <c r="OF329" i="29"/>
  <c r="OG329" i="29"/>
  <c r="OH329" i="29"/>
  <c r="OI329" i="29"/>
  <c r="OJ329" i="29"/>
  <c r="OK329" i="29"/>
  <c r="OL329" i="29"/>
  <c r="OM329" i="29"/>
  <c r="ON329" i="29"/>
  <c r="OO329" i="29"/>
  <c r="OP329" i="29"/>
  <c r="OQ329" i="29"/>
  <c r="OR329" i="29"/>
  <c r="OS329" i="29"/>
  <c r="OT329" i="29"/>
  <c r="OU329" i="29"/>
  <c r="OV329" i="29"/>
  <c r="OW329" i="29"/>
  <c r="OX329" i="29"/>
  <c r="OY329" i="29"/>
  <c r="OZ329" i="29"/>
  <c r="PA329" i="29"/>
  <c r="PB329" i="29"/>
  <c r="PC329" i="29"/>
  <c r="PD329" i="29"/>
  <c r="PE329" i="29"/>
  <c r="PF329" i="29"/>
  <c r="PG329" i="29"/>
  <c r="PH329" i="29"/>
  <c r="PI329" i="29"/>
  <c r="PJ329" i="29"/>
  <c r="PK329" i="29"/>
  <c r="PL329" i="29"/>
  <c r="PM329" i="29"/>
  <c r="PN329" i="29"/>
  <c r="PO329" i="29"/>
  <c r="PP329" i="29"/>
  <c r="PQ329" i="29"/>
  <c r="PR329" i="29"/>
  <c r="PS329" i="29"/>
  <c r="PT329" i="29"/>
  <c r="PU329" i="29"/>
  <c r="PV329" i="29"/>
  <c r="PW329" i="29"/>
  <c r="PX329" i="29"/>
  <c r="PY329" i="29"/>
  <c r="PZ329" i="29"/>
  <c r="QA329" i="29"/>
  <c r="QB329" i="29"/>
  <c r="QC329" i="29"/>
  <c r="QD329" i="29"/>
  <c r="QE329" i="29"/>
  <c r="QF329" i="29"/>
  <c r="QG329" i="29"/>
  <c r="QH329" i="29"/>
  <c r="QI329" i="29"/>
  <c r="QJ329" i="29"/>
  <c r="QK329" i="29"/>
  <c r="QL329" i="29"/>
  <c r="QM329" i="29"/>
  <c r="QN329" i="29"/>
  <c r="QO329" i="29"/>
  <c r="QP329" i="29"/>
  <c r="QQ329" i="29"/>
  <c r="QR329" i="29"/>
  <c r="QS329" i="29"/>
  <c r="QT329" i="29"/>
  <c r="QU329" i="29"/>
  <c r="QV329" i="29"/>
  <c r="QW329" i="29"/>
  <c r="QX329" i="29"/>
  <c r="QY329" i="29"/>
  <c r="QZ329" i="29"/>
  <c r="RA329" i="29"/>
  <c r="RB329" i="29"/>
  <c r="RC329" i="29"/>
  <c r="RD329" i="29"/>
  <c r="RE329" i="29"/>
  <c r="RF329" i="29"/>
  <c r="RG329" i="29"/>
  <c r="RH329" i="29"/>
  <c r="RI329" i="29"/>
  <c r="RJ329" i="29"/>
  <c r="RK329" i="29"/>
  <c r="RL329" i="29"/>
  <c r="RM329" i="29"/>
  <c r="RN329" i="29"/>
  <c r="RO329" i="29"/>
  <c r="RP329" i="29"/>
  <c r="RQ329" i="29"/>
  <c r="RR329" i="29"/>
  <c r="RS329" i="29"/>
  <c r="RT329" i="29"/>
  <c r="RU329" i="29"/>
  <c r="RV329" i="29"/>
  <c r="RW329" i="29"/>
  <c r="RX329" i="29"/>
  <c r="RY329" i="29"/>
  <c r="RZ329" i="29"/>
  <c r="SA329" i="29"/>
  <c r="SB329" i="29"/>
  <c r="SC329" i="29"/>
  <c r="SD329" i="29"/>
  <c r="SE329" i="29"/>
  <c r="SF329" i="29"/>
  <c r="SG329" i="29"/>
  <c r="SH329" i="29"/>
  <c r="SI329" i="29"/>
  <c r="SJ329" i="29"/>
  <c r="SK329" i="29"/>
  <c r="SL329" i="29"/>
  <c r="SM329" i="29"/>
  <c r="SN329" i="29"/>
  <c r="SO329" i="29"/>
  <c r="SP329" i="29"/>
  <c r="SQ329" i="29"/>
  <c r="SR329" i="29"/>
  <c r="SS329" i="29"/>
  <c r="B330" i="29"/>
  <c r="C330" i="29"/>
  <c r="D330" i="29"/>
  <c r="E330" i="29"/>
  <c r="F330" i="29"/>
  <c r="G330" i="29"/>
  <c r="H330" i="29"/>
  <c r="I330" i="29"/>
  <c r="J330" i="29"/>
  <c r="K330" i="29"/>
  <c r="L330" i="29"/>
  <c r="M330" i="29"/>
  <c r="N330" i="29"/>
  <c r="O330" i="29"/>
  <c r="P330" i="29"/>
  <c r="Q330" i="29"/>
  <c r="R330" i="29"/>
  <c r="S330" i="29"/>
  <c r="T330" i="29"/>
  <c r="U330" i="29"/>
  <c r="V330" i="29"/>
  <c r="W330" i="29"/>
  <c r="X330" i="29"/>
  <c r="Y330" i="29"/>
  <c r="Z330" i="29"/>
  <c r="AA330" i="29"/>
  <c r="AB330" i="29"/>
  <c r="AC330" i="29"/>
  <c r="AD330" i="29"/>
  <c r="AE330" i="29"/>
  <c r="AF330" i="29"/>
  <c r="AG330" i="29"/>
  <c r="AH330" i="29"/>
  <c r="AI330" i="29"/>
  <c r="AJ330" i="29"/>
  <c r="AK330" i="29"/>
  <c r="AL330" i="29"/>
  <c r="AM330" i="29"/>
  <c r="AN330" i="29"/>
  <c r="AO330" i="29"/>
  <c r="AP330" i="29"/>
  <c r="AQ330" i="29"/>
  <c r="AR330" i="29"/>
  <c r="AS330" i="29"/>
  <c r="AT330" i="29"/>
  <c r="AU330" i="29"/>
  <c r="AV330" i="29"/>
  <c r="AW330" i="29"/>
  <c r="AX330" i="29"/>
  <c r="AY330" i="29"/>
  <c r="AZ330" i="29"/>
  <c r="BA330" i="29"/>
  <c r="BB330" i="29"/>
  <c r="BC330" i="29"/>
  <c r="BD330" i="29"/>
  <c r="BE330" i="29"/>
  <c r="BF330" i="29"/>
  <c r="BG330" i="29"/>
  <c r="BH330" i="29"/>
  <c r="BI330" i="29"/>
  <c r="BJ330" i="29"/>
  <c r="BK330" i="29"/>
  <c r="BL330" i="29"/>
  <c r="BM330" i="29"/>
  <c r="BN330" i="29"/>
  <c r="BO330" i="29"/>
  <c r="BP330" i="29"/>
  <c r="BQ330" i="29"/>
  <c r="BR330" i="29"/>
  <c r="BS330" i="29"/>
  <c r="BT330" i="29"/>
  <c r="BU330" i="29"/>
  <c r="BV330" i="29"/>
  <c r="BW330" i="29"/>
  <c r="BX330" i="29"/>
  <c r="BY330" i="29"/>
  <c r="BZ330" i="29"/>
  <c r="CA330" i="29"/>
  <c r="CB330" i="29"/>
  <c r="CC330" i="29"/>
  <c r="CD330" i="29"/>
  <c r="CE330" i="29"/>
  <c r="CF330" i="29"/>
  <c r="CG330" i="29"/>
  <c r="CH330" i="29"/>
  <c r="CI330" i="29"/>
  <c r="CJ330" i="29"/>
  <c r="CK330" i="29"/>
  <c r="CL330" i="29"/>
  <c r="CM330" i="29"/>
  <c r="CN330" i="29"/>
  <c r="CO330" i="29"/>
  <c r="CP330" i="29"/>
  <c r="CQ330" i="29"/>
  <c r="CR330" i="29"/>
  <c r="CS330" i="29"/>
  <c r="CT330" i="29"/>
  <c r="CU330" i="29"/>
  <c r="CV330" i="29"/>
  <c r="CW330" i="29"/>
  <c r="CX330" i="29"/>
  <c r="CY330" i="29"/>
  <c r="CZ330" i="29"/>
  <c r="DA330" i="29"/>
  <c r="DB330" i="29"/>
  <c r="DC330" i="29"/>
  <c r="DD330" i="29"/>
  <c r="DE330" i="29"/>
  <c r="DF330" i="29"/>
  <c r="DG330" i="29"/>
  <c r="DH330" i="29"/>
  <c r="DI330" i="29"/>
  <c r="DJ330" i="29"/>
  <c r="DK330" i="29"/>
  <c r="DL330" i="29"/>
  <c r="DM330" i="29"/>
  <c r="DN330" i="29"/>
  <c r="DO330" i="29"/>
  <c r="DP330" i="29"/>
  <c r="DQ330" i="29"/>
  <c r="DR330" i="29"/>
  <c r="DS330" i="29"/>
  <c r="DT330" i="29"/>
  <c r="DU330" i="29"/>
  <c r="DV330" i="29"/>
  <c r="DW330" i="29"/>
  <c r="DX330" i="29"/>
  <c r="DY330" i="29"/>
  <c r="DZ330" i="29"/>
  <c r="EA330" i="29"/>
  <c r="EB330" i="29"/>
  <c r="EC330" i="29"/>
  <c r="ED330" i="29"/>
  <c r="EE330" i="29"/>
  <c r="EF330" i="29"/>
  <c r="EG330" i="29"/>
  <c r="EH330" i="29"/>
  <c r="EI330" i="29"/>
  <c r="EJ330" i="29"/>
  <c r="EK330" i="29"/>
  <c r="EL330" i="29"/>
  <c r="EM330" i="29"/>
  <c r="EN330" i="29"/>
  <c r="EO330" i="29"/>
  <c r="EP330" i="29"/>
  <c r="EQ330" i="29"/>
  <c r="ER330" i="29"/>
  <c r="ES330" i="29"/>
  <c r="ET330" i="29"/>
  <c r="EU330" i="29"/>
  <c r="EV330" i="29"/>
  <c r="EW330" i="29"/>
  <c r="EX330" i="29"/>
  <c r="EY330" i="29"/>
  <c r="EZ330" i="29"/>
  <c r="FA330" i="29"/>
  <c r="FB330" i="29"/>
  <c r="FC330" i="29"/>
  <c r="FD330" i="29"/>
  <c r="FE330" i="29"/>
  <c r="FF330" i="29"/>
  <c r="FG330" i="29"/>
  <c r="FH330" i="29"/>
  <c r="FI330" i="29"/>
  <c r="FJ330" i="29"/>
  <c r="FK330" i="29"/>
  <c r="FL330" i="29"/>
  <c r="FM330" i="29"/>
  <c r="FN330" i="29"/>
  <c r="FO330" i="29"/>
  <c r="FP330" i="29"/>
  <c r="FQ330" i="29"/>
  <c r="FR330" i="29"/>
  <c r="FS330" i="29"/>
  <c r="FT330" i="29"/>
  <c r="FU330" i="29"/>
  <c r="FV330" i="29"/>
  <c r="FW330" i="29"/>
  <c r="FX330" i="29"/>
  <c r="FY330" i="29"/>
  <c r="FZ330" i="29"/>
  <c r="GA330" i="29"/>
  <c r="GB330" i="29"/>
  <c r="GC330" i="29"/>
  <c r="GD330" i="29"/>
  <c r="GE330" i="29"/>
  <c r="GF330" i="29"/>
  <c r="GG330" i="29"/>
  <c r="GH330" i="29"/>
  <c r="GI330" i="29"/>
  <c r="GJ330" i="29"/>
  <c r="GK330" i="29"/>
  <c r="GL330" i="29"/>
  <c r="GM330" i="29"/>
  <c r="GN330" i="29"/>
  <c r="GO330" i="29"/>
  <c r="GP330" i="29"/>
  <c r="GQ330" i="29"/>
  <c r="GR330" i="29"/>
  <c r="GS330" i="29"/>
  <c r="GT330" i="29"/>
  <c r="GU330" i="29"/>
  <c r="GV330" i="29"/>
  <c r="GW330" i="29"/>
  <c r="GX330" i="29"/>
  <c r="GY330" i="29"/>
  <c r="GZ330" i="29"/>
  <c r="HA330" i="29"/>
  <c r="HB330" i="29"/>
  <c r="HC330" i="29"/>
  <c r="HD330" i="29"/>
  <c r="HE330" i="29"/>
  <c r="HF330" i="29"/>
  <c r="HG330" i="29"/>
  <c r="HH330" i="29"/>
  <c r="HI330" i="29"/>
  <c r="HJ330" i="29"/>
  <c r="HK330" i="29"/>
  <c r="HL330" i="29"/>
  <c r="HM330" i="29"/>
  <c r="HN330" i="29"/>
  <c r="HO330" i="29"/>
  <c r="HP330" i="29"/>
  <c r="HQ330" i="29"/>
  <c r="HR330" i="29"/>
  <c r="HS330" i="29"/>
  <c r="HT330" i="29"/>
  <c r="HU330" i="29"/>
  <c r="HV330" i="29"/>
  <c r="HW330" i="29"/>
  <c r="HX330" i="29"/>
  <c r="HY330" i="29"/>
  <c r="HZ330" i="29"/>
  <c r="IA330" i="29"/>
  <c r="IB330" i="29"/>
  <c r="IC330" i="29"/>
  <c r="ID330" i="29"/>
  <c r="IE330" i="29"/>
  <c r="IF330" i="29"/>
  <c r="IG330" i="29"/>
  <c r="IH330" i="29"/>
  <c r="II330" i="29"/>
  <c r="IJ330" i="29"/>
  <c r="IK330" i="29"/>
  <c r="IL330" i="29"/>
  <c r="IM330" i="29"/>
  <c r="IN330" i="29"/>
  <c r="IO330" i="29"/>
  <c r="IP330" i="29"/>
  <c r="IQ330" i="29"/>
  <c r="IR330" i="29"/>
  <c r="IS330" i="29"/>
  <c r="IT330" i="29"/>
  <c r="IU330" i="29"/>
  <c r="IV330" i="29"/>
  <c r="IW330" i="29"/>
  <c r="IX330" i="29"/>
  <c r="IY330" i="29"/>
  <c r="IZ330" i="29"/>
  <c r="JA330" i="29"/>
  <c r="JB330" i="29"/>
  <c r="JC330" i="29"/>
  <c r="JD330" i="29"/>
  <c r="JE330" i="29"/>
  <c r="JF330" i="29"/>
  <c r="JG330" i="29"/>
  <c r="JH330" i="29"/>
  <c r="JI330" i="29"/>
  <c r="JJ330" i="29"/>
  <c r="JK330" i="29"/>
  <c r="JL330" i="29"/>
  <c r="JM330" i="29"/>
  <c r="JN330" i="29"/>
  <c r="JO330" i="29"/>
  <c r="JP330" i="29"/>
  <c r="JQ330" i="29"/>
  <c r="JR330" i="29"/>
  <c r="JS330" i="29"/>
  <c r="JT330" i="29"/>
  <c r="JU330" i="29"/>
  <c r="JV330" i="29"/>
  <c r="JW330" i="29"/>
  <c r="JX330" i="29"/>
  <c r="JY330" i="29"/>
  <c r="JZ330" i="29"/>
  <c r="KA330" i="29"/>
  <c r="KB330" i="29"/>
  <c r="KC330" i="29"/>
  <c r="KD330" i="29"/>
  <c r="KE330" i="29"/>
  <c r="KF330" i="29"/>
  <c r="KG330" i="29"/>
  <c r="KH330" i="29"/>
  <c r="KI330" i="29"/>
  <c r="KJ330" i="29"/>
  <c r="KK330" i="29"/>
  <c r="KL330" i="29"/>
  <c r="KM330" i="29"/>
  <c r="KN330" i="29"/>
  <c r="KO330" i="29"/>
  <c r="KP330" i="29"/>
  <c r="KQ330" i="29"/>
  <c r="KR330" i="29"/>
  <c r="KS330" i="29"/>
  <c r="KT330" i="29"/>
  <c r="KU330" i="29"/>
  <c r="KV330" i="29"/>
  <c r="KW330" i="29"/>
  <c r="KX330" i="29"/>
  <c r="KY330" i="29"/>
  <c r="KZ330" i="29"/>
  <c r="LA330" i="29"/>
  <c r="LB330" i="29"/>
  <c r="LC330" i="29"/>
  <c r="LD330" i="29"/>
  <c r="LE330" i="29"/>
  <c r="LF330" i="29"/>
  <c r="LG330" i="29"/>
  <c r="LH330" i="29"/>
  <c r="LI330" i="29"/>
  <c r="LJ330" i="29"/>
  <c r="LK330" i="29"/>
  <c r="LL330" i="29"/>
  <c r="LM330" i="29"/>
  <c r="LN330" i="29"/>
  <c r="LO330" i="29"/>
  <c r="LP330" i="29"/>
  <c r="LQ330" i="29"/>
  <c r="LR330" i="29"/>
  <c r="LS330" i="29"/>
  <c r="LT330" i="29"/>
  <c r="LU330" i="29"/>
  <c r="LV330" i="29"/>
  <c r="LW330" i="29"/>
  <c r="LX330" i="29"/>
  <c r="LY330" i="29"/>
  <c r="LZ330" i="29"/>
  <c r="MA330" i="29"/>
  <c r="MB330" i="29"/>
  <c r="MC330" i="29"/>
  <c r="MD330" i="29"/>
  <c r="ME330" i="29"/>
  <c r="MF330" i="29"/>
  <c r="MG330" i="29"/>
  <c r="MH330" i="29"/>
  <c r="MI330" i="29"/>
  <c r="MJ330" i="29"/>
  <c r="MK330" i="29"/>
  <c r="ML330" i="29"/>
  <c r="MM330" i="29"/>
  <c r="MN330" i="29"/>
  <c r="MO330" i="29"/>
  <c r="MP330" i="29"/>
  <c r="MQ330" i="29"/>
  <c r="MR330" i="29"/>
  <c r="MS330" i="29"/>
  <c r="MT330" i="29"/>
  <c r="MU330" i="29"/>
  <c r="MV330" i="29"/>
  <c r="MW330" i="29"/>
  <c r="MX330" i="29"/>
  <c r="MY330" i="29"/>
  <c r="MZ330" i="29"/>
  <c r="NA330" i="29"/>
  <c r="NB330" i="29"/>
  <c r="NC330" i="29"/>
  <c r="ND330" i="29"/>
  <c r="NE330" i="29"/>
  <c r="NF330" i="29"/>
  <c r="NG330" i="29"/>
  <c r="NH330" i="29"/>
  <c r="NI330" i="29"/>
  <c r="NJ330" i="29"/>
  <c r="NK330" i="29"/>
  <c r="NL330" i="29"/>
  <c r="NM330" i="29"/>
  <c r="NN330" i="29"/>
  <c r="NO330" i="29"/>
  <c r="NP330" i="29"/>
  <c r="NQ330" i="29"/>
  <c r="NR330" i="29"/>
  <c r="NS330" i="29"/>
  <c r="NT330" i="29"/>
  <c r="NU330" i="29"/>
  <c r="NV330" i="29"/>
  <c r="NW330" i="29"/>
  <c r="NX330" i="29"/>
  <c r="NY330" i="29"/>
  <c r="NZ330" i="29"/>
  <c r="OA330" i="29"/>
  <c r="OB330" i="29"/>
  <c r="OC330" i="29"/>
  <c r="OD330" i="29"/>
  <c r="OE330" i="29"/>
  <c r="OF330" i="29"/>
  <c r="OG330" i="29"/>
  <c r="OH330" i="29"/>
  <c r="OI330" i="29"/>
  <c r="OJ330" i="29"/>
  <c r="OK330" i="29"/>
  <c r="OL330" i="29"/>
  <c r="OM330" i="29"/>
  <c r="ON330" i="29"/>
  <c r="OO330" i="29"/>
  <c r="OP330" i="29"/>
  <c r="OQ330" i="29"/>
  <c r="OR330" i="29"/>
  <c r="OS330" i="29"/>
  <c r="OT330" i="29"/>
  <c r="OU330" i="29"/>
  <c r="OV330" i="29"/>
  <c r="OW330" i="29"/>
  <c r="OX330" i="29"/>
  <c r="OY330" i="29"/>
  <c r="OZ330" i="29"/>
  <c r="PA330" i="29"/>
  <c r="PB330" i="29"/>
  <c r="PC330" i="29"/>
  <c r="PD330" i="29"/>
  <c r="PE330" i="29"/>
  <c r="PF330" i="29"/>
  <c r="PG330" i="29"/>
  <c r="PH330" i="29"/>
  <c r="PI330" i="29"/>
  <c r="PJ330" i="29"/>
  <c r="PK330" i="29"/>
  <c r="PL330" i="29"/>
  <c r="PM330" i="29"/>
  <c r="PN330" i="29"/>
  <c r="PO330" i="29"/>
  <c r="PP330" i="29"/>
  <c r="PQ330" i="29"/>
  <c r="PR330" i="29"/>
  <c r="PS330" i="29"/>
  <c r="PT330" i="29"/>
  <c r="PU330" i="29"/>
  <c r="PV330" i="29"/>
  <c r="PW330" i="29"/>
  <c r="PX330" i="29"/>
  <c r="PY330" i="29"/>
  <c r="PZ330" i="29"/>
  <c r="QA330" i="29"/>
  <c r="QB330" i="29"/>
  <c r="QC330" i="29"/>
  <c r="QD330" i="29"/>
  <c r="QE330" i="29"/>
  <c r="QF330" i="29"/>
  <c r="QG330" i="29"/>
  <c r="QH330" i="29"/>
  <c r="QI330" i="29"/>
  <c r="QJ330" i="29"/>
  <c r="QK330" i="29"/>
  <c r="QL330" i="29"/>
  <c r="QM330" i="29"/>
  <c r="QN330" i="29"/>
  <c r="QO330" i="29"/>
  <c r="QP330" i="29"/>
  <c r="QQ330" i="29"/>
  <c r="QR330" i="29"/>
  <c r="QS330" i="29"/>
  <c r="QT330" i="29"/>
  <c r="QU330" i="29"/>
  <c r="QV330" i="29"/>
  <c r="QW330" i="29"/>
  <c r="QX330" i="29"/>
  <c r="QY330" i="29"/>
  <c r="QZ330" i="29"/>
  <c r="RA330" i="29"/>
  <c r="RB330" i="29"/>
  <c r="RC330" i="29"/>
  <c r="RD330" i="29"/>
  <c r="RE330" i="29"/>
  <c r="RF330" i="29"/>
  <c r="RG330" i="29"/>
  <c r="RH330" i="29"/>
  <c r="RI330" i="29"/>
  <c r="RJ330" i="29"/>
  <c r="RK330" i="29"/>
  <c r="RL330" i="29"/>
  <c r="RM330" i="29"/>
  <c r="RN330" i="29"/>
  <c r="RO330" i="29"/>
  <c r="RP330" i="29"/>
  <c r="RQ330" i="29"/>
  <c r="RR330" i="29"/>
  <c r="RS330" i="29"/>
  <c r="RT330" i="29"/>
  <c r="RU330" i="29"/>
  <c r="RV330" i="29"/>
  <c r="RW330" i="29"/>
  <c r="RX330" i="29"/>
  <c r="RY330" i="29"/>
  <c r="RZ330" i="29"/>
  <c r="SA330" i="29"/>
  <c r="SB330" i="29"/>
  <c r="SC330" i="29"/>
  <c r="SD330" i="29"/>
  <c r="SE330" i="29"/>
  <c r="SF330" i="29"/>
  <c r="SG330" i="29"/>
  <c r="SH330" i="29"/>
  <c r="SI330" i="29"/>
  <c r="SJ330" i="29"/>
  <c r="SK330" i="29"/>
  <c r="SL330" i="29"/>
  <c r="SM330" i="29"/>
  <c r="SN330" i="29"/>
  <c r="SO330" i="29"/>
  <c r="SP330" i="29"/>
  <c r="SQ330" i="29"/>
  <c r="SR330" i="29"/>
  <c r="SS330" i="29"/>
  <c r="B331" i="29"/>
  <c r="C331" i="29"/>
  <c r="D331" i="29"/>
  <c r="E331" i="29"/>
  <c r="F331" i="29"/>
  <c r="G331" i="29"/>
  <c r="H331" i="29"/>
  <c r="I331" i="29"/>
  <c r="J331" i="29"/>
  <c r="K331" i="29"/>
  <c r="L331" i="29"/>
  <c r="M331" i="29"/>
  <c r="N331" i="29"/>
  <c r="O331" i="29"/>
  <c r="P331" i="29"/>
  <c r="Q331" i="29"/>
  <c r="R331" i="29"/>
  <c r="S331" i="29"/>
  <c r="T331" i="29"/>
  <c r="U331" i="29"/>
  <c r="V331" i="29"/>
  <c r="W331" i="29"/>
  <c r="X331" i="29"/>
  <c r="Y331" i="29"/>
  <c r="Z331" i="29"/>
  <c r="AA331" i="29"/>
  <c r="AB331" i="29"/>
  <c r="AC331" i="29"/>
  <c r="AD331" i="29"/>
  <c r="AE331" i="29"/>
  <c r="AF331" i="29"/>
  <c r="AG331" i="29"/>
  <c r="AH331" i="29"/>
  <c r="AI331" i="29"/>
  <c r="AJ331" i="29"/>
  <c r="AK331" i="29"/>
  <c r="AL331" i="29"/>
  <c r="AM331" i="29"/>
  <c r="AN331" i="29"/>
  <c r="AO331" i="29"/>
  <c r="AP331" i="29"/>
  <c r="AQ331" i="29"/>
  <c r="AR331" i="29"/>
  <c r="AS331" i="29"/>
  <c r="AT331" i="29"/>
  <c r="AU331" i="29"/>
  <c r="AV331" i="29"/>
  <c r="AW331" i="29"/>
  <c r="AX331" i="29"/>
  <c r="AY331" i="29"/>
  <c r="AZ331" i="29"/>
  <c r="BA331" i="29"/>
  <c r="BB331" i="29"/>
  <c r="BC331" i="29"/>
  <c r="BD331" i="29"/>
  <c r="BE331" i="29"/>
  <c r="BF331" i="29"/>
  <c r="BG331" i="29"/>
  <c r="BH331" i="29"/>
  <c r="BI331" i="29"/>
  <c r="BJ331" i="29"/>
  <c r="BK331" i="29"/>
  <c r="BL331" i="29"/>
  <c r="BM331" i="29"/>
  <c r="BN331" i="29"/>
  <c r="BO331" i="29"/>
  <c r="BP331" i="29"/>
  <c r="BQ331" i="29"/>
  <c r="BR331" i="29"/>
  <c r="BS331" i="29"/>
  <c r="BT331" i="29"/>
  <c r="BU331" i="29"/>
  <c r="BV331" i="29"/>
  <c r="BW331" i="29"/>
  <c r="BX331" i="29"/>
  <c r="BY331" i="29"/>
  <c r="BZ331" i="29"/>
  <c r="CA331" i="29"/>
  <c r="CB331" i="29"/>
  <c r="CC331" i="29"/>
  <c r="CD331" i="29"/>
  <c r="CE331" i="29"/>
  <c r="CF331" i="29"/>
  <c r="CG331" i="29"/>
  <c r="CH331" i="29"/>
  <c r="CI331" i="29"/>
  <c r="CJ331" i="29"/>
  <c r="CK331" i="29"/>
  <c r="CL331" i="29"/>
  <c r="CM331" i="29"/>
  <c r="CN331" i="29"/>
  <c r="CO331" i="29"/>
  <c r="CP331" i="29"/>
  <c r="CQ331" i="29"/>
  <c r="CR331" i="29"/>
  <c r="CS331" i="29"/>
  <c r="CT331" i="29"/>
  <c r="CU331" i="29"/>
  <c r="CV331" i="29"/>
  <c r="CW331" i="29"/>
  <c r="CX331" i="29"/>
  <c r="CY331" i="29"/>
  <c r="CZ331" i="29"/>
  <c r="DA331" i="29"/>
  <c r="DB331" i="29"/>
  <c r="DC331" i="29"/>
  <c r="DD331" i="29"/>
  <c r="DE331" i="29"/>
  <c r="DF331" i="29"/>
  <c r="DG331" i="29"/>
  <c r="DH331" i="29"/>
  <c r="DI331" i="29"/>
  <c r="DJ331" i="29"/>
  <c r="DK331" i="29"/>
  <c r="DL331" i="29"/>
  <c r="DM331" i="29"/>
  <c r="DN331" i="29"/>
  <c r="DO331" i="29"/>
  <c r="DP331" i="29"/>
  <c r="DQ331" i="29"/>
  <c r="DR331" i="29"/>
  <c r="DS331" i="29"/>
  <c r="DT331" i="29"/>
  <c r="DU331" i="29"/>
  <c r="DV331" i="29"/>
  <c r="DW331" i="29"/>
  <c r="DX331" i="29"/>
  <c r="DY331" i="29"/>
  <c r="DZ331" i="29"/>
  <c r="EA331" i="29"/>
  <c r="EB331" i="29"/>
  <c r="EC331" i="29"/>
  <c r="ED331" i="29"/>
  <c r="EE331" i="29"/>
  <c r="EF331" i="29"/>
  <c r="EG331" i="29"/>
  <c r="EH331" i="29"/>
  <c r="EI331" i="29"/>
  <c r="EJ331" i="29"/>
  <c r="EK331" i="29"/>
  <c r="EL331" i="29"/>
  <c r="EM331" i="29"/>
  <c r="EN331" i="29"/>
  <c r="EO331" i="29"/>
  <c r="EP331" i="29"/>
  <c r="EQ331" i="29"/>
  <c r="ER331" i="29"/>
  <c r="ES331" i="29"/>
  <c r="ET331" i="29"/>
  <c r="EU331" i="29"/>
  <c r="EV331" i="29"/>
  <c r="EW331" i="29"/>
  <c r="EX331" i="29"/>
  <c r="EY331" i="29"/>
  <c r="EZ331" i="29"/>
  <c r="FA331" i="29"/>
  <c r="FB331" i="29"/>
  <c r="FC331" i="29"/>
  <c r="FD331" i="29"/>
  <c r="FE331" i="29"/>
  <c r="FF331" i="29"/>
  <c r="FG331" i="29"/>
  <c r="FH331" i="29"/>
  <c r="FI331" i="29"/>
  <c r="FJ331" i="29"/>
  <c r="FK331" i="29"/>
  <c r="FL331" i="29"/>
  <c r="FM331" i="29"/>
  <c r="FN331" i="29"/>
  <c r="FO331" i="29"/>
  <c r="FP331" i="29"/>
  <c r="FQ331" i="29"/>
  <c r="FR331" i="29"/>
  <c r="FS331" i="29"/>
  <c r="FT331" i="29"/>
  <c r="FU331" i="29"/>
  <c r="FV331" i="29"/>
  <c r="FW331" i="29"/>
  <c r="FX331" i="29"/>
  <c r="FY331" i="29"/>
  <c r="FZ331" i="29"/>
  <c r="GA331" i="29"/>
  <c r="GB331" i="29"/>
  <c r="GC331" i="29"/>
  <c r="GD331" i="29"/>
  <c r="GE331" i="29"/>
  <c r="GF331" i="29"/>
  <c r="GG331" i="29"/>
  <c r="GH331" i="29"/>
  <c r="GI331" i="29"/>
  <c r="GJ331" i="29"/>
  <c r="GK331" i="29"/>
  <c r="GL331" i="29"/>
  <c r="GM331" i="29"/>
  <c r="GN331" i="29"/>
  <c r="GO331" i="29"/>
  <c r="GP331" i="29"/>
  <c r="GQ331" i="29"/>
  <c r="GR331" i="29"/>
  <c r="GS331" i="29"/>
  <c r="GT331" i="29"/>
  <c r="GU331" i="29"/>
  <c r="GV331" i="29"/>
  <c r="GW331" i="29"/>
  <c r="GX331" i="29"/>
  <c r="GY331" i="29"/>
  <c r="GZ331" i="29"/>
  <c r="HA331" i="29"/>
  <c r="HB331" i="29"/>
  <c r="HC331" i="29"/>
  <c r="HD331" i="29"/>
  <c r="HE331" i="29"/>
  <c r="HF331" i="29"/>
  <c r="HG331" i="29"/>
  <c r="HH331" i="29"/>
  <c r="HI331" i="29"/>
  <c r="HJ331" i="29"/>
  <c r="HK331" i="29"/>
  <c r="HL331" i="29"/>
  <c r="HM331" i="29"/>
  <c r="HN331" i="29"/>
  <c r="HO331" i="29"/>
  <c r="HP331" i="29"/>
  <c r="HQ331" i="29"/>
  <c r="HR331" i="29"/>
  <c r="HS331" i="29"/>
  <c r="HT331" i="29"/>
  <c r="HU331" i="29"/>
  <c r="HV331" i="29"/>
  <c r="HW331" i="29"/>
  <c r="HX331" i="29"/>
  <c r="HY331" i="29"/>
  <c r="HZ331" i="29"/>
  <c r="IA331" i="29"/>
  <c r="IB331" i="29"/>
  <c r="IC331" i="29"/>
  <c r="ID331" i="29"/>
  <c r="IE331" i="29"/>
  <c r="IF331" i="29"/>
  <c r="IG331" i="29"/>
  <c r="IH331" i="29"/>
  <c r="II331" i="29"/>
  <c r="IJ331" i="29"/>
  <c r="IK331" i="29"/>
  <c r="IL331" i="29"/>
  <c r="IM331" i="29"/>
  <c r="IN331" i="29"/>
  <c r="IO331" i="29"/>
  <c r="IP331" i="29"/>
  <c r="IQ331" i="29"/>
  <c r="IR331" i="29"/>
  <c r="IS331" i="29"/>
  <c r="IT331" i="29"/>
  <c r="IU331" i="29"/>
  <c r="IV331" i="29"/>
  <c r="IW331" i="29"/>
  <c r="IX331" i="29"/>
  <c r="IY331" i="29"/>
  <c r="IZ331" i="29"/>
  <c r="JA331" i="29"/>
  <c r="JB331" i="29"/>
  <c r="JC331" i="29"/>
  <c r="JD331" i="29"/>
  <c r="JE331" i="29"/>
  <c r="JF331" i="29"/>
  <c r="JG331" i="29"/>
  <c r="JH331" i="29"/>
  <c r="JI331" i="29"/>
  <c r="JJ331" i="29"/>
  <c r="JK331" i="29"/>
  <c r="JL331" i="29"/>
  <c r="JM331" i="29"/>
  <c r="JN331" i="29"/>
  <c r="JO331" i="29"/>
  <c r="JP331" i="29"/>
  <c r="JQ331" i="29"/>
  <c r="JR331" i="29"/>
  <c r="JS331" i="29"/>
  <c r="JT331" i="29"/>
  <c r="JU331" i="29"/>
  <c r="JV331" i="29"/>
  <c r="JW331" i="29"/>
  <c r="JX331" i="29"/>
  <c r="JY331" i="29"/>
  <c r="JZ331" i="29"/>
  <c r="KA331" i="29"/>
  <c r="KB331" i="29"/>
  <c r="KC331" i="29"/>
  <c r="KD331" i="29"/>
  <c r="KE331" i="29"/>
  <c r="KF331" i="29"/>
  <c r="KG331" i="29"/>
  <c r="KH331" i="29"/>
  <c r="KI331" i="29"/>
  <c r="KJ331" i="29"/>
  <c r="KK331" i="29"/>
  <c r="KL331" i="29"/>
  <c r="KM331" i="29"/>
  <c r="KN331" i="29"/>
  <c r="KO331" i="29"/>
  <c r="KP331" i="29"/>
  <c r="KQ331" i="29"/>
  <c r="KR331" i="29"/>
  <c r="KS331" i="29"/>
  <c r="KT331" i="29"/>
  <c r="KU331" i="29"/>
  <c r="KV331" i="29"/>
  <c r="KW331" i="29"/>
  <c r="KX331" i="29"/>
  <c r="KY331" i="29"/>
  <c r="KZ331" i="29"/>
  <c r="LA331" i="29"/>
  <c r="LB331" i="29"/>
  <c r="LC331" i="29"/>
  <c r="LD331" i="29"/>
  <c r="LE331" i="29"/>
  <c r="LF331" i="29"/>
  <c r="LG331" i="29"/>
  <c r="LH331" i="29"/>
  <c r="LI331" i="29"/>
  <c r="LJ331" i="29"/>
  <c r="LK331" i="29"/>
  <c r="LL331" i="29"/>
  <c r="LM331" i="29"/>
  <c r="LN331" i="29"/>
  <c r="LO331" i="29"/>
  <c r="LP331" i="29"/>
  <c r="LQ331" i="29"/>
  <c r="LR331" i="29"/>
  <c r="LS331" i="29"/>
  <c r="LT331" i="29"/>
  <c r="LU331" i="29"/>
  <c r="LV331" i="29"/>
  <c r="LW331" i="29"/>
  <c r="LX331" i="29"/>
  <c r="LY331" i="29"/>
  <c r="LZ331" i="29"/>
  <c r="MA331" i="29"/>
  <c r="MB331" i="29"/>
  <c r="MC331" i="29"/>
  <c r="MD331" i="29"/>
  <c r="ME331" i="29"/>
  <c r="MF331" i="29"/>
  <c r="MG331" i="29"/>
  <c r="MH331" i="29"/>
  <c r="MI331" i="29"/>
  <c r="MJ331" i="29"/>
  <c r="MK331" i="29"/>
  <c r="ML331" i="29"/>
  <c r="MM331" i="29"/>
  <c r="MN331" i="29"/>
  <c r="MO331" i="29"/>
  <c r="MP331" i="29"/>
  <c r="MQ331" i="29"/>
  <c r="MR331" i="29"/>
  <c r="MS331" i="29"/>
  <c r="MT331" i="29"/>
  <c r="MU331" i="29"/>
  <c r="MV331" i="29"/>
  <c r="MW331" i="29"/>
  <c r="MX331" i="29"/>
  <c r="MY331" i="29"/>
  <c r="MZ331" i="29"/>
  <c r="NA331" i="29"/>
  <c r="NB331" i="29"/>
  <c r="NC331" i="29"/>
  <c r="ND331" i="29"/>
  <c r="NE331" i="29"/>
  <c r="NF331" i="29"/>
  <c r="NG331" i="29"/>
  <c r="NH331" i="29"/>
  <c r="NI331" i="29"/>
  <c r="NJ331" i="29"/>
  <c r="NK331" i="29"/>
  <c r="NL331" i="29"/>
  <c r="NM331" i="29"/>
  <c r="NN331" i="29"/>
  <c r="NO331" i="29"/>
  <c r="NP331" i="29"/>
  <c r="NQ331" i="29"/>
  <c r="NR331" i="29"/>
  <c r="NS331" i="29"/>
  <c r="NT331" i="29"/>
  <c r="NU331" i="29"/>
  <c r="NV331" i="29"/>
  <c r="NW331" i="29"/>
  <c r="NX331" i="29"/>
  <c r="NY331" i="29"/>
  <c r="NZ331" i="29"/>
  <c r="OA331" i="29"/>
  <c r="OB331" i="29"/>
  <c r="OC331" i="29"/>
  <c r="OD331" i="29"/>
  <c r="OE331" i="29"/>
  <c r="OF331" i="29"/>
  <c r="OG331" i="29"/>
  <c r="OH331" i="29"/>
  <c r="OI331" i="29"/>
  <c r="OJ331" i="29"/>
  <c r="OK331" i="29"/>
  <c r="OL331" i="29"/>
  <c r="OM331" i="29"/>
  <c r="ON331" i="29"/>
  <c r="OO331" i="29"/>
  <c r="OP331" i="29"/>
  <c r="OQ331" i="29"/>
  <c r="OR331" i="29"/>
  <c r="OS331" i="29"/>
  <c r="OT331" i="29"/>
  <c r="OU331" i="29"/>
  <c r="OV331" i="29"/>
  <c r="OW331" i="29"/>
  <c r="OX331" i="29"/>
  <c r="OY331" i="29"/>
  <c r="OZ331" i="29"/>
  <c r="PA331" i="29"/>
  <c r="PB331" i="29"/>
  <c r="PC331" i="29"/>
  <c r="PD331" i="29"/>
  <c r="PE331" i="29"/>
  <c r="PF331" i="29"/>
  <c r="PG331" i="29"/>
  <c r="PH331" i="29"/>
  <c r="PI331" i="29"/>
  <c r="PJ331" i="29"/>
  <c r="PK331" i="29"/>
  <c r="PL331" i="29"/>
  <c r="PM331" i="29"/>
  <c r="PN331" i="29"/>
  <c r="PO331" i="29"/>
  <c r="PP331" i="29"/>
  <c r="PQ331" i="29"/>
  <c r="PR331" i="29"/>
  <c r="PS331" i="29"/>
  <c r="PT331" i="29"/>
  <c r="PU331" i="29"/>
  <c r="PV331" i="29"/>
  <c r="PW331" i="29"/>
  <c r="PX331" i="29"/>
  <c r="PY331" i="29"/>
  <c r="PZ331" i="29"/>
  <c r="QA331" i="29"/>
  <c r="QB331" i="29"/>
  <c r="QC331" i="29"/>
  <c r="QD331" i="29"/>
  <c r="QE331" i="29"/>
  <c r="QF331" i="29"/>
  <c r="QG331" i="29"/>
  <c r="QH331" i="29"/>
  <c r="QI331" i="29"/>
  <c r="QJ331" i="29"/>
  <c r="QK331" i="29"/>
  <c r="QL331" i="29"/>
  <c r="QM331" i="29"/>
  <c r="QN331" i="29"/>
  <c r="QO331" i="29"/>
  <c r="QP331" i="29"/>
  <c r="QQ331" i="29"/>
  <c r="QR331" i="29"/>
  <c r="QS331" i="29"/>
  <c r="QT331" i="29"/>
  <c r="QU331" i="29"/>
  <c r="QV331" i="29"/>
  <c r="QW331" i="29"/>
  <c r="QX331" i="29"/>
  <c r="QY331" i="29"/>
  <c r="QZ331" i="29"/>
  <c r="RA331" i="29"/>
  <c r="RB331" i="29"/>
  <c r="RC331" i="29"/>
  <c r="RD331" i="29"/>
  <c r="RE331" i="29"/>
  <c r="RF331" i="29"/>
  <c r="RG331" i="29"/>
  <c r="RH331" i="29"/>
  <c r="RI331" i="29"/>
  <c r="RJ331" i="29"/>
  <c r="RK331" i="29"/>
  <c r="RL331" i="29"/>
  <c r="RM331" i="29"/>
  <c r="RN331" i="29"/>
  <c r="RO331" i="29"/>
  <c r="RP331" i="29"/>
  <c r="RQ331" i="29"/>
  <c r="RR331" i="29"/>
  <c r="RS331" i="29"/>
  <c r="RT331" i="29"/>
  <c r="RU331" i="29"/>
  <c r="RV331" i="29"/>
  <c r="RW331" i="29"/>
  <c r="RX331" i="29"/>
  <c r="RY331" i="29"/>
  <c r="RZ331" i="29"/>
  <c r="SA331" i="29"/>
  <c r="SB331" i="29"/>
  <c r="SC331" i="29"/>
  <c r="SD331" i="29"/>
  <c r="SE331" i="29"/>
  <c r="SF331" i="29"/>
  <c r="SG331" i="29"/>
  <c r="SH331" i="29"/>
  <c r="SI331" i="29"/>
  <c r="SJ331" i="29"/>
  <c r="SK331" i="29"/>
  <c r="SL331" i="29"/>
  <c r="SM331" i="29"/>
  <c r="SN331" i="29"/>
  <c r="SO331" i="29"/>
  <c r="SP331" i="29"/>
  <c r="SQ331" i="29"/>
  <c r="SR331" i="29"/>
  <c r="SS331" i="29"/>
  <c r="B332" i="29"/>
  <c r="C332" i="29"/>
  <c r="D332" i="29"/>
  <c r="E332" i="29"/>
  <c r="F332" i="29"/>
  <c r="G332" i="29"/>
  <c r="H332" i="29"/>
  <c r="I332" i="29"/>
  <c r="J332" i="29"/>
  <c r="K332" i="29"/>
  <c r="L332" i="29"/>
  <c r="M332" i="29"/>
  <c r="N332" i="29"/>
  <c r="O332" i="29"/>
  <c r="P332" i="29"/>
  <c r="Q332" i="29"/>
  <c r="R332" i="29"/>
  <c r="S332" i="29"/>
  <c r="T332" i="29"/>
  <c r="U332" i="29"/>
  <c r="V332" i="29"/>
  <c r="W332" i="29"/>
  <c r="X332" i="29"/>
  <c r="Y332" i="29"/>
  <c r="Z332" i="29"/>
  <c r="AA332" i="29"/>
  <c r="AB332" i="29"/>
  <c r="AC332" i="29"/>
  <c r="AD332" i="29"/>
  <c r="AE332" i="29"/>
  <c r="AF332" i="29"/>
  <c r="AG332" i="29"/>
  <c r="AH332" i="29"/>
  <c r="AI332" i="29"/>
  <c r="AJ332" i="29"/>
  <c r="AK332" i="29"/>
  <c r="AL332" i="29"/>
  <c r="AM332" i="29"/>
  <c r="AN332" i="29"/>
  <c r="AO332" i="29"/>
  <c r="AP332" i="29"/>
  <c r="AQ332" i="29"/>
  <c r="AR332" i="29"/>
  <c r="AS332" i="29"/>
  <c r="AT332" i="29"/>
  <c r="AU332" i="29"/>
  <c r="AV332" i="29"/>
  <c r="AW332" i="29"/>
  <c r="AX332" i="29"/>
  <c r="AY332" i="29"/>
  <c r="AZ332" i="29"/>
  <c r="BA332" i="29"/>
  <c r="BB332" i="29"/>
  <c r="BC332" i="29"/>
  <c r="BD332" i="29"/>
  <c r="BE332" i="29"/>
  <c r="BF332" i="29"/>
  <c r="BG332" i="29"/>
  <c r="BH332" i="29"/>
  <c r="BI332" i="29"/>
  <c r="BJ332" i="29"/>
  <c r="BK332" i="29"/>
  <c r="BL332" i="29"/>
  <c r="BM332" i="29"/>
  <c r="BN332" i="29"/>
  <c r="BO332" i="29"/>
  <c r="BP332" i="29"/>
  <c r="BQ332" i="29"/>
  <c r="BR332" i="29"/>
  <c r="BS332" i="29"/>
  <c r="BT332" i="29"/>
  <c r="BU332" i="29"/>
  <c r="BV332" i="29"/>
  <c r="BW332" i="29"/>
  <c r="BX332" i="29"/>
  <c r="BY332" i="29"/>
  <c r="BZ332" i="29"/>
  <c r="CA332" i="29"/>
  <c r="CB332" i="29"/>
  <c r="CC332" i="29"/>
  <c r="CD332" i="29"/>
  <c r="CE332" i="29"/>
  <c r="CF332" i="29"/>
  <c r="CG332" i="29"/>
  <c r="CH332" i="29"/>
  <c r="CI332" i="29"/>
  <c r="CJ332" i="29"/>
  <c r="CK332" i="29"/>
  <c r="CL332" i="29"/>
  <c r="CM332" i="29"/>
  <c r="CN332" i="29"/>
  <c r="CO332" i="29"/>
  <c r="CP332" i="29"/>
  <c r="CQ332" i="29"/>
  <c r="CR332" i="29"/>
  <c r="CS332" i="29"/>
  <c r="CT332" i="29"/>
  <c r="CU332" i="29"/>
  <c r="CV332" i="29"/>
  <c r="CW332" i="29"/>
  <c r="CX332" i="29"/>
  <c r="CY332" i="29"/>
  <c r="CZ332" i="29"/>
  <c r="DA332" i="29"/>
  <c r="DB332" i="29"/>
  <c r="DC332" i="29"/>
  <c r="DD332" i="29"/>
  <c r="DE332" i="29"/>
  <c r="DF332" i="29"/>
  <c r="DG332" i="29"/>
  <c r="DH332" i="29"/>
  <c r="DI332" i="29"/>
  <c r="DJ332" i="29"/>
  <c r="DK332" i="29"/>
  <c r="DL332" i="29"/>
  <c r="DM332" i="29"/>
  <c r="DN332" i="29"/>
  <c r="DO332" i="29"/>
  <c r="DP332" i="29"/>
  <c r="DQ332" i="29"/>
  <c r="DR332" i="29"/>
  <c r="DS332" i="29"/>
  <c r="DT332" i="29"/>
  <c r="DU332" i="29"/>
  <c r="DV332" i="29"/>
  <c r="DW332" i="29"/>
  <c r="DX332" i="29"/>
  <c r="DY332" i="29"/>
  <c r="DZ332" i="29"/>
  <c r="EA332" i="29"/>
  <c r="EB332" i="29"/>
  <c r="EC332" i="29"/>
  <c r="ED332" i="29"/>
  <c r="EE332" i="29"/>
  <c r="EF332" i="29"/>
  <c r="EG332" i="29"/>
  <c r="EH332" i="29"/>
  <c r="EI332" i="29"/>
  <c r="EJ332" i="29"/>
  <c r="EK332" i="29"/>
  <c r="EL332" i="29"/>
  <c r="EM332" i="29"/>
  <c r="EN332" i="29"/>
  <c r="EO332" i="29"/>
  <c r="EP332" i="29"/>
  <c r="EQ332" i="29"/>
  <c r="ER332" i="29"/>
  <c r="ES332" i="29"/>
  <c r="ET332" i="29"/>
  <c r="EU332" i="29"/>
  <c r="EV332" i="29"/>
  <c r="EW332" i="29"/>
  <c r="EX332" i="29"/>
  <c r="EY332" i="29"/>
  <c r="EZ332" i="29"/>
  <c r="FA332" i="29"/>
  <c r="FB332" i="29"/>
  <c r="FC332" i="29"/>
  <c r="FD332" i="29"/>
  <c r="FE332" i="29"/>
  <c r="FF332" i="29"/>
  <c r="FG332" i="29"/>
  <c r="FH332" i="29"/>
  <c r="FI332" i="29"/>
  <c r="FJ332" i="29"/>
  <c r="FK332" i="29"/>
  <c r="FL332" i="29"/>
  <c r="FM332" i="29"/>
  <c r="FN332" i="29"/>
  <c r="FO332" i="29"/>
  <c r="FP332" i="29"/>
  <c r="FQ332" i="29"/>
  <c r="FR332" i="29"/>
  <c r="FS332" i="29"/>
  <c r="FT332" i="29"/>
  <c r="FU332" i="29"/>
  <c r="FV332" i="29"/>
  <c r="FW332" i="29"/>
  <c r="FX332" i="29"/>
  <c r="FY332" i="29"/>
  <c r="FZ332" i="29"/>
  <c r="GA332" i="29"/>
  <c r="GB332" i="29"/>
  <c r="GC332" i="29"/>
  <c r="GD332" i="29"/>
  <c r="GE332" i="29"/>
  <c r="GF332" i="29"/>
  <c r="GG332" i="29"/>
  <c r="GH332" i="29"/>
  <c r="GI332" i="29"/>
  <c r="GJ332" i="29"/>
  <c r="GK332" i="29"/>
  <c r="GL332" i="29"/>
  <c r="GM332" i="29"/>
  <c r="GN332" i="29"/>
  <c r="GO332" i="29"/>
  <c r="GP332" i="29"/>
  <c r="GQ332" i="29"/>
  <c r="GR332" i="29"/>
  <c r="GS332" i="29"/>
  <c r="GT332" i="29"/>
  <c r="GU332" i="29"/>
  <c r="GV332" i="29"/>
  <c r="GW332" i="29"/>
  <c r="GX332" i="29"/>
  <c r="GY332" i="29"/>
  <c r="GZ332" i="29"/>
  <c r="HA332" i="29"/>
  <c r="HB332" i="29"/>
  <c r="HC332" i="29"/>
  <c r="HD332" i="29"/>
  <c r="HE332" i="29"/>
  <c r="HF332" i="29"/>
  <c r="HG332" i="29"/>
  <c r="HH332" i="29"/>
  <c r="HI332" i="29"/>
  <c r="HJ332" i="29"/>
  <c r="HK332" i="29"/>
  <c r="HL332" i="29"/>
  <c r="HM332" i="29"/>
  <c r="HN332" i="29"/>
  <c r="HO332" i="29"/>
  <c r="HP332" i="29"/>
  <c r="HQ332" i="29"/>
  <c r="HR332" i="29"/>
  <c r="HS332" i="29"/>
  <c r="HT332" i="29"/>
  <c r="HU332" i="29"/>
  <c r="HV332" i="29"/>
  <c r="HW332" i="29"/>
  <c r="HX332" i="29"/>
  <c r="HY332" i="29"/>
  <c r="HZ332" i="29"/>
  <c r="IA332" i="29"/>
  <c r="IB332" i="29"/>
  <c r="IC332" i="29"/>
  <c r="ID332" i="29"/>
  <c r="IE332" i="29"/>
  <c r="IF332" i="29"/>
  <c r="IG332" i="29"/>
  <c r="IH332" i="29"/>
  <c r="II332" i="29"/>
  <c r="IJ332" i="29"/>
  <c r="IK332" i="29"/>
  <c r="IL332" i="29"/>
  <c r="IM332" i="29"/>
  <c r="IN332" i="29"/>
  <c r="IO332" i="29"/>
  <c r="IP332" i="29"/>
  <c r="IQ332" i="29"/>
  <c r="IR332" i="29"/>
  <c r="IS332" i="29"/>
  <c r="IT332" i="29"/>
  <c r="IU332" i="29"/>
  <c r="IV332" i="29"/>
  <c r="IW332" i="29"/>
  <c r="IX332" i="29"/>
  <c r="IY332" i="29"/>
  <c r="IZ332" i="29"/>
  <c r="JA332" i="29"/>
  <c r="JB332" i="29"/>
  <c r="JC332" i="29"/>
  <c r="JD332" i="29"/>
  <c r="JE332" i="29"/>
  <c r="JF332" i="29"/>
  <c r="JG332" i="29"/>
  <c r="JH332" i="29"/>
  <c r="JI332" i="29"/>
  <c r="JJ332" i="29"/>
  <c r="JK332" i="29"/>
  <c r="JL332" i="29"/>
  <c r="JM332" i="29"/>
  <c r="JN332" i="29"/>
  <c r="JO332" i="29"/>
  <c r="JP332" i="29"/>
  <c r="JQ332" i="29"/>
  <c r="JR332" i="29"/>
  <c r="JS332" i="29"/>
  <c r="JT332" i="29"/>
  <c r="JU332" i="29"/>
  <c r="JV332" i="29"/>
  <c r="JW332" i="29"/>
  <c r="JX332" i="29"/>
  <c r="JY332" i="29"/>
  <c r="JZ332" i="29"/>
  <c r="KA332" i="29"/>
  <c r="KB332" i="29"/>
  <c r="KC332" i="29"/>
  <c r="KD332" i="29"/>
  <c r="KE332" i="29"/>
  <c r="KF332" i="29"/>
  <c r="KG332" i="29"/>
  <c r="KH332" i="29"/>
  <c r="KI332" i="29"/>
  <c r="KJ332" i="29"/>
  <c r="KK332" i="29"/>
  <c r="KL332" i="29"/>
  <c r="KM332" i="29"/>
  <c r="KN332" i="29"/>
  <c r="KO332" i="29"/>
  <c r="KP332" i="29"/>
  <c r="KQ332" i="29"/>
  <c r="KR332" i="29"/>
  <c r="KS332" i="29"/>
  <c r="KT332" i="29"/>
  <c r="KU332" i="29"/>
  <c r="KV332" i="29"/>
  <c r="KW332" i="29"/>
  <c r="KX332" i="29"/>
  <c r="KY332" i="29"/>
  <c r="KZ332" i="29"/>
  <c r="LA332" i="29"/>
  <c r="LB332" i="29"/>
  <c r="LC332" i="29"/>
  <c r="LD332" i="29"/>
  <c r="LE332" i="29"/>
  <c r="LF332" i="29"/>
  <c r="LG332" i="29"/>
  <c r="LH332" i="29"/>
  <c r="LI332" i="29"/>
  <c r="LJ332" i="29"/>
  <c r="LK332" i="29"/>
  <c r="LL332" i="29"/>
  <c r="LM332" i="29"/>
  <c r="LN332" i="29"/>
  <c r="LO332" i="29"/>
  <c r="LP332" i="29"/>
  <c r="LQ332" i="29"/>
  <c r="LR332" i="29"/>
  <c r="LS332" i="29"/>
  <c r="LT332" i="29"/>
  <c r="LU332" i="29"/>
  <c r="LV332" i="29"/>
  <c r="LW332" i="29"/>
  <c r="LX332" i="29"/>
  <c r="LY332" i="29"/>
  <c r="LZ332" i="29"/>
  <c r="MA332" i="29"/>
  <c r="MB332" i="29"/>
  <c r="MC332" i="29"/>
  <c r="MD332" i="29"/>
  <c r="ME332" i="29"/>
  <c r="MF332" i="29"/>
  <c r="MG332" i="29"/>
  <c r="MH332" i="29"/>
  <c r="MI332" i="29"/>
  <c r="MJ332" i="29"/>
  <c r="MK332" i="29"/>
  <c r="ML332" i="29"/>
  <c r="MM332" i="29"/>
  <c r="MN332" i="29"/>
  <c r="MO332" i="29"/>
  <c r="MP332" i="29"/>
  <c r="MQ332" i="29"/>
  <c r="MR332" i="29"/>
  <c r="MS332" i="29"/>
  <c r="MT332" i="29"/>
  <c r="MU332" i="29"/>
  <c r="MV332" i="29"/>
  <c r="MW332" i="29"/>
  <c r="MX332" i="29"/>
  <c r="MY332" i="29"/>
  <c r="MZ332" i="29"/>
  <c r="NA332" i="29"/>
  <c r="NB332" i="29"/>
  <c r="NC332" i="29"/>
  <c r="ND332" i="29"/>
  <c r="NE332" i="29"/>
  <c r="NF332" i="29"/>
  <c r="NG332" i="29"/>
  <c r="NH332" i="29"/>
  <c r="NI332" i="29"/>
  <c r="NJ332" i="29"/>
  <c r="NK332" i="29"/>
  <c r="NL332" i="29"/>
  <c r="NM332" i="29"/>
  <c r="NN332" i="29"/>
  <c r="NO332" i="29"/>
  <c r="NP332" i="29"/>
  <c r="NQ332" i="29"/>
  <c r="NR332" i="29"/>
  <c r="NS332" i="29"/>
  <c r="NT332" i="29"/>
  <c r="NU332" i="29"/>
  <c r="NV332" i="29"/>
  <c r="NW332" i="29"/>
  <c r="NX332" i="29"/>
  <c r="NY332" i="29"/>
  <c r="NZ332" i="29"/>
  <c r="OA332" i="29"/>
  <c r="OB332" i="29"/>
  <c r="OC332" i="29"/>
  <c r="OD332" i="29"/>
  <c r="OE332" i="29"/>
  <c r="OF332" i="29"/>
  <c r="OG332" i="29"/>
  <c r="OH332" i="29"/>
  <c r="OI332" i="29"/>
  <c r="OJ332" i="29"/>
  <c r="OK332" i="29"/>
  <c r="OL332" i="29"/>
  <c r="OM332" i="29"/>
  <c r="ON332" i="29"/>
  <c r="OO332" i="29"/>
  <c r="OP332" i="29"/>
  <c r="OQ332" i="29"/>
  <c r="OR332" i="29"/>
  <c r="OS332" i="29"/>
  <c r="OT332" i="29"/>
  <c r="OU332" i="29"/>
  <c r="OV332" i="29"/>
  <c r="OW332" i="29"/>
  <c r="OX332" i="29"/>
  <c r="OY332" i="29"/>
  <c r="OZ332" i="29"/>
  <c r="PA332" i="29"/>
  <c r="PB332" i="29"/>
  <c r="PC332" i="29"/>
  <c r="PD332" i="29"/>
  <c r="PE332" i="29"/>
  <c r="PF332" i="29"/>
  <c r="PG332" i="29"/>
  <c r="PH332" i="29"/>
  <c r="PI332" i="29"/>
  <c r="PJ332" i="29"/>
  <c r="PK332" i="29"/>
  <c r="PL332" i="29"/>
  <c r="PM332" i="29"/>
  <c r="PN332" i="29"/>
  <c r="PO332" i="29"/>
  <c r="PP332" i="29"/>
  <c r="PQ332" i="29"/>
  <c r="PR332" i="29"/>
  <c r="PS332" i="29"/>
  <c r="PT332" i="29"/>
  <c r="PU332" i="29"/>
  <c r="PV332" i="29"/>
  <c r="PW332" i="29"/>
  <c r="PX332" i="29"/>
  <c r="PY332" i="29"/>
  <c r="PZ332" i="29"/>
  <c r="QA332" i="29"/>
  <c r="QB332" i="29"/>
  <c r="QC332" i="29"/>
  <c r="QD332" i="29"/>
  <c r="QE332" i="29"/>
  <c r="QF332" i="29"/>
  <c r="QG332" i="29"/>
  <c r="QH332" i="29"/>
  <c r="QI332" i="29"/>
  <c r="QJ332" i="29"/>
  <c r="QK332" i="29"/>
  <c r="QL332" i="29"/>
  <c r="QM332" i="29"/>
  <c r="QN332" i="29"/>
  <c r="QO332" i="29"/>
  <c r="QP332" i="29"/>
  <c r="QQ332" i="29"/>
  <c r="QR332" i="29"/>
  <c r="QS332" i="29"/>
  <c r="QT332" i="29"/>
  <c r="QU332" i="29"/>
  <c r="QV332" i="29"/>
  <c r="QW332" i="29"/>
  <c r="QX332" i="29"/>
  <c r="QY332" i="29"/>
  <c r="QZ332" i="29"/>
  <c r="RA332" i="29"/>
  <c r="RB332" i="29"/>
  <c r="RC332" i="29"/>
  <c r="RD332" i="29"/>
  <c r="RE332" i="29"/>
  <c r="RF332" i="29"/>
  <c r="RG332" i="29"/>
  <c r="RH332" i="29"/>
  <c r="RI332" i="29"/>
  <c r="RJ332" i="29"/>
  <c r="RK332" i="29"/>
  <c r="RL332" i="29"/>
  <c r="RM332" i="29"/>
  <c r="RN332" i="29"/>
  <c r="RO332" i="29"/>
  <c r="RP332" i="29"/>
  <c r="RQ332" i="29"/>
  <c r="RR332" i="29"/>
  <c r="RS332" i="29"/>
  <c r="RT332" i="29"/>
  <c r="RU332" i="29"/>
  <c r="RV332" i="29"/>
  <c r="RW332" i="29"/>
  <c r="RX332" i="29"/>
  <c r="RY332" i="29"/>
  <c r="RZ332" i="29"/>
  <c r="SA332" i="29"/>
  <c r="SB332" i="29"/>
  <c r="SC332" i="29"/>
  <c r="SD332" i="29"/>
  <c r="SE332" i="29"/>
  <c r="SF332" i="29"/>
  <c r="SG332" i="29"/>
  <c r="SH332" i="29"/>
  <c r="SI332" i="29"/>
  <c r="SJ332" i="29"/>
  <c r="SK332" i="29"/>
  <c r="SL332" i="29"/>
  <c r="SM332" i="29"/>
  <c r="SN332" i="29"/>
  <c r="SO332" i="29"/>
  <c r="SP332" i="29"/>
  <c r="SQ332" i="29"/>
  <c r="SR332" i="29"/>
  <c r="SS332" i="29"/>
  <c r="B333" i="29"/>
  <c r="C333" i="29"/>
  <c r="D333" i="29"/>
  <c r="E333" i="29"/>
  <c r="F333" i="29"/>
  <c r="G333" i="29"/>
  <c r="H333" i="29"/>
  <c r="I333" i="29"/>
  <c r="J333" i="29"/>
  <c r="K333" i="29"/>
  <c r="L333" i="29"/>
  <c r="M333" i="29"/>
  <c r="N333" i="29"/>
  <c r="O333" i="29"/>
  <c r="P333" i="29"/>
  <c r="Q333" i="29"/>
  <c r="R333" i="29"/>
  <c r="S333" i="29"/>
  <c r="T333" i="29"/>
  <c r="U333" i="29"/>
  <c r="V333" i="29"/>
  <c r="W333" i="29"/>
  <c r="X333" i="29"/>
  <c r="Y333" i="29"/>
  <c r="Z333" i="29"/>
  <c r="AA333" i="29"/>
  <c r="AB333" i="29"/>
  <c r="AC333" i="29"/>
  <c r="AD333" i="29"/>
  <c r="AE333" i="29"/>
  <c r="AF333" i="29"/>
  <c r="AG333" i="29"/>
  <c r="AH333" i="29"/>
  <c r="AI333" i="29"/>
  <c r="AJ333" i="29"/>
  <c r="AK333" i="29"/>
  <c r="AL333" i="29"/>
  <c r="AM333" i="29"/>
  <c r="AN333" i="29"/>
  <c r="AO333" i="29"/>
  <c r="AP333" i="29"/>
  <c r="AQ333" i="29"/>
  <c r="AR333" i="29"/>
  <c r="AS333" i="29"/>
  <c r="AT333" i="29"/>
  <c r="AU333" i="29"/>
  <c r="AV333" i="29"/>
  <c r="AW333" i="29"/>
  <c r="AX333" i="29"/>
  <c r="AY333" i="29"/>
  <c r="AZ333" i="29"/>
  <c r="BA333" i="29"/>
  <c r="BB333" i="29"/>
  <c r="BC333" i="29"/>
  <c r="BD333" i="29"/>
  <c r="BE333" i="29"/>
  <c r="BF333" i="29"/>
  <c r="BG333" i="29"/>
  <c r="BH333" i="29"/>
  <c r="BI333" i="29"/>
  <c r="BJ333" i="29"/>
  <c r="BK333" i="29"/>
  <c r="BL333" i="29"/>
  <c r="BM333" i="29"/>
  <c r="BN333" i="29"/>
  <c r="BO333" i="29"/>
  <c r="BP333" i="29"/>
  <c r="BQ333" i="29"/>
  <c r="BR333" i="29"/>
  <c r="BS333" i="29"/>
  <c r="BT333" i="29"/>
  <c r="BU333" i="29"/>
  <c r="BV333" i="29"/>
  <c r="BW333" i="29"/>
  <c r="BX333" i="29"/>
  <c r="BY333" i="29"/>
  <c r="BZ333" i="29"/>
  <c r="CA333" i="29"/>
  <c r="CB333" i="29"/>
  <c r="CC333" i="29"/>
  <c r="CD333" i="29"/>
  <c r="CE333" i="29"/>
  <c r="CF333" i="29"/>
  <c r="CG333" i="29"/>
  <c r="CH333" i="29"/>
  <c r="CI333" i="29"/>
  <c r="CJ333" i="29"/>
  <c r="CK333" i="29"/>
  <c r="CL333" i="29"/>
  <c r="CM333" i="29"/>
  <c r="CN333" i="29"/>
  <c r="CO333" i="29"/>
  <c r="CP333" i="29"/>
  <c r="CQ333" i="29"/>
  <c r="CR333" i="29"/>
  <c r="CS333" i="29"/>
  <c r="CT333" i="29"/>
  <c r="CU333" i="29"/>
  <c r="CV333" i="29"/>
  <c r="CW333" i="29"/>
  <c r="CX333" i="29"/>
  <c r="CY333" i="29"/>
  <c r="CZ333" i="29"/>
  <c r="DA333" i="29"/>
  <c r="DB333" i="29"/>
  <c r="DC333" i="29"/>
  <c r="DD333" i="29"/>
  <c r="DE333" i="29"/>
  <c r="DF333" i="29"/>
  <c r="DG333" i="29"/>
  <c r="DH333" i="29"/>
  <c r="DI333" i="29"/>
  <c r="DJ333" i="29"/>
  <c r="DK333" i="29"/>
  <c r="DL333" i="29"/>
  <c r="DM333" i="29"/>
  <c r="DN333" i="29"/>
  <c r="DO333" i="29"/>
  <c r="DP333" i="29"/>
  <c r="DQ333" i="29"/>
  <c r="DR333" i="29"/>
  <c r="DS333" i="29"/>
  <c r="DT333" i="29"/>
  <c r="DU333" i="29"/>
  <c r="DV333" i="29"/>
  <c r="DW333" i="29"/>
  <c r="DX333" i="29"/>
  <c r="DY333" i="29"/>
  <c r="DZ333" i="29"/>
  <c r="EA333" i="29"/>
  <c r="EB333" i="29"/>
  <c r="EC333" i="29"/>
  <c r="ED333" i="29"/>
  <c r="EE333" i="29"/>
  <c r="EF333" i="29"/>
  <c r="EG333" i="29"/>
  <c r="EH333" i="29"/>
  <c r="EI333" i="29"/>
  <c r="EJ333" i="29"/>
  <c r="EK333" i="29"/>
  <c r="EL333" i="29"/>
  <c r="EM333" i="29"/>
  <c r="EN333" i="29"/>
  <c r="EO333" i="29"/>
  <c r="EP333" i="29"/>
  <c r="EQ333" i="29"/>
  <c r="ER333" i="29"/>
  <c r="ES333" i="29"/>
  <c r="ET333" i="29"/>
  <c r="EU333" i="29"/>
  <c r="EV333" i="29"/>
  <c r="EW333" i="29"/>
  <c r="EX333" i="29"/>
  <c r="EY333" i="29"/>
  <c r="EZ333" i="29"/>
  <c r="FA333" i="29"/>
  <c r="FB333" i="29"/>
  <c r="FC333" i="29"/>
  <c r="FD333" i="29"/>
  <c r="FE333" i="29"/>
  <c r="FF333" i="29"/>
  <c r="FG333" i="29"/>
  <c r="FH333" i="29"/>
  <c r="FI333" i="29"/>
  <c r="FJ333" i="29"/>
  <c r="FK333" i="29"/>
  <c r="FL333" i="29"/>
  <c r="FM333" i="29"/>
  <c r="FN333" i="29"/>
  <c r="FO333" i="29"/>
  <c r="FP333" i="29"/>
  <c r="FQ333" i="29"/>
  <c r="FR333" i="29"/>
  <c r="FS333" i="29"/>
  <c r="FT333" i="29"/>
  <c r="FU333" i="29"/>
  <c r="FV333" i="29"/>
  <c r="FW333" i="29"/>
  <c r="FX333" i="29"/>
  <c r="FY333" i="29"/>
  <c r="FZ333" i="29"/>
  <c r="GA333" i="29"/>
  <c r="GB333" i="29"/>
  <c r="GC333" i="29"/>
  <c r="GD333" i="29"/>
  <c r="GE333" i="29"/>
  <c r="GF333" i="29"/>
  <c r="GG333" i="29"/>
  <c r="GH333" i="29"/>
  <c r="GI333" i="29"/>
  <c r="GJ333" i="29"/>
  <c r="GK333" i="29"/>
  <c r="GL333" i="29"/>
  <c r="GM333" i="29"/>
  <c r="GN333" i="29"/>
  <c r="GO333" i="29"/>
  <c r="GP333" i="29"/>
  <c r="GQ333" i="29"/>
  <c r="GR333" i="29"/>
  <c r="GS333" i="29"/>
  <c r="GT333" i="29"/>
  <c r="GU333" i="29"/>
  <c r="GV333" i="29"/>
  <c r="GW333" i="29"/>
  <c r="GX333" i="29"/>
  <c r="GY333" i="29"/>
  <c r="GZ333" i="29"/>
  <c r="HA333" i="29"/>
  <c r="HB333" i="29"/>
  <c r="HC333" i="29"/>
  <c r="HD333" i="29"/>
  <c r="HE333" i="29"/>
  <c r="HF333" i="29"/>
  <c r="HG333" i="29"/>
  <c r="HH333" i="29"/>
  <c r="HI333" i="29"/>
  <c r="HJ333" i="29"/>
  <c r="HK333" i="29"/>
  <c r="HL333" i="29"/>
  <c r="HM333" i="29"/>
  <c r="HN333" i="29"/>
  <c r="HO333" i="29"/>
  <c r="HP333" i="29"/>
  <c r="HQ333" i="29"/>
  <c r="HR333" i="29"/>
  <c r="HS333" i="29"/>
  <c r="HT333" i="29"/>
  <c r="HU333" i="29"/>
  <c r="HV333" i="29"/>
  <c r="HW333" i="29"/>
  <c r="HX333" i="29"/>
  <c r="HY333" i="29"/>
  <c r="HZ333" i="29"/>
  <c r="IA333" i="29"/>
  <c r="IB333" i="29"/>
  <c r="IC333" i="29"/>
  <c r="ID333" i="29"/>
  <c r="IE333" i="29"/>
  <c r="IF333" i="29"/>
  <c r="IG333" i="29"/>
  <c r="IH333" i="29"/>
  <c r="II333" i="29"/>
  <c r="IJ333" i="29"/>
  <c r="IK333" i="29"/>
  <c r="IL333" i="29"/>
  <c r="IM333" i="29"/>
  <c r="IN333" i="29"/>
  <c r="IO333" i="29"/>
  <c r="IP333" i="29"/>
  <c r="IQ333" i="29"/>
  <c r="IR333" i="29"/>
  <c r="IS333" i="29"/>
  <c r="IT333" i="29"/>
  <c r="IU333" i="29"/>
  <c r="IV333" i="29"/>
  <c r="IW333" i="29"/>
  <c r="IX333" i="29"/>
  <c r="IY333" i="29"/>
  <c r="IZ333" i="29"/>
  <c r="JA333" i="29"/>
  <c r="JB333" i="29"/>
  <c r="JC333" i="29"/>
  <c r="JD333" i="29"/>
  <c r="JE333" i="29"/>
  <c r="JF333" i="29"/>
  <c r="JG333" i="29"/>
  <c r="JH333" i="29"/>
  <c r="JI333" i="29"/>
  <c r="JJ333" i="29"/>
  <c r="JK333" i="29"/>
  <c r="JL333" i="29"/>
  <c r="JM333" i="29"/>
  <c r="JN333" i="29"/>
  <c r="JO333" i="29"/>
  <c r="JP333" i="29"/>
  <c r="JQ333" i="29"/>
  <c r="JR333" i="29"/>
  <c r="JS333" i="29"/>
  <c r="JT333" i="29"/>
  <c r="JU333" i="29"/>
  <c r="JV333" i="29"/>
  <c r="JW333" i="29"/>
  <c r="JX333" i="29"/>
  <c r="JY333" i="29"/>
  <c r="JZ333" i="29"/>
  <c r="KA333" i="29"/>
  <c r="KB333" i="29"/>
  <c r="KC333" i="29"/>
  <c r="KD333" i="29"/>
  <c r="KE333" i="29"/>
  <c r="KF333" i="29"/>
  <c r="KG333" i="29"/>
  <c r="KH333" i="29"/>
  <c r="KI333" i="29"/>
  <c r="KJ333" i="29"/>
  <c r="KK333" i="29"/>
  <c r="KL333" i="29"/>
  <c r="KM333" i="29"/>
  <c r="KN333" i="29"/>
  <c r="KO333" i="29"/>
  <c r="KP333" i="29"/>
  <c r="KQ333" i="29"/>
  <c r="KR333" i="29"/>
  <c r="KS333" i="29"/>
  <c r="KT333" i="29"/>
  <c r="KU333" i="29"/>
  <c r="KV333" i="29"/>
  <c r="KW333" i="29"/>
  <c r="KX333" i="29"/>
  <c r="KY333" i="29"/>
  <c r="KZ333" i="29"/>
  <c r="LA333" i="29"/>
  <c r="LB333" i="29"/>
  <c r="LC333" i="29"/>
  <c r="LD333" i="29"/>
  <c r="LE333" i="29"/>
  <c r="LF333" i="29"/>
  <c r="LG333" i="29"/>
  <c r="LH333" i="29"/>
  <c r="LI333" i="29"/>
  <c r="LJ333" i="29"/>
  <c r="LK333" i="29"/>
  <c r="LL333" i="29"/>
  <c r="LM333" i="29"/>
  <c r="LN333" i="29"/>
  <c r="LO333" i="29"/>
  <c r="LP333" i="29"/>
  <c r="LQ333" i="29"/>
  <c r="LR333" i="29"/>
  <c r="LS333" i="29"/>
  <c r="LT333" i="29"/>
  <c r="LU333" i="29"/>
  <c r="LV333" i="29"/>
  <c r="LW333" i="29"/>
  <c r="LX333" i="29"/>
  <c r="LY333" i="29"/>
  <c r="LZ333" i="29"/>
  <c r="MA333" i="29"/>
  <c r="MB333" i="29"/>
  <c r="MC333" i="29"/>
  <c r="MD333" i="29"/>
  <c r="ME333" i="29"/>
  <c r="MF333" i="29"/>
  <c r="MG333" i="29"/>
  <c r="MH333" i="29"/>
  <c r="MI333" i="29"/>
  <c r="MJ333" i="29"/>
  <c r="MK333" i="29"/>
  <c r="ML333" i="29"/>
  <c r="MM333" i="29"/>
  <c r="MN333" i="29"/>
  <c r="MO333" i="29"/>
  <c r="MP333" i="29"/>
  <c r="MQ333" i="29"/>
  <c r="MR333" i="29"/>
  <c r="MS333" i="29"/>
  <c r="MT333" i="29"/>
  <c r="MU333" i="29"/>
  <c r="MV333" i="29"/>
  <c r="MW333" i="29"/>
  <c r="MX333" i="29"/>
  <c r="MY333" i="29"/>
  <c r="MZ333" i="29"/>
  <c r="NA333" i="29"/>
  <c r="NB333" i="29"/>
  <c r="NC333" i="29"/>
  <c r="ND333" i="29"/>
  <c r="NE333" i="29"/>
  <c r="NF333" i="29"/>
  <c r="NG333" i="29"/>
  <c r="NH333" i="29"/>
  <c r="NI333" i="29"/>
  <c r="NJ333" i="29"/>
  <c r="NK333" i="29"/>
  <c r="NL333" i="29"/>
  <c r="NM333" i="29"/>
  <c r="NN333" i="29"/>
  <c r="NO333" i="29"/>
  <c r="NP333" i="29"/>
  <c r="NQ333" i="29"/>
  <c r="NR333" i="29"/>
  <c r="NS333" i="29"/>
  <c r="NT333" i="29"/>
  <c r="NU333" i="29"/>
  <c r="NV333" i="29"/>
  <c r="NW333" i="29"/>
  <c r="NX333" i="29"/>
  <c r="NY333" i="29"/>
  <c r="NZ333" i="29"/>
  <c r="OA333" i="29"/>
  <c r="OB333" i="29"/>
  <c r="OC333" i="29"/>
  <c r="OD333" i="29"/>
  <c r="OE333" i="29"/>
  <c r="OF333" i="29"/>
  <c r="OG333" i="29"/>
  <c r="OH333" i="29"/>
  <c r="OI333" i="29"/>
  <c r="OJ333" i="29"/>
  <c r="OK333" i="29"/>
  <c r="OL333" i="29"/>
  <c r="OM333" i="29"/>
  <c r="ON333" i="29"/>
  <c r="OO333" i="29"/>
  <c r="OP333" i="29"/>
  <c r="OQ333" i="29"/>
  <c r="OR333" i="29"/>
  <c r="OS333" i="29"/>
  <c r="OT333" i="29"/>
  <c r="OU333" i="29"/>
  <c r="OV333" i="29"/>
  <c r="OW333" i="29"/>
  <c r="OX333" i="29"/>
  <c r="OY333" i="29"/>
  <c r="OZ333" i="29"/>
  <c r="PA333" i="29"/>
  <c r="PB333" i="29"/>
  <c r="PC333" i="29"/>
  <c r="PD333" i="29"/>
  <c r="PE333" i="29"/>
  <c r="PF333" i="29"/>
  <c r="PG333" i="29"/>
  <c r="PH333" i="29"/>
  <c r="PI333" i="29"/>
  <c r="PJ333" i="29"/>
  <c r="PK333" i="29"/>
  <c r="PL333" i="29"/>
  <c r="PM333" i="29"/>
  <c r="PN333" i="29"/>
  <c r="PO333" i="29"/>
  <c r="PP333" i="29"/>
  <c r="PQ333" i="29"/>
  <c r="PR333" i="29"/>
  <c r="PS333" i="29"/>
  <c r="PT333" i="29"/>
  <c r="PU333" i="29"/>
  <c r="PV333" i="29"/>
  <c r="PW333" i="29"/>
  <c r="PX333" i="29"/>
  <c r="PY333" i="29"/>
  <c r="PZ333" i="29"/>
  <c r="QA333" i="29"/>
  <c r="QB333" i="29"/>
  <c r="QC333" i="29"/>
  <c r="QD333" i="29"/>
  <c r="QE333" i="29"/>
  <c r="QF333" i="29"/>
  <c r="QG333" i="29"/>
  <c r="QH333" i="29"/>
  <c r="QI333" i="29"/>
  <c r="QJ333" i="29"/>
  <c r="QK333" i="29"/>
  <c r="QL333" i="29"/>
  <c r="QM333" i="29"/>
  <c r="QN333" i="29"/>
  <c r="QO333" i="29"/>
  <c r="QP333" i="29"/>
  <c r="QQ333" i="29"/>
  <c r="QR333" i="29"/>
  <c r="QS333" i="29"/>
  <c r="QT333" i="29"/>
  <c r="QU333" i="29"/>
  <c r="QV333" i="29"/>
  <c r="QW333" i="29"/>
  <c r="QX333" i="29"/>
  <c r="QY333" i="29"/>
  <c r="QZ333" i="29"/>
  <c r="RA333" i="29"/>
  <c r="RB333" i="29"/>
  <c r="RC333" i="29"/>
  <c r="RD333" i="29"/>
  <c r="RE333" i="29"/>
  <c r="RF333" i="29"/>
  <c r="RG333" i="29"/>
  <c r="RH333" i="29"/>
  <c r="RI333" i="29"/>
  <c r="RJ333" i="29"/>
  <c r="RK333" i="29"/>
  <c r="RL333" i="29"/>
  <c r="RM333" i="29"/>
  <c r="RN333" i="29"/>
  <c r="RO333" i="29"/>
  <c r="RP333" i="29"/>
  <c r="RQ333" i="29"/>
  <c r="RR333" i="29"/>
  <c r="RS333" i="29"/>
  <c r="RT333" i="29"/>
  <c r="RU333" i="29"/>
  <c r="RV333" i="29"/>
  <c r="RW333" i="29"/>
  <c r="RX333" i="29"/>
  <c r="RY333" i="29"/>
  <c r="RZ333" i="29"/>
  <c r="SA333" i="29"/>
  <c r="SB333" i="29"/>
  <c r="SC333" i="29"/>
  <c r="SD333" i="29"/>
  <c r="SE333" i="29"/>
  <c r="SF333" i="29"/>
  <c r="SG333" i="29"/>
  <c r="SH333" i="29"/>
  <c r="SI333" i="29"/>
  <c r="SJ333" i="29"/>
  <c r="SK333" i="29"/>
  <c r="SL333" i="29"/>
  <c r="SM333" i="29"/>
  <c r="SN333" i="29"/>
  <c r="SO333" i="29"/>
  <c r="SP333" i="29"/>
  <c r="SQ333" i="29"/>
  <c r="SR333" i="29"/>
  <c r="SS333" i="29"/>
  <c r="B334" i="29"/>
  <c r="C334" i="29"/>
  <c r="D334" i="29"/>
  <c r="E334" i="29"/>
  <c r="F334" i="29"/>
  <c r="G334" i="29"/>
  <c r="H334" i="29"/>
  <c r="I334" i="29"/>
  <c r="J334" i="29"/>
  <c r="K334" i="29"/>
  <c r="L334" i="29"/>
  <c r="M334" i="29"/>
  <c r="N334" i="29"/>
  <c r="O334" i="29"/>
  <c r="P334" i="29"/>
  <c r="Q334" i="29"/>
  <c r="R334" i="29"/>
  <c r="S334" i="29"/>
  <c r="T334" i="29"/>
  <c r="U334" i="29"/>
  <c r="V334" i="29"/>
  <c r="W334" i="29"/>
  <c r="X334" i="29"/>
  <c r="Y334" i="29"/>
  <c r="Z334" i="29"/>
  <c r="AA334" i="29"/>
  <c r="AB334" i="29"/>
  <c r="AC334" i="29"/>
  <c r="AD334" i="29"/>
  <c r="AE334" i="29"/>
  <c r="AF334" i="29"/>
  <c r="AG334" i="29"/>
  <c r="AH334" i="29"/>
  <c r="AI334" i="29"/>
  <c r="AJ334" i="29"/>
  <c r="AK334" i="29"/>
  <c r="AL334" i="29"/>
  <c r="AM334" i="29"/>
  <c r="AN334" i="29"/>
  <c r="AO334" i="29"/>
  <c r="AP334" i="29"/>
  <c r="AQ334" i="29"/>
  <c r="AR334" i="29"/>
  <c r="AS334" i="29"/>
  <c r="AT334" i="29"/>
  <c r="AU334" i="29"/>
  <c r="AV334" i="29"/>
  <c r="AW334" i="29"/>
  <c r="AX334" i="29"/>
  <c r="AY334" i="29"/>
  <c r="AZ334" i="29"/>
  <c r="BA334" i="29"/>
  <c r="BB334" i="29"/>
  <c r="BC334" i="29"/>
  <c r="BD334" i="29"/>
  <c r="BE334" i="29"/>
  <c r="BF334" i="29"/>
  <c r="BG334" i="29"/>
  <c r="BH334" i="29"/>
  <c r="BI334" i="29"/>
  <c r="BJ334" i="29"/>
  <c r="BK334" i="29"/>
  <c r="BL334" i="29"/>
  <c r="BM334" i="29"/>
  <c r="BN334" i="29"/>
  <c r="BO334" i="29"/>
  <c r="BP334" i="29"/>
  <c r="BQ334" i="29"/>
  <c r="BR334" i="29"/>
  <c r="BS334" i="29"/>
  <c r="BT334" i="29"/>
  <c r="BU334" i="29"/>
  <c r="BV334" i="29"/>
  <c r="BW334" i="29"/>
  <c r="BX334" i="29"/>
  <c r="BY334" i="29"/>
  <c r="BZ334" i="29"/>
  <c r="CA334" i="29"/>
  <c r="CB334" i="29"/>
  <c r="CC334" i="29"/>
  <c r="CD334" i="29"/>
  <c r="CE334" i="29"/>
  <c r="CF334" i="29"/>
  <c r="CG334" i="29"/>
  <c r="CH334" i="29"/>
  <c r="CI334" i="29"/>
  <c r="CJ334" i="29"/>
  <c r="CK334" i="29"/>
  <c r="CL334" i="29"/>
  <c r="CM334" i="29"/>
  <c r="CN334" i="29"/>
  <c r="CO334" i="29"/>
  <c r="CP334" i="29"/>
  <c r="CQ334" i="29"/>
  <c r="CR334" i="29"/>
  <c r="CS334" i="29"/>
  <c r="CT334" i="29"/>
  <c r="CU334" i="29"/>
  <c r="CV334" i="29"/>
  <c r="CW334" i="29"/>
  <c r="CX334" i="29"/>
  <c r="CY334" i="29"/>
  <c r="CZ334" i="29"/>
  <c r="DA334" i="29"/>
  <c r="DB334" i="29"/>
  <c r="DC334" i="29"/>
  <c r="DD334" i="29"/>
  <c r="DE334" i="29"/>
  <c r="DF334" i="29"/>
  <c r="DG334" i="29"/>
  <c r="DH334" i="29"/>
  <c r="DI334" i="29"/>
  <c r="DJ334" i="29"/>
  <c r="DK334" i="29"/>
  <c r="DL334" i="29"/>
  <c r="DM334" i="29"/>
  <c r="DN334" i="29"/>
  <c r="DO334" i="29"/>
  <c r="DP334" i="29"/>
  <c r="DQ334" i="29"/>
  <c r="DR334" i="29"/>
  <c r="DS334" i="29"/>
  <c r="DT334" i="29"/>
  <c r="DU334" i="29"/>
  <c r="DV334" i="29"/>
  <c r="DW334" i="29"/>
  <c r="DX334" i="29"/>
  <c r="DY334" i="29"/>
  <c r="DZ334" i="29"/>
  <c r="EA334" i="29"/>
  <c r="EB334" i="29"/>
  <c r="EC334" i="29"/>
  <c r="ED334" i="29"/>
  <c r="EE334" i="29"/>
  <c r="EF334" i="29"/>
  <c r="EG334" i="29"/>
  <c r="EH334" i="29"/>
  <c r="EI334" i="29"/>
  <c r="EJ334" i="29"/>
  <c r="EK334" i="29"/>
  <c r="EL334" i="29"/>
  <c r="EM334" i="29"/>
  <c r="EN334" i="29"/>
  <c r="EO334" i="29"/>
  <c r="EP334" i="29"/>
  <c r="EQ334" i="29"/>
  <c r="ER334" i="29"/>
  <c r="ES334" i="29"/>
  <c r="ET334" i="29"/>
  <c r="EU334" i="29"/>
  <c r="EV334" i="29"/>
  <c r="EW334" i="29"/>
  <c r="EX334" i="29"/>
  <c r="EY334" i="29"/>
  <c r="EZ334" i="29"/>
  <c r="FA334" i="29"/>
  <c r="FB334" i="29"/>
  <c r="FC334" i="29"/>
  <c r="FD334" i="29"/>
  <c r="FE334" i="29"/>
  <c r="FF334" i="29"/>
  <c r="FG334" i="29"/>
  <c r="FH334" i="29"/>
  <c r="FI334" i="29"/>
  <c r="FJ334" i="29"/>
  <c r="FK334" i="29"/>
  <c r="FL334" i="29"/>
  <c r="FM334" i="29"/>
  <c r="FN334" i="29"/>
  <c r="FO334" i="29"/>
  <c r="FP334" i="29"/>
  <c r="FQ334" i="29"/>
  <c r="FR334" i="29"/>
  <c r="FS334" i="29"/>
  <c r="FT334" i="29"/>
  <c r="FU334" i="29"/>
  <c r="FV334" i="29"/>
  <c r="FW334" i="29"/>
  <c r="FX334" i="29"/>
  <c r="FY334" i="29"/>
  <c r="FZ334" i="29"/>
  <c r="GA334" i="29"/>
  <c r="GB334" i="29"/>
  <c r="GC334" i="29"/>
  <c r="GD334" i="29"/>
  <c r="GE334" i="29"/>
  <c r="GF334" i="29"/>
  <c r="GG334" i="29"/>
  <c r="GH334" i="29"/>
  <c r="GI334" i="29"/>
  <c r="GJ334" i="29"/>
  <c r="GK334" i="29"/>
  <c r="GL334" i="29"/>
  <c r="GM334" i="29"/>
  <c r="GN334" i="29"/>
  <c r="GO334" i="29"/>
  <c r="GP334" i="29"/>
  <c r="GQ334" i="29"/>
  <c r="GR334" i="29"/>
  <c r="GS334" i="29"/>
  <c r="GT334" i="29"/>
  <c r="GU334" i="29"/>
  <c r="GV334" i="29"/>
  <c r="GW334" i="29"/>
  <c r="GX334" i="29"/>
  <c r="GY334" i="29"/>
  <c r="GZ334" i="29"/>
  <c r="HA334" i="29"/>
  <c r="HB334" i="29"/>
  <c r="HC334" i="29"/>
  <c r="HD334" i="29"/>
  <c r="HE334" i="29"/>
  <c r="HF334" i="29"/>
  <c r="HG334" i="29"/>
  <c r="HH334" i="29"/>
  <c r="HI334" i="29"/>
  <c r="HJ334" i="29"/>
  <c r="HK334" i="29"/>
  <c r="HL334" i="29"/>
  <c r="HM334" i="29"/>
  <c r="HN334" i="29"/>
  <c r="HO334" i="29"/>
  <c r="HP334" i="29"/>
  <c r="HQ334" i="29"/>
  <c r="HR334" i="29"/>
  <c r="HS334" i="29"/>
  <c r="HT334" i="29"/>
  <c r="HU334" i="29"/>
  <c r="HV334" i="29"/>
  <c r="HW334" i="29"/>
  <c r="HX334" i="29"/>
  <c r="HY334" i="29"/>
  <c r="HZ334" i="29"/>
  <c r="IA334" i="29"/>
  <c r="IB334" i="29"/>
  <c r="IC334" i="29"/>
  <c r="ID334" i="29"/>
  <c r="IE334" i="29"/>
  <c r="IF334" i="29"/>
  <c r="IG334" i="29"/>
  <c r="IH334" i="29"/>
  <c r="II334" i="29"/>
  <c r="IJ334" i="29"/>
  <c r="IK334" i="29"/>
  <c r="IL334" i="29"/>
  <c r="IM334" i="29"/>
  <c r="IN334" i="29"/>
  <c r="IO334" i="29"/>
  <c r="IP334" i="29"/>
  <c r="IQ334" i="29"/>
  <c r="IR334" i="29"/>
  <c r="IS334" i="29"/>
  <c r="IT334" i="29"/>
  <c r="IU334" i="29"/>
  <c r="IV334" i="29"/>
  <c r="IW334" i="29"/>
  <c r="IX334" i="29"/>
  <c r="IY334" i="29"/>
  <c r="IZ334" i="29"/>
  <c r="JA334" i="29"/>
  <c r="JB334" i="29"/>
  <c r="JC334" i="29"/>
  <c r="JD334" i="29"/>
  <c r="JE334" i="29"/>
  <c r="JF334" i="29"/>
  <c r="JG334" i="29"/>
  <c r="JH334" i="29"/>
  <c r="JI334" i="29"/>
  <c r="JJ334" i="29"/>
  <c r="JK334" i="29"/>
  <c r="JL334" i="29"/>
  <c r="JM334" i="29"/>
  <c r="JN334" i="29"/>
  <c r="JO334" i="29"/>
  <c r="JP334" i="29"/>
  <c r="JQ334" i="29"/>
  <c r="JR334" i="29"/>
  <c r="JS334" i="29"/>
  <c r="JT334" i="29"/>
  <c r="JU334" i="29"/>
  <c r="JV334" i="29"/>
  <c r="JW334" i="29"/>
  <c r="JX334" i="29"/>
  <c r="JY334" i="29"/>
  <c r="JZ334" i="29"/>
  <c r="KA334" i="29"/>
  <c r="KB334" i="29"/>
  <c r="KC334" i="29"/>
  <c r="KD334" i="29"/>
  <c r="KE334" i="29"/>
  <c r="KF334" i="29"/>
  <c r="KG334" i="29"/>
  <c r="KH334" i="29"/>
  <c r="KI334" i="29"/>
  <c r="KJ334" i="29"/>
  <c r="KK334" i="29"/>
  <c r="KL334" i="29"/>
  <c r="KM334" i="29"/>
  <c r="KN334" i="29"/>
  <c r="KO334" i="29"/>
  <c r="KP334" i="29"/>
  <c r="KQ334" i="29"/>
  <c r="KR334" i="29"/>
  <c r="KS334" i="29"/>
  <c r="KT334" i="29"/>
  <c r="KU334" i="29"/>
  <c r="KV334" i="29"/>
  <c r="KW334" i="29"/>
  <c r="KX334" i="29"/>
  <c r="KY334" i="29"/>
  <c r="KZ334" i="29"/>
  <c r="LA334" i="29"/>
  <c r="LB334" i="29"/>
  <c r="LC334" i="29"/>
  <c r="LD334" i="29"/>
  <c r="LE334" i="29"/>
  <c r="LF334" i="29"/>
  <c r="LG334" i="29"/>
  <c r="LH334" i="29"/>
  <c r="LI334" i="29"/>
  <c r="LJ334" i="29"/>
  <c r="LK334" i="29"/>
  <c r="LL334" i="29"/>
  <c r="LM334" i="29"/>
  <c r="LN334" i="29"/>
  <c r="LO334" i="29"/>
  <c r="LP334" i="29"/>
  <c r="LQ334" i="29"/>
  <c r="LR334" i="29"/>
  <c r="LS334" i="29"/>
  <c r="LT334" i="29"/>
  <c r="LU334" i="29"/>
  <c r="LV334" i="29"/>
  <c r="LW334" i="29"/>
  <c r="LX334" i="29"/>
  <c r="LY334" i="29"/>
  <c r="LZ334" i="29"/>
  <c r="MA334" i="29"/>
  <c r="MB334" i="29"/>
  <c r="MC334" i="29"/>
  <c r="MD334" i="29"/>
  <c r="ME334" i="29"/>
  <c r="MF334" i="29"/>
  <c r="MG334" i="29"/>
  <c r="MH334" i="29"/>
  <c r="MI334" i="29"/>
  <c r="MJ334" i="29"/>
  <c r="MK334" i="29"/>
  <c r="ML334" i="29"/>
  <c r="MM334" i="29"/>
  <c r="MN334" i="29"/>
  <c r="MO334" i="29"/>
  <c r="MP334" i="29"/>
  <c r="MQ334" i="29"/>
  <c r="MR334" i="29"/>
  <c r="MS334" i="29"/>
  <c r="MT334" i="29"/>
  <c r="MU334" i="29"/>
  <c r="MV334" i="29"/>
  <c r="MW334" i="29"/>
  <c r="MX334" i="29"/>
  <c r="MY334" i="29"/>
  <c r="MZ334" i="29"/>
  <c r="NA334" i="29"/>
  <c r="NB334" i="29"/>
  <c r="NC334" i="29"/>
  <c r="ND334" i="29"/>
  <c r="NE334" i="29"/>
  <c r="NF334" i="29"/>
  <c r="NG334" i="29"/>
  <c r="NH334" i="29"/>
  <c r="NI334" i="29"/>
  <c r="NJ334" i="29"/>
  <c r="NK334" i="29"/>
  <c r="NL334" i="29"/>
  <c r="NM334" i="29"/>
  <c r="NN334" i="29"/>
  <c r="NO334" i="29"/>
  <c r="NP334" i="29"/>
  <c r="NQ334" i="29"/>
  <c r="NR334" i="29"/>
  <c r="NS334" i="29"/>
  <c r="NT334" i="29"/>
  <c r="NU334" i="29"/>
  <c r="NV334" i="29"/>
  <c r="NW334" i="29"/>
  <c r="NX334" i="29"/>
  <c r="NY334" i="29"/>
  <c r="NZ334" i="29"/>
  <c r="OA334" i="29"/>
  <c r="OB334" i="29"/>
  <c r="OC334" i="29"/>
  <c r="OD334" i="29"/>
  <c r="OE334" i="29"/>
  <c r="OF334" i="29"/>
  <c r="OG334" i="29"/>
  <c r="OH334" i="29"/>
  <c r="OI334" i="29"/>
  <c r="OJ334" i="29"/>
  <c r="OK334" i="29"/>
  <c r="OL334" i="29"/>
  <c r="OM334" i="29"/>
  <c r="ON334" i="29"/>
  <c r="OO334" i="29"/>
  <c r="OP334" i="29"/>
  <c r="OQ334" i="29"/>
  <c r="OR334" i="29"/>
  <c r="OS334" i="29"/>
  <c r="OT334" i="29"/>
  <c r="OU334" i="29"/>
  <c r="OV334" i="29"/>
  <c r="OW334" i="29"/>
  <c r="OX334" i="29"/>
  <c r="OY334" i="29"/>
  <c r="OZ334" i="29"/>
  <c r="PA334" i="29"/>
  <c r="PB334" i="29"/>
  <c r="PC334" i="29"/>
  <c r="PD334" i="29"/>
  <c r="PE334" i="29"/>
  <c r="PF334" i="29"/>
  <c r="PG334" i="29"/>
  <c r="PH334" i="29"/>
  <c r="PI334" i="29"/>
  <c r="PJ334" i="29"/>
  <c r="PK334" i="29"/>
  <c r="PL334" i="29"/>
  <c r="PM334" i="29"/>
  <c r="PN334" i="29"/>
  <c r="PO334" i="29"/>
  <c r="PP334" i="29"/>
  <c r="PQ334" i="29"/>
  <c r="PR334" i="29"/>
  <c r="PS334" i="29"/>
  <c r="PT334" i="29"/>
  <c r="PU334" i="29"/>
  <c r="PV334" i="29"/>
  <c r="PW334" i="29"/>
  <c r="PX334" i="29"/>
  <c r="PY334" i="29"/>
  <c r="PZ334" i="29"/>
  <c r="QA334" i="29"/>
  <c r="QB334" i="29"/>
  <c r="QC334" i="29"/>
  <c r="QD334" i="29"/>
  <c r="QE334" i="29"/>
  <c r="QF334" i="29"/>
  <c r="QG334" i="29"/>
  <c r="QH334" i="29"/>
  <c r="QI334" i="29"/>
  <c r="QJ334" i="29"/>
  <c r="QK334" i="29"/>
  <c r="QL334" i="29"/>
  <c r="QM334" i="29"/>
  <c r="QN334" i="29"/>
  <c r="QO334" i="29"/>
  <c r="QP334" i="29"/>
  <c r="QQ334" i="29"/>
  <c r="QR334" i="29"/>
  <c r="QS334" i="29"/>
  <c r="QT334" i="29"/>
  <c r="QU334" i="29"/>
  <c r="QV334" i="29"/>
  <c r="QW334" i="29"/>
  <c r="QX334" i="29"/>
  <c r="QY334" i="29"/>
  <c r="QZ334" i="29"/>
  <c r="RA334" i="29"/>
  <c r="RB334" i="29"/>
  <c r="RC334" i="29"/>
  <c r="RD334" i="29"/>
  <c r="RE334" i="29"/>
  <c r="RF334" i="29"/>
  <c r="RG334" i="29"/>
  <c r="RH334" i="29"/>
  <c r="RI334" i="29"/>
  <c r="RJ334" i="29"/>
  <c r="RK334" i="29"/>
  <c r="RL334" i="29"/>
  <c r="RM334" i="29"/>
  <c r="RN334" i="29"/>
  <c r="RO334" i="29"/>
  <c r="RP334" i="29"/>
  <c r="RQ334" i="29"/>
  <c r="RR334" i="29"/>
  <c r="RS334" i="29"/>
  <c r="RT334" i="29"/>
  <c r="RU334" i="29"/>
  <c r="RV334" i="29"/>
  <c r="RW334" i="29"/>
  <c r="RX334" i="29"/>
  <c r="RY334" i="29"/>
  <c r="RZ334" i="29"/>
  <c r="SA334" i="29"/>
  <c r="SB334" i="29"/>
  <c r="SC334" i="29"/>
  <c r="SD334" i="29"/>
  <c r="SE334" i="29"/>
  <c r="SF334" i="29"/>
  <c r="SG334" i="29"/>
  <c r="SH334" i="29"/>
  <c r="SI334" i="29"/>
  <c r="SJ334" i="29"/>
  <c r="SK334" i="29"/>
  <c r="SL334" i="29"/>
  <c r="SM334" i="29"/>
  <c r="SN334" i="29"/>
  <c r="SO334" i="29"/>
  <c r="SP334" i="29"/>
  <c r="SQ334" i="29"/>
  <c r="SR334" i="29"/>
  <c r="SS334" i="29"/>
  <c r="B335" i="29"/>
  <c r="C335" i="29"/>
  <c r="D335" i="29"/>
  <c r="E335" i="29"/>
  <c r="F335" i="29"/>
  <c r="G335" i="29"/>
  <c r="H335" i="29"/>
  <c r="I335" i="29"/>
  <c r="J335" i="29"/>
  <c r="K335" i="29"/>
  <c r="L335" i="29"/>
  <c r="M335" i="29"/>
  <c r="N335" i="29"/>
  <c r="O335" i="29"/>
  <c r="P335" i="29"/>
  <c r="Q335" i="29"/>
  <c r="R335" i="29"/>
  <c r="S335" i="29"/>
  <c r="T335" i="29"/>
  <c r="U335" i="29"/>
  <c r="V335" i="29"/>
  <c r="W335" i="29"/>
  <c r="X335" i="29"/>
  <c r="Y335" i="29"/>
  <c r="Z335" i="29"/>
  <c r="AA335" i="29"/>
  <c r="AB335" i="29"/>
  <c r="AC335" i="29"/>
  <c r="AD335" i="29"/>
  <c r="AE335" i="29"/>
  <c r="AF335" i="29"/>
  <c r="AG335" i="29"/>
  <c r="AH335" i="29"/>
  <c r="AI335" i="29"/>
  <c r="AJ335" i="29"/>
  <c r="AK335" i="29"/>
  <c r="AL335" i="29"/>
  <c r="AM335" i="29"/>
  <c r="AN335" i="29"/>
  <c r="AO335" i="29"/>
  <c r="AP335" i="29"/>
  <c r="AQ335" i="29"/>
  <c r="AR335" i="29"/>
  <c r="AS335" i="29"/>
  <c r="AT335" i="29"/>
  <c r="AU335" i="29"/>
  <c r="AV335" i="29"/>
  <c r="AW335" i="29"/>
  <c r="AX335" i="29"/>
  <c r="AY335" i="29"/>
  <c r="AZ335" i="29"/>
  <c r="BA335" i="29"/>
  <c r="BB335" i="29"/>
  <c r="BC335" i="29"/>
  <c r="BD335" i="29"/>
  <c r="BE335" i="29"/>
  <c r="BF335" i="29"/>
  <c r="BG335" i="29"/>
  <c r="BH335" i="29"/>
  <c r="BI335" i="29"/>
  <c r="BJ335" i="29"/>
  <c r="BK335" i="29"/>
  <c r="BL335" i="29"/>
  <c r="BM335" i="29"/>
  <c r="BN335" i="29"/>
  <c r="BO335" i="29"/>
  <c r="BP335" i="29"/>
  <c r="BQ335" i="29"/>
  <c r="BR335" i="29"/>
  <c r="BS335" i="29"/>
  <c r="BT335" i="29"/>
  <c r="BU335" i="29"/>
  <c r="BV335" i="29"/>
  <c r="BW335" i="29"/>
  <c r="BX335" i="29"/>
  <c r="BY335" i="29"/>
  <c r="BZ335" i="29"/>
  <c r="CA335" i="29"/>
  <c r="CB335" i="29"/>
  <c r="CC335" i="29"/>
  <c r="CD335" i="29"/>
  <c r="CE335" i="29"/>
  <c r="CF335" i="29"/>
  <c r="CG335" i="29"/>
  <c r="CH335" i="29"/>
  <c r="CI335" i="29"/>
  <c r="CJ335" i="29"/>
  <c r="CK335" i="29"/>
  <c r="CL335" i="29"/>
  <c r="CM335" i="29"/>
  <c r="CN335" i="29"/>
  <c r="CO335" i="29"/>
  <c r="CP335" i="29"/>
  <c r="CQ335" i="29"/>
  <c r="CR335" i="29"/>
  <c r="CS335" i="29"/>
  <c r="CT335" i="29"/>
  <c r="CU335" i="29"/>
  <c r="CV335" i="29"/>
  <c r="CW335" i="29"/>
  <c r="CX335" i="29"/>
  <c r="CY335" i="29"/>
  <c r="CZ335" i="29"/>
  <c r="DA335" i="29"/>
  <c r="DB335" i="29"/>
  <c r="DC335" i="29"/>
  <c r="DD335" i="29"/>
  <c r="DE335" i="29"/>
  <c r="DF335" i="29"/>
  <c r="DG335" i="29"/>
  <c r="DH335" i="29"/>
  <c r="DI335" i="29"/>
  <c r="DJ335" i="29"/>
  <c r="DK335" i="29"/>
  <c r="DL335" i="29"/>
  <c r="DM335" i="29"/>
  <c r="DN335" i="29"/>
  <c r="DO335" i="29"/>
  <c r="DP335" i="29"/>
  <c r="DQ335" i="29"/>
  <c r="DR335" i="29"/>
  <c r="DS335" i="29"/>
  <c r="DT335" i="29"/>
  <c r="DU335" i="29"/>
  <c r="DV335" i="29"/>
  <c r="DW335" i="29"/>
  <c r="DX335" i="29"/>
  <c r="DY335" i="29"/>
  <c r="DZ335" i="29"/>
  <c r="EA335" i="29"/>
  <c r="EB335" i="29"/>
  <c r="EC335" i="29"/>
  <c r="ED335" i="29"/>
  <c r="EE335" i="29"/>
  <c r="EF335" i="29"/>
  <c r="EG335" i="29"/>
  <c r="EH335" i="29"/>
  <c r="EI335" i="29"/>
  <c r="EJ335" i="29"/>
  <c r="EK335" i="29"/>
  <c r="EL335" i="29"/>
  <c r="EM335" i="29"/>
  <c r="EN335" i="29"/>
  <c r="EO335" i="29"/>
  <c r="EP335" i="29"/>
  <c r="EQ335" i="29"/>
  <c r="ER335" i="29"/>
  <c r="ES335" i="29"/>
  <c r="ET335" i="29"/>
  <c r="EU335" i="29"/>
  <c r="EV335" i="29"/>
  <c r="EW335" i="29"/>
  <c r="EX335" i="29"/>
  <c r="EY335" i="29"/>
  <c r="EZ335" i="29"/>
  <c r="FA335" i="29"/>
  <c r="FB335" i="29"/>
  <c r="FC335" i="29"/>
  <c r="FD335" i="29"/>
  <c r="FE335" i="29"/>
  <c r="FF335" i="29"/>
  <c r="FG335" i="29"/>
  <c r="FH335" i="29"/>
  <c r="FI335" i="29"/>
  <c r="FJ335" i="29"/>
  <c r="FK335" i="29"/>
  <c r="FL335" i="29"/>
  <c r="FM335" i="29"/>
  <c r="FN335" i="29"/>
  <c r="FO335" i="29"/>
  <c r="FP335" i="29"/>
  <c r="FQ335" i="29"/>
  <c r="FR335" i="29"/>
  <c r="FS335" i="29"/>
  <c r="FT335" i="29"/>
  <c r="FU335" i="29"/>
  <c r="FV335" i="29"/>
  <c r="FW335" i="29"/>
  <c r="FX335" i="29"/>
  <c r="FY335" i="29"/>
  <c r="FZ335" i="29"/>
  <c r="GA335" i="29"/>
  <c r="GB335" i="29"/>
  <c r="GC335" i="29"/>
  <c r="GD335" i="29"/>
  <c r="GE335" i="29"/>
  <c r="GF335" i="29"/>
  <c r="GG335" i="29"/>
  <c r="GH335" i="29"/>
  <c r="GI335" i="29"/>
  <c r="GJ335" i="29"/>
  <c r="GK335" i="29"/>
  <c r="GL335" i="29"/>
  <c r="GM335" i="29"/>
  <c r="GN335" i="29"/>
  <c r="GO335" i="29"/>
  <c r="GP335" i="29"/>
  <c r="GQ335" i="29"/>
  <c r="GR335" i="29"/>
  <c r="GS335" i="29"/>
  <c r="GT335" i="29"/>
  <c r="GU335" i="29"/>
  <c r="GV335" i="29"/>
  <c r="GW335" i="29"/>
  <c r="GX335" i="29"/>
  <c r="GY335" i="29"/>
  <c r="GZ335" i="29"/>
  <c r="HA335" i="29"/>
  <c r="HB335" i="29"/>
  <c r="HC335" i="29"/>
  <c r="HD335" i="29"/>
  <c r="HE335" i="29"/>
  <c r="HF335" i="29"/>
  <c r="HG335" i="29"/>
  <c r="HH335" i="29"/>
  <c r="HI335" i="29"/>
  <c r="HJ335" i="29"/>
  <c r="HK335" i="29"/>
  <c r="HL335" i="29"/>
  <c r="HM335" i="29"/>
  <c r="HN335" i="29"/>
  <c r="HO335" i="29"/>
  <c r="HP335" i="29"/>
  <c r="HQ335" i="29"/>
  <c r="HR335" i="29"/>
  <c r="HS335" i="29"/>
  <c r="HT335" i="29"/>
  <c r="HU335" i="29"/>
  <c r="HV335" i="29"/>
  <c r="HW335" i="29"/>
  <c r="HX335" i="29"/>
  <c r="HY335" i="29"/>
  <c r="HZ335" i="29"/>
  <c r="IA335" i="29"/>
  <c r="IB335" i="29"/>
  <c r="IC335" i="29"/>
  <c r="ID335" i="29"/>
  <c r="IE335" i="29"/>
  <c r="IF335" i="29"/>
  <c r="IG335" i="29"/>
  <c r="IH335" i="29"/>
  <c r="II335" i="29"/>
  <c r="IJ335" i="29"/>
  <c r="IK335" i="29"/>
  <c r="IL335" i="29"/>
  <c r="IM335" i="29"/>
  <c r="IN335" i="29"/>
  <c r="IO335" i="29"/>
  <c r="IP335" i="29"/>
  <c r="IQ335" i="29"/>
  <c r="IR335" i="29"/>
  <c r="IS335" i="29"/>
  <c r="IT335" i="29"/>
  <c r="IU335" i="29"/>
  <c r="IV335" i="29"/>
  <c r="IW335" i="29"/>
  <c r="IX335" i="29"/>
  <c r="IY335" i="29"/>
  <c r="IZ335" i="29"/>
  <c r="JA335" i="29"/>
  <c r="JB335" i="29"/>
  <c r="JC335" i="29"/>
  <c r="JD335" i="29"/>
  <c r="JE335" i="29"/>
  <c r="JF335" i="29"/>
  <c r="JG335" i="29"/>
  <c r="JH335" i="29"/>
  <c r="JI335" i="29"/>
  <c r="JJ335" i="29"/>
  <c r="JK335" i="29"/>
  <c r="JL335" i="29"/>
  <c r="JM335" i="29"/>
  <c r="JN335" i="29"/>
  <c r="JO335" i="29"/>
  <c r="JP335" i="29"/>
  <c r="JQ335" i="29"/>
  <c r="JR335" i="29"/>
  <c r="JS335" i="29"/>
  <c r="JT335" i="29"/>
  <c r="JU335" i="29"/>
  <c r="JV335" i="29"/>
  <c r="JW335" i="29"/>
  <c r="JX335" i="29"/>
  <c r="JY335" i="29"/>
  <c r="JZ335" i="29"/>
  <c r="KA335" i="29"/>
  <c r="KB335" i="29"/>
  <c r="KC335" i="29"/>
  <c r="KD335" i="29"/>
  <c r="KE335" i="29"/>
  <c r="KF335" i="29"/>
  <c r="KG335" i="29"/>
  <c r="KH335" i="29"/>
  <c r="KI335" i="29"/>
  <c r="KJ335" i="29"/>
  <c r="KK335" i="29"/>
  <c r="KL335" i="29"/>
  <c r="KM335" i="29"/>
  <c r="KN335" i="29"/>
  <c r="KO335" i="29"/>
  <c r="KP335" i="29"/>
  <c r="KQ335" i="29"/>
  <c r="KR335" i="29"/>
  <c r="KS335" i="29"/>
  <c r="KT335" i="29"/>
  <c r="KU335" i="29"/>
  <c r="KV335" i="29"/>
  <c r="KW335" i="29"/>
  <c r="KX335" i="29"/>
  <c r="KY335" i="29"/>
  <c r="KZ335" i="29"/>
  <c r="LA335" i="29"/>
  <c r="LB335" i="29"/>
  <c r="LC335" i="29"/>
  <c r="LD335" i="29"/>
  <c r="LE335" i="29"/>
  <c r="LF335" i="29"/>
  <c r="LG335" i="29"/>
  <c r="LH335" i="29"/>
  <c r="LI335" i="29"/>
  <c r="LJ335" i="29"/>
  <c r="LK335" i="29"/>
  <c r="LL335" i="29"/>
  <c r="LM335" i="29"/>
  <c r="LN335" i="29"/>
  <c r="LO335" i="29"/>
  <c r="LP335" i="29"/>
  <c r="LQ335" i="29"/>
  <c r="LR335" i="29"/>
  <c r="LS335" i="29"/>
  <c r="LT335" i="29"/>
  <c r="LU335" i="29"/>
  <c r="LV335" i="29"/>
  <c r="LW335" i="29"/>
  <c r="LX335" i="29"/>
  <c r="LY335" i="29"/>
  <c r="LZ335" i="29"/>
  <c r="MA335" i="29"/>
  <c r="MB335" i="29"/>
  <c r="MC335" i="29"/>
  <c r="MD335" i="29"/>
  <c r="ME335" i="29"/>
  <c r="MF335" i="29"/>
  <c r="MG335" i="29"/>
  <c r="MH335" i="29"/>
  <c r="MI335" i="29"/>
  <c r="MJ335" i="29"/>
  <c r="MK335" i="29"/>
  <c r="ML335" i="29"/>
  <c r="MM335" i="29"/>
  <c r="MN335" i="29"/>
  <c r="MO335" i="29"/>
  <c r="MP335" i="29"/>
  <c r="MQ335" i="29"/>
  <c r="MR335" i="29"/>
  <c r="MS335" i="29"/>
  <c r="MT335" i="29"/>
  <c r="MU335" i="29"/>
  <c r="MV335" i="29"/>
  <c r="MW335" i="29"/>
  <c r="MX335" i="29"/>
  <c r="MY335" i="29"/>
  <c r="MZ335" i="29"/>
  <c r="NA335" i="29"/>
  <c r="NB335" i="29"/>
  <c r="NC335" i="29"/>
  <c r="ND335" i="29"/>
  <c r="NE335" i="29"/>
  <c r="NF335" i="29"/>
  <c r="NG335" i="29"/>
  <c r="NH335" i="29"/>
  <c r="NI335" i="29"/>
  <c r="NJ335" i="29"/>
  <c r="NK335" i="29"/>
  <c r="NL335" i="29"/>
  <c r="NM335" i="29"/>
  <c r="NN335" i="29"/>
  <c r="NO335" i="29"/>
  <c r="NP335" i="29"/>
  <c r="NQ335" i="29"/>
  <c r="NR335" i="29"/>
  <c r="NS335" i="29"/>
  <c r="NT335" i="29"/>
  <c r="NU335" i="29"/>
  <c r="NV335" i="29"/>
  <c r="NW335" i="29"/>
  <c r="NX335" i="29"/>
  <c r="NY335" i="29"/>
  <c r="NZ335" i="29"/>
  <c r="OA335" i="29"/>
  <c r="OB335" i="29"/>
  <c r="OC335" i="29"/>
  <c r="OD335" i="29"/>
  <c r="OE335" i="29"/>
  <c r="OF335" i="29"/>
  <c r="OG335" i="29"/>
  <c r="OH335" i="29"/>
  <c r="OI335" i="29"/>
  <c r="OJ335" i="29"/>
  <c r="OK335" i="29"/>
  <c r="OL335" i="29"/>
  <c r="OM335" i="29"/>
  <c r="ON335" i="29"/>
  <c r="OO335" i="29"/>
  <c r="OP335" i="29"/>
  <c r="OQ335" i="29"/>
  <c r="OR335" i="29"/>
  <c r="OS335" i="29"/>
  <c r="OT335" i="29"/>
  <c r="OU335" i="29"/>
  <c r="OV335" i="29"/>
  <c r="OW335" i="29"/>
  <c r="OX335" i="29"/>
  <c r="OY335" i="29"/>
  <c r="OZ335" i="29"/>
  <c r="PA335" i="29"/>
  <c r="PB335" i="29"/>
  <c r="PC335" i="29"/>
  <c r="PD335" i="29"/>
  <c r="PE335" i="29"/>
  <c r="PF335" i="29"/>
  <c r="PG335" i="29"/>
  <c r="PH335" i="29"/>
  <c r="PI335" i="29"/>
  <c r="PJ335" i="29"/>
  <c r="PK335" i="29"/>
  <c r="PL335" i="29"/>
  <c r="PM335" i="29"/>
  <c r="PN335" i="29"/>
  <c r="PO335" i="29"/>
  <c r="PP335" i="29"/>
  <c r="PQ335" i="29"/>
  <c r="PR335" i="29"/>
  <c r="PS335" i="29"/>
  <c r="PT335" i="29"/>
  <c r="PU335" i="29"/>
  <c r="PV335" i="29"/>
  <c r="PW335" i="29"/>
  <c r="PX335" i="29"/>
  <c r="PY335" i="29"/>
  <c r="PZ335" i="29"/>
  <c r="QA335" i="29"/>
  <c r="QB335" i="29"/>
  <c r="QC335" i="29"/>
  <c r="QD335" i="29"/>
  <c r="QE335" i="29"/>
  <c r="QF335" i="29"/>
  <c r="QG335" i="29"/>
  <c r="QH335" i="29"/>
  <c r="QI335" i="29"/>
  <c r="QJ335" i="29"/>
  <c r="QK335" i="29"/>
  <c r="QL335" i="29"/>
  <c r="QM335" i="29"/>
  <c r="QN335" i="29"/>
  <c r="QO335" i="29"/>
  <c r="QP335" i="29"/>
  <c r="QQ335" i="29"/>
  <c r="QR335" i="29"/>
  <c r="QS335" i="29"/>
  <c r="QT335" i="29"/>
  <c r="QU335" i="29"/>
  <c r="QV335" i="29"/>
  <c r="QW335" i="29"/>
  <c r="QX335" i="29"/>
  <c r="QY335" i="29"/>
  <c r="QZ335" i="29"/>
  <c r="RA335" i="29"/>
  <c r="RB335" i="29"/>
  <c r="RC335" i="29"/>
  <c r="RD335" i="29"/>
  <c r="RE335" i="29"/>
  <c r="RF335" i="29"/>
  <c r="RG335" i="29"/>
  <c r="RH335" i="29"/>
  <c r="RI335" i="29"/>
  <c r="RJ335" i="29"/>
  <c r="RK335" i="29"/>
  <c r="RL335" i="29"/>
  <c r="RM335" i="29"/>
  <c r="RN335" i="29"/>
  <c r="RO335" i="29"/>
  <c r="RP335" i="29"/>
  <c r="RQ335" i="29"/>
  <c r="RR335" i="29"/>
  <c r="RS335" i="29"/>
  <c r="RT335" i="29"/>
  <c r="RU335" i="29"/>
  <c r="RV335" i="29"/>
  <c r="RW335" i="29"/>
  <c r="RX335" i="29"/>
  <c r="RY335" i="29"/>
  <c r="RZ335" i="29"/>
  <c r="SA335" i="29"/>
  <c r="SB335" i="29"/>
  <c r="SC335" i="29"/>
  <c r="SD335" i="29"/>
  <c r="SE335" i="29"/>
  <c r="SF335" i="29"/>
  <c r="SG335" i="29"/>
  <c r="SH335" i="29"/>
  <c r="SI335" i="29"/>
  <c r="SJ335" i="29"/>
  <c r="SK335" i="29"/>
  <c r="SL335" i="29"/>
  <c r="SM335" i="29"/>
  <c r="SN335" i="29"/>
  <c r="SO335" i="29"/>
  <c r="SP335" i="29"/>
  <c r="SQ335" i="29"/>
  <c r="SR335" i="29"/>
  <c r="SS335" i="29"/>
  <c r="B336" i="29"/>
  <c r="C336" i="29"/>
  <c r="D336" i="29"/>
  <c r="E336" i="29"/>
  <c r="F336" i="29"/>
  <c r="G336" i="29"/>
  <c r="H336" i="29"/>
  <c r="I336" i="29"/>
  <c r="J336" i="29"/>
  <c r="K336" i="29"/>
  <c r="L336" i="29"/>
  <c r="M336" i="29"/>
  <c r="N336" i="29"/>
  <c r="O336" i="29"/>
  <c r="P336" i="29"/>
  <c r="Q336" i="29"/>
  <c r="R336" i="29"/>
  <c r="S336" i="29"/>
  <c r="T336" i="29"/>
  <c r="U336" i="29"/>
  <c r="V336" i="29"/>
  <c r="W336" i="29"/>
  <c r="X336" i="29"/>
  <c r="Y336" i="29"/>
  <c r="Z336" i="29"/>
  <c r="AA336" i="29"/>
  <c r="AB336" i="29"/>
  <c r="AC336" i="29"/>
  <c r="AD336" i="29"/>
  <c r="AE336" i="29"/>
  <c r="AF336" i="29"/>
  <c r="AG336" i="29"/>
  <c r="AH336" i="29"/>
  <c r="AI336" i="29"/>
  <c r="AJ336" i="29"/>
  <c r="AK336" i="29"/>
  <c r="AL336" i="29"/>
  <c r="AM336" i="29"/>
  <c r="AN336" i="29"/>
  <c r="AO336" i="29"/>
  <c r="AP336" i="29"/>
  <c r="AQ336" i="29"/>
  <c r="AR336" i="29"/>
  <c r="AS336" i="29"/>
  <c r="AT336" i="29"/>
  <c r="AU336" i="29"/>
  <c r="AV336" i="29"/>
  <c r="AW336" i="29"/>
  <c r="AX336" i="29"/>
  <c r="AY336" i="29"/>
  <c r="AZ336" i="29"/>
  <c r="BA336" i="29"/>
  <c r="BB336" i="29"/>
  <c r="BC336" i="29"/>
  <c r="BD336" i="29"/>
  <c r="BE336" i="29"/>
  <c r="BF336" i="29"/>
  <c r="BG336" i="29"/>
  <c r="BH336" i="29"/>
  <c r="BI336" i="29"/>
  <c r="BJ336" i="29"/>
  <c r="BK336" i="29"/>
  <c r="BL336" i="29"/>
  <c r="BM336" i="29"/>
  <c r="BN336" i="29"/>
  <c r="BO336" i="29"/>
  <c r="BP336" i="29"/>
  <c r="BQ336" i="29"/>
  <c r="BR336" i="29"/>
  <c r="BS336" i="29"/>
  <c r="BT336" i="29"/>
  <c r="BU336" i="29"/>
  <c r="BV336" i="29"/>
  <c r="BW336" i="29"/>
  <c r="BX336" i="29"/>
  <c r="BY336" i="29"/>
  <c r="BZ336" i="29"/>
  <c r="CA336" i="29"/>
  <c r="CB336" i="29"/>
  <c r="CC336" i="29"/>
  <c r="CD336" i="29"/>
  <c r="CE336" i="29"/>
  <c r="CF336" i="29"/>
  <c r="CG336" i="29"/>
  <c r="CH336" i="29"/>
  <c r="CI336" i="29"/>
  <c r="CJ336" i="29"/>
  <c r="CK336" i="29"/>
  <c r="CL336" i="29"/>
  <c r="CM336" i="29"/>
  <c r="CN336" i="29"/>
  <c r="CO336" i="29"/>
  <c r="CP336" i="29"/>
  <c r="CQ336" i="29"/>
  <c r="CR336" i="29"/>
  <c r="CS336" i="29"/>
  <c r="CT336" i="29"/>
  <c r="CU336" i="29"/>
  <c r="CV336" i="29"/>
  <c r="CW336" i="29"/>
  <c r="CX336" i="29"/>
  <c r="CY336" i="29"/>
  <c r="CZ336" i="29"/>
  <c r="DA336" i="29"/>
  <c r="DB336" i="29"/>
  <c r="DC336" i="29"/>
  <c r="DD336" i="29"/>
  <c r="DE336" i="29"/>
  <c r="DF336" i="29"/>
  <c r="DG336" i="29"/>
  <c r="DH336" i="29"/>
  <c r="DI336" i="29"/>
  <c r="DJ336" i="29"/>
  <c r="DK336" i="29"/>
  <c r="DL336" i="29"/>
  <c r="DM336" i="29"/>
  <c r="DN336" i="29"/>
  <c r="DO336" i="29"/>
  <c r="DP336" i="29"/>
  <c r="DQ336" i="29"/>
  <c r="DR336" i="29"/>
  <c r="DS336" i="29"/>
  <c r="DT336" i="29"/>
  <c r="DU336" i="29"/>
  <c r="DV336" i="29"/>
  <c r="DW336" i="29"/>
  <c r="DX336" i="29"/>
  <c r="DY336" i="29"/>
  <c r="DZ336" i="29"/>
  <c r="EA336" i="29"/>
  <c r="EB336" i="29"/>
  <c r="EC336" i="29"/>
  <c r="ED336" i="29"/>
  <c r="EE336" i="29"/>
  <c r="EF336" i="29"/>
  <c r="EG336" i="29"/>
  <c r="EH336" i="29"/>
  <c r="EI336" i="29"/>
  <c r="EJ336" i="29"/>
  <c r="EK336" i="29"/>
  <c r="EL336" i="29"/>
  <c r="EM336" i="29"/>
  <c r="EN336" i="29"/>
  <c r="EO336" i="29"/>
  <c r="EP336" i="29"/>
  <c r="EQ336" i="29"/>
  <c r="ER336" i="29"/>
  <c r="ES336" i="29"/>
  <c r="ET336" i="29"/>
  <c r="EU336" i="29"/>
  <c r="EV336" i="29"/>
  <c r="EW336" i="29"/>
  <c r="EX336" i="29"/>
  <c r="EY336" i="29"/>
  <c r="EZ336" i="29"/>
  <c r="FA336" i="29"/>
  <c r="FB336" i="29"/>
  <c r="FC336" i="29"/>
  <c r="FD336" i="29"/>
  <c r="FE336" i="29"/>
  <c r="FF336" i="29"/>
  <c r="FG336" i="29"/>
  <c r="FH336" i="29"/>
  <c r="FI336" i="29"/>
  <c r="FJ336" i="29"/>
  <c r="FK336" i="29"/>
  <c r="FL336" i="29"/>
  <c r="FM336" i="29"/>
  <c r="FN336" i="29"/>
  <c r="FO336" i="29"/>
  <c r="FP336" i="29"/>
  <c r="FQ336" i="29"/>
  <c r="FR336" i="29"/>
  <c r="FS336" i="29"/>
  <c r="FT336" i="29"/>
  <c r="FU336" i="29"/>
  <c r="FV336" i="29"/>
  <c r="FW336" i="29"/>
  <c r="FX336" i="29"/>
  <c r="FY336" i="29"/>
  <c r="FZ336" i="29"/>
  <c r="GA336" i="29"/>
  <c r="GB336" i="29"/>
  <c r="GC336" i="29"/>
  <c r="GD336" i="29"/>
  <c r="GE336" i="29"/>
  <c r="GF336" i="29"/>
  <c r="GG336" i="29"/>
  <c r="GH336" i="29"/>
  <c r="GI336" i="29"/>
  <c r="GJ336" i="29"/>
  <c r="GK336" i="29"/>
  <c r="GL336" i="29"/>
  <c r="GM336" i="29"/>
  <c r="GN336" i="29"/>
  <c r="GO336" i="29"/>
  <c r="GP336" i="29"/>
  <c r="GQ336" i="29"/>
  <c r="GR336" i="29"/>
  <c r="GS336" i="29"/>
  <c r="GT336" i="29"/>
  <c r="GU336" i="29"/>
  <c r="GV336" i="29"/>
  <c r="GW336" i="29"/>
  <c r="GX336" i="29"/>
  <c r="GY336" i="29"/>
  <c r="GZ336" i="29"/>
  <c r="HA336" i="29"/>
  <c r="HB336" i="29"/>
  <c r="HC336" i="29"/>
  <c r="HD336" i="29"/>
  <c r="HE336" i="29"/>
  <c r="HF336" i="29"/>
  <c r="HG336" i="29"/>
  <c r="HH336" i="29"/>
  <c r="HI336" i="29"/>
  <c r="HJ336" i="29"/>
  <c r="HK336" i="29"/>
  <c r="HL336" i="29"/>
  <c r="HM336" i="29"/>
  <c r="HN336" i="29"/>
  <c r="HO336" i="29"/>
  <c r="HP336" i="29"/>
  <c r="HQ336" i="29"/>
  <c r="HR336" i="29"/>
  <c r="HS336" i="29"/>
  <c r="HT336" i="29"/>
  <c r="HU336" i="29"/>
  <c r="HV336" i="29"/>
  <c r="HW336" i="29"/>
  <c r="HX336" i="29"/>
  <c r="HY336" i="29"/>
  <c r="HZ336" i="29"/>
  <c r="IA336" i="29"/>
  <c r="IB336" i="29"/>
  <c r="IC336" i="29"/>
  <c r="ID336" i="29"/>
  <c r="IE336" i="29"/>
  <c r="IF336" i="29"/>
  <c r="IG336" i="29"/>
  <c r="IH336" i="29"/>
  <c r="II336" i="29"/>
  <c r="IJ336" i="29"/>
  <c r="IK336" i="29"/>
  <c r="IL336" i="29"/>
  <c r="IM336" i="29"/>
  <c r="IN336" i="29"/>
  <c r="IO336" i="29"/>
  <c r="IP336" i="29"/>
  <c r="IQ336" i="29"/>
  <c r="IR336" i="29"/>
  <c r="IS336" i="29"/>
  <c r="IT336" i="29"/>
  <c r="IU336" i="29"/>
  <c r="IV336" i="29"/>
  <c r="IW336" i="29"/>
  <c r="IX336" i="29"/>
  <c r="IY336" i="29"/>
  <c r="IZ336" i="29"/>
  <c r="JA336" i="29"/>
  <c r="JB336" i="29"/>
  <c r="JC336" i="29"/>
  <c r="JD336" i="29"/>
  <c r="JE336" i="29"/>
  <c r="JF336" i="29"/>
  <c r="JG336" i="29"/>
  <c r="JH336" i="29"/>
  <c r="JI336" i="29"/>
  <c r="JJ336" i="29"/>
  <c r="JK336" i="29"/>
  <c r="JL336" i="29"/>
  <c r="JM336" i="29"/>
  <c r="JN336" i="29"/>
  <c r="JO336" i="29"/>
  <c r="JP336" i="29"/>
  <c r="JQ336" i="29"/>
  <c r="JR336" i="29"/>
  <c r="JS336" i="29"/>
  <c r="JT336" i="29"/>
  <c r="JU336" i="29"/>
  <c r="JV336" i="29"/>
  <c r="JW336" i="29"/>
  <c r="JX336" i="29"/>
  <c r="JY336" i="29"/>
  <c r="JZ336" i="29"/>
  <c r="KA336" i="29"/>
  <c r="KB336" i="29"/>
  <c r="KC336" i="29"/>
  <c r="KD336" i="29"/>
  <c r="KE336" i="29"/>
  <c r="KF336" i="29"/>
  <c r="KG336" i="29"/>
  <c r="KH336" i="29"/>
  <c r="KI336" i="29"/>
  <c r="KJ336" i="29"/>
  <c r="KK336" i="29"/>
  <c r="KL336" i="29"/>
  <c r="KM336" i="29"/>
  <c r="KN336" i="29"/>
  <c r="KO336" i="29"/>
  <c r="KP336" i="29"/>
  <c r="KQ336" i="29"/>
  <c r="KR336" i="29"/>
  <c r="KS336" i="29"/>
  <c r="KT336" i="29"/>
  <c r="KU336" i="29"/>
  <c r="KV336" i="29"/>
  <c r="KW336" i="29"/>
  <c r="KX336" i="29"/>
  <c r="KY336" i="29"/>
  <c r="KZ336" i="29"/>
  <c r="LA336" i="29"/>
  <c r="LB336" i="29"/>
  <c r="LC336" i="29"/>
  <c r="LD336" i="29"/>
  <c r="LE336" i="29"/>
  <c r="LF336" i="29"/>
  <c r="LG336" i="29"/>
  <c r="LH336" i="29"/>
  <c r="LI336" i="29"/>
  <c r="LJ336" i="29"/>
  <c r="LK336" i="29"/>
  <c r="LL336" i="29"/>
  <c r="LM336" i="29"/>
  <c r="LN336" i="29"/>
  <c r="LO336" i="29"/>
  <c r="LP336" i="29"/>
  <c r="LQ336" i="29"/>
  <c r="LR336" i="29"/>
  <c r="LS336" i="29"/>
  <c r="LT336" i="29"/>
  <c r="LU336" i="29"/>
  <c r="LV336" i="29"/>
  <c r="LW336" i="29"/>
  <c r="LX336" i="29"/>
  <c r="LY336" i="29"/>
  <c r="LZ336" i="29"/>
  <c r="MA336" i="29"/>
  <c r="MB336" i="29"/>
  <c r="MC336" i="29"/>
  <c r="MD336" i="29"/>
  <c r="ME336" i="29"/>
  <c r="MF336" i="29"/>
  <c r="MG336" i="29"/>
  <c r="MH336" i="29"/>
  <c r="MI336" i="29"/>
  <c r="MJ336" i="29"/>
  <c r="MK336" i="29"/>
  <c r="ML336" i="29"/>
  <c r="MM336" i="29"/>
  <c r="MN336" i="29"/>
  <c r="MO336" i="29"/>
  <c r="MP336" i="29"/>
  <c r="MQ336" i="29"/>
  <c r="MR336" i="29"/>
  <c r="MS336" i="29"/>
  <c r="MT336" i="29"/>
  <c r="MU336" i="29"/>
  <c r="MV336" i="29"/>
  <c r="MW336" i="29"/>
  <c r="MX336" i="29"/>
  <c r="MY336" i="29"/>
  <c r="MZ336" i="29"/>
  <c r="NA336" i="29"/>
  <c r="NB336" i="29"/>
  <c r="NC336" i="29"/>
  <c r="ND336" i="29"/>
  <c r="NE336" i="29"/>
  <c r="NF336" i="29"/>
  <c r="NG336" i="29"/>
  <c r="NH336" i="29"/>
  <c r="NI336" i="29"/>
  <c r="NJ336" i="29"/>
  <c r="NK336" i="29"/>
  <c r="NL336" i="29"/>
  <c r="NM336" i="29"/>
  <c r="NN336" i="29"/>
  <c r="NO336" i="29"/>
  <c r="NP336" i="29"/>
  <c r="NQ336" i="29"/>
  <c r="NR336" i="29"/>
  <c r="NS336" i="29"/>
  <c r="NT336" i="29"/>
  <c r="NU336" i="29"/>
  <c r="NV336" i="29"/>
  <c r="NW336" i="29"/>
  <c r="NX336" i="29"/>
  <c r="NY336" i="29"/>
  <c r="NZ336" i="29"/>
  <c r="OA336" i="29"/>
  <c r="OB336" i="29"/>
  <c r="OC336" i="29"/>
  <c r="OD336" i="29"/>
  <c r="OE336" i="29"/>
  <c r="OF336" i="29"/>
  <c r="OG336" i="29"/>
  <c r="OH336" i="29"/>
  <c r="OI336" i="29"/>
  <c r="OJ336" i="29"/>
  <c r="OK336" i="29"/>
  <c r="OL336" i="29"/>
  <c r="OM336" i="29"/>
  <c r="ON336" i="29"/>
  <c r="OO336" i="29"/>
  <c r="OP336" i="29"/>
  <c r="OQ336" i="29"/>
  <c r="OR336" i="29"/>
  <c r="OS336" i="29"/>
  <c r="OT336" i="29"/>
  <c r="OU336" i="29"/>
  <c r="OV336" i="29"/>
  <c r="OW336" i="29"/>
  <c r="OX336" i="29"/>
  <c r="OY336" i="29"/>
  <c r="OZ336" i="29"/>
  <c r="PA336" i="29"/>
  <c r="PB336" i="29"/>
  <c r="PC336" i="29"/>
  <c r="PD336" i="29"/>
  <c r="PE336" i="29"/>
  <c r="PF336" i="29"/>
  <c r="PG336" i="29"/>
  <c r="PH336" i="29"/>
  <c r="PI336" i="29"/>
  <c r="PJ336" i="29"/>
  <c r="PK336" i="29"/>
  <c r="PL336" i="29"/>
  <c r="PM336" i="29"/>
  <c r="PN336" i="29"/>
  <c r="PO336" i="29"/>
  <c r="PP336" i="29"/>
  <c r="PQ336" i="29"/>
  <c r="PR336" i="29"/>
  <c r="PS336" i="29"/>
  <c r="PT336" i="29"/>
  <c r="PU336" i="29"/>
  <c r="PV336" i="29"/>
  <c r="PW336" i="29"/>
  <c r="PX336" i="29"/>
  <c r="PY336" i="29"/>
  <c r="PZ336" i="29"/>
  <c r="QA336" i="29"/>
  <c r="QB336" i="29"/>
  <c r="QC336" i="29"/>
  <c r="QD336" i="29"/>
  <c r="QE336" i="29"/>
  <c r="QF336" i="29"/>
  <c r="QG336" i="29"/>
  <c r="QH336" i="29"/>
  <c r="QI336" i="29"/>
  <c r="QJ336" i="29"/>
  <c r="QK336" i="29"/>
  <c r="QL336" i="29"/>
  <c r="QM336" i="29"/>
  <c r="QN336" i="29"/>
  <c r="QO336" i="29"/>
  <c r="QP336" i="29"/>
  <c r="QQ336" i="29"/>
  <c r="QR336" i="29"/>
  <c r="QS336" i="29"/>
  <c r="QT336" i="29"/>
  <c r="QU336" i="29"/>
  <c r="QV336" i="29"/>
  <c r="QW336" i="29"/>
  <c r="QX336" i="29"/>
  <c r="QY336" i="29"/>
  <c r="QZ336" i="29"/>
  <c r="RA336" i="29"/>
  <c r="RB336" i="29"/>
  <c r="RC336" i="29"/>
  <c r="RD336" i="29"/>
  <c r="RE336" i="29"/>
  <c r="RF336" i="29"/>
  <c r="RG336" i="29"/>
  <c r="RH336" i="29"/>
  <c r="RI336" i="29"/>
  <c r="RJ336" i="29"/>
  <c r="RK336" i="29"/>
  <c r="RL336" i="29"/>
  <c r="RM336" i="29"/>
  <c r="RN336" i="29"/>
  <c r="RO336" i="29"/>
  <c r="RP336" i="29"/>
  <c r="RQ336" i="29"/>
  <c r="RR336" i="29"/>
  <c r="RS336" i="29"/>
  <c r="RT336" i="29"/>
  <c r="RU336" i="29"/>
  <c r="RV336" i="29"/>
  <c r="RW336" i="29"/>
  <c r="RX336" i="29"/>
  <c r="RY336" i="29"/>
  <c r="RZ336" i="29"/>
  <c r="SA336" i="29"/>
  <c r="SB336" i="29"/>
  <c r="SC336" i="29"/>
  <c r="SD336" i="29"/>
  <c r="SE336" i="29"/>
  <c r="SF336" i="29"/>
  <c r="SG336" i="29"/>
  <c r="SH336" i="29"/>
  <c r="SI336" i="29"/>
  <c r="SJ336" i="29"/>
  <c r="SK336" i="29"/>
  <c r="SL336" i="29"/>
  <c r="SM336" i="29"/>
  <c r="SN336" i="29"/>
  <c r="SO336" i="29"/>
  <c r="SP336" i="29"/>
  <c r="SQ336" i="29"/>
  <c r="SR336" i="29"/>
  <c r="SS336" i="29"/>
  <c r="B337" i="29"/>
  <c r="C337" i="29"/>
  <c r="D337" i="29"/>
  <c r="E337" i="29"/>
  <c r="F337" i="29"/>
  <c r="G337" i="29"/>
  <c r="H337" i="29"/>
  <c r="I337" i="29"/>
  <c r="J337" i="29"/>
  <c r="K337" i="29"/>
  <c r="L337" i="29"/>
  <c r="M337" i="29"/>
  <c r="N337" i="29"/>
  <c r="O337" i="29"/>
  <c r="P337" i="29"/>
  <c r="Q337" i="29"/>
  <c r="R337" i="29"/>
  <c r="S337" i="29"/>
  <c r="T337" i="29"/>
  <c r="U337" i="29"/>
  <c r="V337" i="29"/>
  <c r="W337" i="29"/>
  <c r="X337" i="29"/>
  <c r="Y337" i="29"/>
  <c r="Z337" i="29"/>
  <c r="AA337" i="29"/>
  <c r="AB337" i="29"/>
  <c r="AC337" i="29"/>
  <c r="AD337" i="29"/>
  <c r="AE337" i="29"/>
  <c r="AF337" i="29"/>
  <c r="AG337" i="29"/>
  <c r="AH337" i="29"/>
  <c r="AI337" i="29"/>
  <c r="AJ337" i="29"/>
  <c r="AK337" i="29"/>
  <c r="AL337" i="29"/>
  <c r="AM337" i="29"/>
  <c r="AN337" i="29"/>
  <c r="AO337" i="29"/>
  <c r="AP337" i="29"/>
  <c r="AQ337" i="29"/>
  <c r="AR337" i="29"/>
  <c r="AS337" i="29"/>
  <c r="AT337" i="29"/>
  <c r="AU337" i="29"/>
  <c r="AV337" i="29"/>
  <c r="AW337" i="29"/>
  <c r="AX337" i="29"/>
  <c r="AY337" i="29"/>
  <c r="AZ337" i="29"/>
  <c r="BA337" i="29"/>
  <c r="BB337" i="29"/>
  <c r="BC337" i="29"/>
  <c r="BD337" i="29"/>
  <c r="BE337" i="29"/>
  <c r="BF337" i="29"/>
  <c r="BG337" i="29"/>
  <c r="BH337" i="29"/>
  <c r="BI337" i="29"/>
  <c r="BJ337" i="29"/>
  <c r="BK337" i="29"/>
  <c r="BL337" i="29"/>
  <c r="BM337" i="29"/>
  <c r="BN337" i="29"/>
  <c r="BO337" i="29"/>
  <c r="BP337" i="29"/>
  <c r="BQ337" i="29"/>
  <c r="BR337" i="29"/>
  <c r="BS337" i="29"/>
  <c r="BT337" i="29"/>
  <c r="BU337" i="29"/>
  <c r="BV337" i="29"/>
  <c r="BW337" i="29"/>
  <c r="BX337" i="29"/>
  <c r="BY337" i="29"/>
  <c r="BZ337" i="29"/>
  <c r="CA337" i="29"/>
  <c r="CB337" i="29"/>
  <c r="CC337" i="29"/>
  <c r="CD337" i="29"/>
  <c r="CE337" i="29"/>
  <c r="CF337" i="29"/>
  <c r="CG337" i="29"/>
  <c r="CH337" i="29"/>
  <c r="CI337" i="29"/>
  <c r="CJ337" i="29"/>
  <c r="CK337" i="29"/>
  <c r="CL337" i="29"/>
  <c r="CM337" i="29"/>
  <c r="CN337" i="29"/>
  <c r="CO337" i="29"/>
  <c r="CP337" i="29"/>
  <c r="CQ337" i="29"/>
  <c r="CR337" i="29"/>
  <c r="CS337" i="29"/>
  <c r="CT337" i="29"/>
  <c r="CU337" i="29"/>
  <c r="CV337" i="29"/>
  <c r="CW337" i="29"/>
  <c r="CX337" i="29"/>
  <c r="CY337" i="29"/>
  <c r="CZ337" i="29"/>
  <c r="DA337" i="29"/>
  <c r="DB337" i="29"/>
  <c r="DC337" i="29"/>
  <c r="DD337" i="29"/>
  <c r="DE337" i="29"/>
  <c r="DF337" i="29"/>
  <c r="DG337" i="29"/>
  <c r="DH337" i="29"/>
  <c r="DI337" i="29"/>
  <c r="DJ337" i="29"/>
  <c r="DK337" i="29"/>
  <c r="DL337" i="29"/>
  <c r="DM337" i="29"/>
  <c r="DN337" i="29"/>
  <c r="DO337" i="29"/>
  <c r="DP337" i="29"/>
  <c r="DQ337" i="29"/>
  <c r="DR337" i="29"/>
  <c r="DS337" i="29"/>
  <c r="DT337" i="29"/>
  <c r="DU337" i="29"/>
  <c r="DV337" i="29"/>
  <c r="DW337" i="29"/>
  <c r="DX337" i="29"/>
  <c r="DY337" i="29"/>
  <c r="DZ337" i="29"/>
  <c r="EA337" i="29"/>
  <c r="EB337" i="29"/>
  <c r="EC337" i="29"/>
  <c r="ED337" i="29"/>
  <c r="EE337" i="29"/>
  <c r="EF337" i="29"/>
  <c r="EG337" i="29"/>
  <c r="EH337" i="29"/>
  <c r="EI337" i="29"/>
  <c r="EJ337" i="29"/>
  <c r="EK337" i="29"/>
  <c r="EL337" i="29"/>
  <c r="EM337" i="29"/>
  <c r="EN337" i="29"/>
  <c r="EO337" i="29"/>
  <c r="EP337" i="29"/>
  <c r="EQ337" i="29"/>
  <c r="ER337" i="29"/>
  <c r="ES337" i="29"/>
  <c r="ET337" i="29"/>
  <c r="EU337" i="29"/>
  <c r="EV337" i="29"/>
  <c r="EW337" i="29"/>
  <c r="EX337" i="29"/>
  <c r="EY337" i="29"/>
  <c r="EZ337" i="29"/>
  <c r="FA337" i="29"/>
  <c r="FB337" i="29"/>
  <c r="FC337" i="29"/>
  <c r="FD337" i="29"/>
  <c r="FE337" i="29"/>
  <c r="FF337" i="29"/>
  <c r="FG337" i="29"/>
  <c r="FH337" i="29"/>
  <c r="FI337" i="29"/>
  <c r="FJ337" i="29"/>
  <c r="FK337" i="29"/>
  <c r="FL337" i="29"/>
  <c r="FM337" i="29"/>
  <c r="FN337" i="29"/>
  <c r="FO337" i="29"/>
  <c r="FP337" i="29"/>
  <c r="FQ337" i="29"/>
  <c r="FR337" i="29"/>
  <c r="FS337" i="29"/>
  <c r="FT337" i="29"/>
  <c r="FU337" i="29"/>
  <c r="FV337" i="29"/>
  <c r="FW337" i="29"/>
  <c r="FX337" i="29"/>
  <c r="FY337" i="29"/>
  <c r="FZ337" i="29"/>
  <c r="GA337" i="29"/>
  <c r="GB337" i="29"/>
  <c r="GC337" i="29"/>
  <c r="GD337" i="29"/>
  <c r="GE337" i="29"/>
  <c r="GF337" i="29"/>
  <c r="GG337" i="29"/>
  <c r="GH337" i="29"/>
  <c r="GI337" i="29"/>
  <c r="GJ337" i="29"/>
  <c r="GK337" i="29"/>
  <c r="GL337" i="29"/>
  <c r="GM337" i="29"/>
  <c r="GN337" i="29"/>
  <c r="GO337" i="29"/>
  <c r="GP337" i="29"/>
  <c r="GQ337" i="29"/>
  <c r="GR337" i="29"/>
  <c r="GS337" i="29"/>
  <c r="GT337" i="29"/>
  <c r="GU337" i="29"/>
  <c r="GV337" i="29"/>
  <c r="GW337" i="29"/>
  <c r="GX337" i="29"/>
  <c r="GY337" i="29"/>
  <c r="GZ337" i="29"/>
  <c r="HA337" i="29"/>
  <c r="HB337" i="29"/>
  <c r="HC337" i="29"/>
  <c r="HD337" i="29"/>
  <c r="HE337" i="29"/>
  <c r="HF337" i="29"/>
  <c r="HG337" i="29"/>
  <c r="HH337" i="29"/>
  <c r="HI337" i="29"/>
  <c r="HJ337" i="29"/>
  <c r="HK337" i="29"/>
  <c r="HL337" i="29"/>
  <c r="HM337" i="29"/>
  <c r="HN337" i="29"/>
  <c r="HO337" i="29"/>
  <c r="HP337" i="29"/>
  <c r="HQ337" i="29"/>
  <c r="HR337" i="29"/>
  <c r="HS337" i="29"/>
  <c r="HT337" i="29"/>
  <c r="HU337" i="29"/>
  <c r="HV337" i="29"/>
  <c r="HW337" i="29"/>
  <c r="HX337" i="29"/>
  <c r="HY337" i="29"/>
  <c r="HZ337" i="29"/>
  <c r="IA337" i="29"/>
  <c r="IB337" i="29"/>
  <c r="IC337" i="29"/>
  <c r="ID337" i="29"/>
  <c r="IE337" i="29"/>
  <c r="IF337" i="29"/>
  <c r="IG337" i="29"/>
  <c r="IH337" i="29"/>
  <c r="II337" i="29"/>
  <c r="IJ337" i="29"/>
  <c r="IK337" i="29"/>
  <c r="IL337" i="29"/>
  <c r="IM337" i="29"/>
  <c r="IN337" i="29"/>
  <c r="IO337" i="29"/>
  <c r="IP337" i="29"/>
  <c r="IQ337" i="29"/>
  <c r="IR337" i="29"/>
  <c r="IS337" i="29"/>
  <c r="IT337" i="29"/>
  <c r="IU337" i="29"/>
  <c r="IV337" i="29"/>
  <c r="IW337" i="29"/>
  <c r="IX337" i="29"/>
  <c r="IY337" i="29"/>
  <c r="IZ337" i="29"/>
  <c r="JA337" i="29"/>
  <c r="JB337" i="29"/>
  <c r="JC337" i="29"/>
  <c r="JD337" i="29"/>
  <c r="JE337" i="29"/>
  <c r="JF337" i="29"/>
  <c r="JG337" i="29"/>
  <c r="JH337" i="29"/>
  <c r="JI337" i="29"/>
  <c r="JJ337" i="29"/>
  <c r="JK337" i="29"/>
  <c r="JL337" i="29"/>
  <c r="JM337" i="29"/>
  <c r="JN337" i="29"/>
  <c r="JO337" i="29"/>
  <c r="JP337" i="29"/>
  <c r="JQ337" i="29"/>
  <c r="JR337" i="29"/>
  <c r="JS337" i="29"/>
  <c r="JT337" i="29"/>
  <c r="JU337" i="29"/>
  <c r="JV337" i="29"/>
  <c r="JW337" i="29"/>
  <c r="JX337" i="29"/>
  <c r="JY337" i="29"/>
  <c r="JZ337" i="29"/>
  <c r="KA337" i="29"/>
  <c r="KB337" i="29"/>
  <c r="KC337" i="29"/>
  <c r="KD337" i="29"/>
  <c r="KE337" i="29"/>
  <c r="KF337" i="29"/>
  <c r="KG337" i="29"/>
  <c r="KH337" i="29"/>
  <c r="KI337" i="29"/>
  <c r="KJ337" i="29"/>
  <c r="KK337" i="29"/>
  <c r="KL337" i="29"/>
  <c r="KM337" i="29"/>
  <c r="KN337" i="29"/>
  <c r="KO337" i="29"/>
  <c r="KP337" i="29"/>
  <c r="KQ337" i="29"/>
  <c r="KR337" i="29"/>
  <c r="KS337" i="29"/>
  <c r="KT337" i="29"/>
  <c r="KU337" i="29"/>
  <c r="KV337" i="29"/>
  <c r="KW337" i="29"/>
  <c r="KX337" i="29"/>
  <c r="KY337" i="29"/>
  <c r="KZ337" i="29"/>
  <c r="LA337" i="29"/>
  <c r="LB337" i="29"/>
  <c r="LC337" i="29"/>
  <c r="LD337" i="29"/>
  <c r="LE337" i="29"/>
  <c r="LF337" i="29"/>
  <c r="LG337" i="29"/>
  <c r="LH337" i="29"/>
  <c r="LI337" i="29"/>
  <c r="LJ337" i="29"/>
  <c r="LK337" i="29"/>
  <c r="LL337" i="29"/>
  <c r="LM337" i="29"/>
  <c r="LN337" i="29"/>
  <c r="LO337" i="29"/>
  <c r="LP337" i="29"/>
  <c r="LQ337" i="29"/>
  <c r="LR337" i="29"/>
  <c r="LS337" i="29"/>
  <c r="LT337" i="29"/>
  <c r="LU337" i="29"/>
  <c r="LV337" i="29"/>
  <c r="LW337" i="29"/>
  <c r="LX337" i="29"/>
  <c r="LY337" i="29"/>
  <c r="LZ337" i="29"/>
  <c r="MA337" i="29"/>
  <c r="MB337" i="29"/>
  <c r="MC337" i="29"/>
  <c r="MD337" i="29"/>
  <c r="ME337" i="29"/>
  <c r="MF337" i="29"/>
  <c r="MG337" i="29"/>
  <c r="MH337" i="29"/>
  <c r="MI337" i="29"/>
  <c r="MJ337" i="29"/>
  <c r="MK337" i="29"/>
  <c r="ML337" i="29"/>
  <c r="MM337" i="29"/>
  <c r="MN337" i="29"/>
  <c r="MO337" i="29"/>
  <c r="MP337" i="29"/>
  <c r="MQ337" i="29"/>
  <c r="MR337" i="29"/>
  <c r="MS337" i="29"/>
  <c r="MT337" i="29"/>
  <c r="MU337" i="29"/>
  <c r="MV337" i="29"/>
  <c r="MW337" i="29"/>
  <c r="MX337" i="29"/>
  <c r="MY337" i="29"/>
  <c r="MZ337" i="29"/>
  <c r="NA337" i="29"/>
  <c r="NB337" i="29"/>
  <c r="NC337" i="29"/>
  <c r="ND337" i="29"/>
  <c r="NE337" i="29"/>
  <c r="NF337" i="29"/>
  <c r="NG337" i="29"/>
  <c r="NH337" i="29"/>
  <c r="NI337" i="29"/>
  <c r="NJ337" i="29"/>
  <c r="NK337" i="29"/>
  <c r="NL337" i="29"/>
  <c r="NM337" i="29"/>
  <c r="NN337" i="29"/>
  <c r="NO337" i="29"/>
  <c r="NP337" i="29"/>
  <c r="NQ337" i="29"/>
  <c r="NR337" i="29"/>
  <c r="NS337" i="29"/>
  <c r="NT337" i="29"/>
  <c r="NU337" i="29"/>
  <c r="NV337" i="29"/>
  <c r="NW337" i="29"/>
  <c r="NX337" i="29"/>
  <c r="NY337" i="29"/>
  <c r="NZ337" i="29"/>
  <c r="OA337" i="29"/>
  <c r="OB337" i="29"/>
  <c r="OC337" i="29"/>
  <c r="OD337" i="29"/>
  <c r="OE337" i="29"/>
  <c r="OF337" i="29"/>
  <c r="OG337" i="29"/>
  <c r="OH337" i="29"/>
  <c r="OI337" i="29"/>
  <c r="OJ337" i="29"/>
  <c r="OK337" i="29"/>
  <c r="OL337" i="29"/>
  <c r="OM337" i="29"/>
  <c r="ON337" i="29"/>
  <c r="OO337" i="29"/>
  <c r="OP337" i="29"/>
  <c r="OQ337" i="29"/>
  <c r="OR337" i="29"/>
  <c r="OS337" i="29"/>
  <c r="OT337" i="29"/>
  <c r="OU337" i="29"/>
  <c r="OV337" i="29"/>
  <c r="OW337" i="29"/>
  <c r="OX337" i="29"/>
  <c r="OY337" i="29"/>
  <c r="OZ337" i="29"/>
  <c r="PA337" i="29"/>
  <c r="PB337" i="29"/>
  <c r="PC337" i="29"/>
  <c r="PD337" i="29"/>
  <c r="PE337" i="29"/>
  <c r="PF337" i="29"/>
  <c r="PG337" i="29"/>
  <c r="PH337" i="29"/>
  <c r="PI337" i="29"/>
  <c r="PJ337" i="29"/>
  <c r="PK337" i="29"/>
  <c r="PL337" i="29"/>
  <c r="PM337" i="29"/>
  <c r="PN337" i="29"/>
  <c r="PO337" i="29"/>
  <c r="PP337" i="29"/>
  <c r="PQ337" i="29"/>
  <c r="PR337" i="29"/>
  <c r="PS337" i="29"/>
  <c r="PT337" i="29"/>
  <c r="PU337" i="29"/>
  <c r="PV337" i="29"/>
  <c r="PW337" i="29"/>
  <c r="PX337" i="29"/>
  <c r="PY337" i="29"/>
  <c r="PZ337" i="29"/>
  <c r="QA337" i="29"/>
  <c r="QB337" i="29"/>
  <c r="QC337" i="29"/>
  <c r="QD337" i="29"/>
  <c r="QE337" i="29"/>
  <c r="QF337" i="29"/>
  <c r="QG337" i="29"/>
  <c r="QH337" i="29"/>
  <c r="QI337" i="29"/>
  <c r="QJ337" i="29"/>
  <c r="QK337" i="29"/>
  <c r="QL337" i="29"/>
  <c r="QM337" i="29"/>
  <c r="QN337" i="29"/>
  <c r="QO337" i="29"/>
  <c r="QP337" i="29"/>
  <c r="QQ337" i="29"/>
  <c r="QR337" i="29"/>
  <c r="QS337" i="29"/>
  <c r="QT337" i="29"/>
  <c r="QU337" i="29"/>
  <c r="QV337" i="29"/>
  <c r="QW337" i="29"/>
  <c r="QX337" i="29"/>
  <c r="QY337" i="29"/>
  <c r="QZ337" i="29"/>
  <c r="RA337" i="29"/>
  <c r="RB337" i="29"/>
  <c r="RC337" i="29"/>
  <c r="RD337" i="29"/>
  <c r="RE337" i="29"/>
  <c r="RF337" i="29"/>
  <c r="RG337" i="29"/>
  <c r="RH337" i="29"/>
  <c r="RI337" i="29"/>
  <c r="RJ337" i="29"/>
  <c r="RK337" i="29"/>
  <c r="RL337" i="29"/>
  <c r="RM337" i="29"/>
  <c r="RN337" i="29"/>
  <c r="RO337" i="29"/>
  <c r="RP337" i="29"/>
  <c r="RQ337" i="29"/>
  <c r="RR337" i="29"/>
  <c r="RS337" i="29"/>
  <c r="RT337" i="29"/>
  <c r="RU337" i="29"/>
  <c r="RV337" i="29"/>
  <c r="RW337" i="29"/>
  <c r="RX337" i="29"/>
  <c r="RY337" i="29"/>
  <c r="RZ337" i="29"/>
  <c r="SA337" i="29"/>
  <c r="SB337" i="29"/>
  <c r="SC337" i="29"/>
  <c r="SD337" i="29"/>
  <c r="SE337" i="29"/>
  <c r="SF337" i="29"/>
  <c r="SG337" i="29"/>
  <c r="SH337" i="29"/>
  <c r="SI337" i="29"/>
  <c r="SJ337" i="29"/>
  <c r="SK337" i="29"/>
  <c r="SL337" i="29"/>
  <c r="SM337" i="29"/>
  <c r="SN337" i="29"/>
  <c r="SO337" i="29"/>
  <c r="SP337" i="29"/>
  <c r="SQ337" i="29"/>
  <c r="SR337" i="29"/>
  <c r="SS337" i="29"/>
  <c r="B338" i="29"/>
  <c r="C338" i="29"/>
  <c r="D338" i="29"/>
  <c r="E338" i="29"/>
  <c r="F338" i="29"/>
  <c r="G338" i="29"/>
  <c r="H338" i="29"/>
  <c r="I338" i="29"/>
  <c r="J338" i="29"/>
  <c r="K338" i="29"/>
  <c r="L338" i="29"/>
  <c r="M338" i="29"/>
  <c r="N338" i="29"/>
  <c r="O338" i="29"/>
  <c r="P338" i="29"/>
  <c r="Q338" i="29"/>
  <c r="R338" i="29"/>
  <c r="S338" i="29"/>
  <c r="T338" i="29"/>
  <c r="U338" i="29"/>
  <c r="V338" i="29"/>
  <c r="W338" i="29"/>
  <c r="X338" i="29"/>
  <c r="Y338" i="29"/>
  <c r="Z338" i="29"/>
  <c r="AA338" i="29"/>
  <c r="AB338" i="29"/>
  <c r="AC338" i="29"/>
  <c r="AD338" i="29"/>
  <c r="AE338" i="29"/>
  <c r="AF338" i="29"/>
  <c r="AG338" i="29"/>
  <c r="AH338" i="29"/>
  <c r="AI338" i="29"/>
  <c r="AJ338" i="29"/>
  <c r="AK338" i="29"/>
  <c r="AL338" i="29"/>
  <c r="AM338" i="29"/>
  <c r="AN338" i="29"/>
  <c r="AO338" i="29"/>
  <c r="AP338" i="29"/>
  <c r="AQ338" i="29"/>
  <c r="AR338" i="29"/>
  <c r="AS338" i="29"/>
  <c r="AT338" i="29"/>
  <c r="AU338" i="29"/>
  <c r="AV338" i="29"/>
  <c r="AW338" i="29"/>
  <c r="AX338" i="29"/>
  <c r="AY338" i="29"/>
  <c r="AZ338" i="29"/>
  <c r="BA338" i="29"/>
  <c r="BB338" i="29"/>
  <c r="BC338" i="29"/>
  <c r="BD338" i="29"/>
  <c r="BE338" i="29"/>
  <c r="BF338" i="29"/>
  <c r="BG338" i="29"/>
  <c r="BH338" i="29"/>
  <c r="BI338" i="29"/>
  <c r="BJ338" i="29"/>
  <c r="BK338" i="29"/>
  <c r="BL338" i="29"/>
  <c r="BM338" i="29"/>
  <c r="BN338" i="29"/>
  <c r="BO338" i="29"/>
  <c r="BP338" i="29"/>
  <c r="BQ338" i="29"/>
  <c r="BR338" i="29"/>
  <c r="BS338" i="29"/>
  <c r="BT338" i="29"/>
  <c r="BU338" i="29"/>
  <c r="BV338" i="29"/>
  <c r="BW338" i="29"/>
  <c r="BX338" i="29"/>
  <c r="BY338" i="29"/>
  <c r="BZ338" i="29"/>
  <c r="CA338" i="29"/>
  <c r="CB338" i="29"/>
  <c r="CC338" i="29"/>
  <c r="CD338" i="29"/>
  <c r="CE338" i="29"/>
  <c r="CF338" i="29"/>
  <c r="CG338" i="29"/>
  <c r="CH338" i="29"/>
  <c r="CI338" i="29"/>
  <c r="CJ338" i="29"/>
  <c r="CK338" i="29"/>
  <c r="CL338" i="29"/>
  <c r="CM338" i="29"/>
  <c r="CN338" i="29"/>
  <c r="CO338" i="29"/>
  <c r="CP338" i="29"/>
  <c r="CQ338" i="29"/>
  <c r="CR338" i="29"/>
  <c r="CS338" i="29"/>
  <c r="CT338" i="29"/>
  <c r="CU338" i="29"/>
  <c r="CV338" i="29"/>
  <c r="CW338" i="29"/>
  <c r="CX338" i="29"/>
  <c r="CY338" i="29"/>
  <c r="CZ338" i="29"/>
  <c r="DA338" i="29"/>
  <c r="DB338" i="29"/>
  <c r="DC338" i="29"/>
  <c r="DD338" i="29"/>
  <c r="DE338" i="29"/>
  <c r="DF338" i="29"/>
  <c r="DG338" i="29"/>
  <c r="DH338" i="29"/>
  <c r="DI338" i="29"/>
  <c r="DJ338" i="29"/>
  <c r="DK338" i="29"/>
  <c r="DL338" i="29"/>
  <c r="DM338" i="29"/>
  <c r="DN338" i="29"/>
  <c r="DO338" i="29"/>
  <c r="DP338" i="29"/>
  <c r="DQ338" i="29"/>
  <c r="DR338" i="29"/>
  <c r="DS338" i="29"/>
  <c r="DT338" i="29"/>
  <c r="DU338" i="29"/>
  <c r="DV338" i="29"/>
  <c r="DW338" i="29"/>
  <c r="DX338" i="29"/>
  <c r="DY338" i="29"/>
  <c r="DZ338" i="29"/>
  <c r="EA338" i="29"/>
  <c r="EB338" i="29"/>
  <c r="EC338" i="29"/>
  <c r="ED338" i="29"/>
  <c r="EE338" i="29"/>
  <c r="EF338" i="29"/>
  <c r="EG338" i="29"/>
  <c r="EH338" i="29"/>
  <c r="EI338" i="29"/>
  <c r="EJ338" i="29"/>
  <c r="EK338" i="29"/>
  <c r="EL338" i="29"/>
  <c r="EM338" i="29"/>
  <c r="EN338" i="29"/>
  <c r="EO338" i="29"/>
  <c r="EP338" i="29"/>
  <c r="EQ338" i="29"/>
  <c r="ER338" i="29"/>
  <c r="ES338" i="29"/>
  <c r="ET338" i="29"/>
  <c r="EU338" i="29"/>
  <c r="EV338" i="29"/>
  <c r="EW338" i="29"/>
  <c r="EX338" i="29"/>
  <c r="EY338" i="29"/>
  <c r="EZ338" i="29"/>
  <c r="FA338" i="29"/>
  <c r="FB338" i="29"/>
  <c r="FC338" i="29"/>
  <c r="FD338" i="29"/>
  <c r="FE338" i="29"/>
  <c r="FF338" i="29"/>
  <c r="FG338" i="29"/>
  <c r="FH338" i="29"/>
  <c r="FI338" i="29"/>
  <c r="FJ338" i="29"/>
  <c r="FK338" i="29"/>
  <c r="FL338" i="29"/>
  <c r="FM338" i="29"/>
  <c r="FN338" i="29"/>
  <c r="FO338" i="29"/>
  <c r="FP338" i="29"/>
  <c r="FQ338" i="29"/>
  <c r="FR338" i="29"/>
  <c r="FS338" i="29"/>
  <c r="FT338" i="29"/>
  <c r="FU338" i="29"/>
  <c r="FV338" i="29"/>
  <c r="FW338" i="29"/>
  <c r="FX338" i="29"/>
  <c r="FY338" i="29"/>
  <c r="FZ338" i="29"/>
  <c r="GA338" i="29"/>
  <c r="GB338" i="29"/>
  <c r="GC338" i="29"/>
  <c r="GD338" i="29"/>
  <c r="GE338" i="29"/>
  <c r="GF338" i="29"/>
  <c r="GG338" i="29"/>
  <c r="GH338" i="29"/>
  <c r="GI338" i="29"/>
  <c r="GJ338" i="29"/>
  <c r="GK338" i="29"/>
  <c r="GL338" i="29"/>
  <c r="GM338" i="29"/>
  <c r="GN338" i="29"/>
  <c r="GO338" i="29"/>
  <c r="GP338" i="29"/>
  <c r="GQ338" i="29"/>
  <c r="GR338" i="29"/>
  <c r="GS338" i="29"/>
  <c r="GT338" i="29"/>
  <c r="GU338" i="29"/>
  <c r="GV338" i="29"/>
  <c r="GW338" i="29"/>
  <c r="GX338" i="29"/>
  <c r="GY338" i="29"/>
  <c r="GZ338" i="29"/>
  <c r="HA338" i="29"/>
  <c r="HB338" i="29"/>
  <c r="HC338" i="29"/>
  <c r="HD338" i="29"/>
  <c r="HE338" i="29"/>
  <c r="HF338" i="29"/>
  <c r="HG338" i="29"/>
  <c r="HH338" i="29"/>
  <c r="HI338" i="29"/>
  <c r="HJ338" i="29"/>
  <c r="HK338" i="29"/>
  <c r="HL338" i="29"/>
  <c r="HM338" i="29"/>
  <c r="HN338" i="29"/>
  <c r="HO338" i="29"/>
  <c r="HP338" i="29"/>
  <c r="HQ338" i="29"/>
  <c r="HR338" i="29"/>
  <c r="HS338" i="29"/>
  <c r="HT338" i="29"/>
  <c r="HU338" i="29"/>
  <c r="HV338" i="29"/>
  <c r="HW338" i="29"/>
  <c r="HX338" i="29"/>
  <c r="HY338" i="29"/>
  <c r="HZ338" i="29"/>
  <c r="IA338" i="29"/>
  <c r="IB338" i="29"/>
  <c r="IC338" i="29"/>
  <c r="ID338" i="29"/>
  <c r="IE338" i="29"/>
  <c r="IF338" i="29"/>
  <c r="IG338" i="29"/>
  <c r="IH338" i="29"/>
  <c r="II338" i="29"/>
  <c r="IJ338" i="29"/>
  <c r="IK338" i="29"/>
  <c r="IL338" i="29"/>
  <c r="IM338" i="29"/>
  <c r="IN338" i="29"/>
  <c r="IO338" i="29"/>
  <c r="IP338" i="29"/>
  <c r="IQ338" i="29"/>
  <c r="IR338" i="29"/>
  <c r="IS338" i="29"/>
  <c r="IT338" i="29"/>
  <c r="IU338" i="29"/>
  <c r="IV338" i="29"/>
  <c r="IW338" i="29"/>
  <c r="IX338" i="29"/>
  <c r="IY338" i="29"/>
  <c r="IZ338" i="29"/>
  <c r="JA338" i="29"/>
  <c r="JB338" i="29"/>
  <c r="JC338" i="29"/>
  <c r="JD338" i="29"/>
  <c r="JE338" i="29"/>
  <c r="JF338" i="29"/>
  <c r="JG338" i="29"/>
  <c r="JH338" i="29"/>
  <c r="JI338" i="29"/>
  <c r="JJ338" i="29"/>
  <c r="JK338" i="29"/>
  <c r="JL338" i="29"/>
  <c r="JM338" i="29"/>
  <c r="JN338" i="29"/>
  <c r="JO338" i="29"/>
  <c r="JP338" i="29"/>
  <c r="JQ338" i="29"/>
  <c r="JR338" i="29"/>
  <c r="JS338" i="29"/>
  <c r="JT338" i="29"/>
  <c r="JU338" i="29"/>
  <c r="JV338" i="29"/>
  <c r="JW338" i="29"/>
  <c r="JX338" i="29"/>
  <c r="JY338" i="29"/>
  <c r="JZ338" i="29"/>
  <c r="KA338" i="29"/>
  <c r="KB338" i="29"/>
  <c r="KC338" i="29"/>
  <c r="KD338" i="29"/>
  <c r="KE338" i="29"/>
  <c r="KF338" i="29"/>
  <c r="KG338" i="29"/>
  <c r="KH338" i="29"/>
  <c r="KI338" i="29"/>
  <c r="KJ338" i="29"/>
  <c r="KK338" i="29"/>
  <c r="KL338" i="29"/>
  <c r="KM338" i="29"/>
  <c r="KN338" i="29"/>
  <c r="KO338" i="29"/>
  <c r="KP338" i="29"/>
  <c r="KQ338" i="29"/>
  <c r="KR338" i="29"/>
  <c r="KS338" i="29"/>
  <c r="KT338" i="29"/>
  <c r="KU338" i="29"/>
  <c r="KV338" i="29"/>
  <c r="KW338" i="29"/>
  <c r="KX338" i="29"/>
  <c r="KY338" i="29"/>
  <c r="KZ338" i="29"/>
  <c r="LA338" i="29"/>
  <c r="LB338" i="29"/>
  <c r="LC338" i="29"/>
  <c r="LD338" i="29"/>
  <c r="LE338" i="29"/>
  <c r="LF338" i="29"/>
  <c r="LG338" i="29"/>
  <c r="LH338" i="29"/>
  <c r="LI338" i="29"/>
  <c r="LJ338" i="29"/>
  <c r="LK338" i="29"/>
  <c r="LL338" i="29"/>
  <c r="LM338" i="29"/>
  <c r="LN338" i="29"/>
  <c r="LO338" i="29"/>
  <c r="LP338" i="29"/>
  <c r="LQ338" i="29"/>
  <c r="LR338" i="29"/>
  <c r="LS338" i="29"/>
  <c r="LT338" i="29"/>
  <c r="LU338" i="29"/>
  <c r="LV338" i="29"/>
  <c r="LW338" i="29"/>
  <c r="LX338" i="29"/>
  <c r="LY338" i="29"/>
  <c r="LZ338" i="29"/>
  <c r="MA338" i="29"/>
  <c r="MB338" i="29"/>
  <c r="MC338" i="29"/>
  <c r="MD338" i="29"/>
  <c r="ME338" i="29"/>
  <c r="MF338" i="29"/>
  <c r="MG338" i="29"/>
  <c r="MH338" i="29"/>
  <c r="MI338" i="29"/>
  <c r="MJ338" i="29"/>
  <c r="MK338" i="29"/>
  <c r="ML338" i="29"/>
  <c r="MM338" i="29"/>
  <c r="MN338" i="29"/>
  <c r="MO338" i="29"/>
  <c r="MP338" i="29"/>
  <c r="MQ338" i="29"/>
  <c r="MR338" i="29"/>
  <c r="MS338" i="29"/>
  <c r="MT338" i="29"/>
  <c r="MU338" i="29"/>
  <c r="MV338" i="29"/>
  <c r="MW338" i="29"/>
  <c r="MX338" i="29"/>
  <c r="MY338" i="29"/>
  <c r="MZ338" i="29"/>
  <c r="NA338" i="29"/>
  <c r="NB338" i="29"/>
  <c r="NC338" i="29"/>
  <c r="ND338" i="29"/>
  <c r="NE338" i="29"/>
  <c r="NF338" i="29"/>
  <c r="NG338" i="29"/>
  <c r="NH338" i="29"/>
  <c r="NI338" i="29"/>
  <c r="NJ338" i="29"/>
  <c r="NK338" i="29"/>
  <c r="NL338" i="29"/>
  <c r="NM338" i="29"/>
  <c r="NN338" i="29"/>
  <c r="NO338" i="29"/>
  <c r="NP338" i="29"/>
  <c r="NQ338" i="29"/>
  <c r="NR338" i="29"/>
  <c r="NS338" i="29"/>
  <c r="NT338" i="29"/>
  <c r="NU338" i="29"/>
  <c r="NV338" i="29"/>
  <c r="NW338" i="29"/>
  <c r="NX338" i="29"/>
  <c r="NY338" i="29"/>
  <c r="NZ338" i="29"/>
  <c r="OA338" i="29"/>
  <c r="OB338" i="29"/>
  <c r="OC338" i="29"/>
  <c r="OD338" i="29"/>
  <c r="OE338" i="29"/>
  <c r="OF338" i="29"/>
  <c r="OG338" i="29"/>
  <c r="OH338" i="29"/>
  <c r="OI338" i="29"/>
  <c r="OJ338" i="29"/>
  <c r="OK338" i="29"/>
  <c r="OL338" i="29"/>
  <c r="OM338" i="29"/>
  <c r="ON338" i="29"/>
  <c r="OO338" i="29"/>
  <c r="OP338" i="29"/>
  <c r="OQ338" i="29"/>
  <c r="OR338" i="29"/>
  <c r="OS338" i="29"/>
  <c r="OT338" i="29"/>
  <c r="OU338" i="29"/>
  <c r="OV338" i="29"/>
  <c r="OW338" i="29"/>
  <c r="OX338" i="29"/>
  <c r="OY338" i="29"/>
  <c r="OZ338" i="29"/>
  <c r="PA338" i="29"/>
  <c r="PB338" i="29"/>
  <c r="PC338" i="29"/>
  <c r="PD338" i="29"/>
  <c r="PE338" i="29"/>
  <c r="PF338" i="29"/>
  <c r="PG338" i="29"/>
  <c r="PH338" i="29"/>
  <c r="PI338" i="29"/>
  <c r="PJ338" i="29"/>
  <c r="PK338" i="29"/>
  <c r="PL338" i="29"/>
  <c r="PM338" i="29"/>
  <c r="PN338" i="29"/>
  <c r="PO338" i="29"/>
  <c r="PP338" i="29"/>
  <c r="PQ338" i="29"/>
  <c r="PR338" i="29"/>
  <c r="PS338" i="29"/>
  <c r="PT338" i="29"/>
  <c r="PU338" i="29"/>
  <c r="PV338" i="29"/>
  <c r="PW338" i="29"/>
  <c r="PX338" i="29"/>
  <c r="PY338" i="29"/>
  <c r="PZ338" i="29"/>
  <c r="QA338" i="29"/>
  <c r="QB338" i="29"/>
  <c r="QC338" i="29"/>
  <c r="QD338" i="29"/>
  <c r="QE338" i="29"/>
  <c r="QF338" i="29"/>
  <c r="QG338" i="29"/>
  <c r="QH338" i="29"/>
  <c r="QI338" i="29"/>
  <c r="QJ338" i="29"/>
  <c r="QK338" i="29"/>
  <c r="QL338" i="29"/>
  <c r="QM338" i="29"/>
  <c r="QN338" i="29"/>
  <c r="QO338" i="29"/>
  <c r="QP338" i="29"/>
  <c r="QQ338" i="29"/>
  <c r="QR338" i="29"/>
  <c r="QS338" i="29"/>
  <c r="QT338" i="29"/>
  <c r="QU338" i="29"/>
  <c r="QV338" i="29"/>
  <c r="QW338" i="29"/>
  <c r="QX338" i="29"/>
  <c r="QY338" i="29"/>
  <c r="QZ338" i="29"/>
  <c r="RA338" i="29"/>
  <c r="RB338" i="29"/>
  <c r="RC338" i="29"/>
  <c r="RD338" i="29"/>
  <c r="RE338" i="29"/>
  <c r="RF338" i="29"/>
  <c r="RG338" i="29"/>
  <c r="RH338" i="29"/>
  <c r="RI338" i="29"/>
  <c r="RJ338" i="29"/>
  <c r="RK338" i="29"/>
  <c r="RL338" i="29"/>
  <c r="RM338" i="29"/>
  <c r="RN338" i="29"/>
  <c r="RO338" i="29"/>
  <c r="RP338" i="29"/>
  <c r="RQ338" i="29"/>
  <c r="RR338" i="29"/>
  <c r="RS338" i="29"/>
  <c r="RT338" i="29"/>
  <c r="RU338" i="29"/>
  <c r="RV338" i="29"/>
  <c r="RW338" i="29"/>
  <c r="RX338" i="29"/>
  <c r="RY338" i="29"/>
  <c r="RZ338" i="29"/>
  <c r="SA338" i="29"/>
  <c r="SB338" i="29"/>
  <c r="SC338" i="29"/>
  <c r="SD338" i="29"/>
  <c r="SE338" i="29"/>
  <c r="SF338" i="29"/>
  <c r="SG338" i="29"/>
  <c r="SH338" i="29"/>
  <c r="SI338" i="29"/>
  <c r="SJ338" i="29"/>
  <c r="SK338" i="29"/>
  <c r="SL338" i="29"/>
  <c r="SM338" i="29"/>
  <c r="SN338" i="29"/>
  <c r="SO338" i="29"/>
  <c r="SP338" i="29"/>
  <c r="SQ338" i="29"/>
  <c r="SR338" i="29"/>
  <c r="SS338" i="29"/>
  <c r="B339" i="29"/>
  <c r="C339" i="29"/>
  <c r="D339" i="29"/>
  <c r="E339" i="29"/>
  <c r="F339" i="29"/>
  <c r="G339" i="29"/>
  <c r="H339" i="29"/>
  <c r="I339" i="29"/>
  <c r="J339" i="29"/>
  <c r="K339" i="29"/>
  <c r="L339" i="29"/>
  <c r="M339" i="29"/>
  <c r="N339" i="29"/>
  <c r="O339" i="29"/>
  <c r="P339" i="29"/>
  <c r="Q339" i="29"/>
  <c r="R339" i="29"/>
  <c r="S339" i="29"/>
  <c r="T339" i="29"/>
  <c r="U339" i="29"/>
  <c r="V339" i="29"/>
  <c r="W339" i="29"/>
  <c r="X339" i="29"/>
  <c r="Y339" i="29"/>
  <c r="Z339" i="29"/>
  <c r="AA339" i="29"/>
  <c r="AB339" i="29"/>
  <c r="AC339" i="29"/>
  <c r="AD339" i="29"/>
  <c r="AE339" i="29"/>
  <c r="AF339" i="29"/>
  <c r="AG339" i="29"/>
  <c r="AH339" i="29"/>
  <c r="AI339" i="29"/>
  <c r="AJ339" i="29"/>
  <c r="AK339" i="29"/>
  <c r="AL339" i="29"/>
  <c r="AM339" i="29"/>
  <c r="AN339" i="29"/>
  <c r="AO339" i="29"/>
  <c r="AP339" i="29"/>
  <c r="AQ339" i="29"/>
  <c r="AR339" i="29"/>
  <c r="AS339" i="29"/>
  <c r="AT339" i="29"/>
  <c r="AU339" i="29"/>
  <c r="AV339" i="29"/>
  <c r="AW339" i="29"/>
  <c r="AX339" i="29"/>
  <c r="AY339" i="29"/>
  <c r="AZ339" i="29"/>
  <c r="BA339" i="29"/>
  <c r="BB339" i="29"/>
  <c r="BC339" i="29"/>
  <c r="BD339" i="29"/>
  <c r="BE339" i="29"/>
  <c r="BF339" i="29"/>
  <c r="BG339" i="29"/>
  <c r="BH339" i="29"/>
  <c r="BI339" i="29"/>
  <c r="BJ339" i="29"/>
  <c r="BK339" i="29"/>
  <c r="BL339" i="29"/>
  <c r="BM339" i="29"/>
  <c r="BN339" i="29"/>
  <c r="BO339" i="29"/>
  <c r="BP339" i="29"/>
  <c r="BQ339" i="29"/>
  <c r="BR339" i="29"/>
  <c r="BS339" i="29"/>
  <c r="BT339" i="29"/>
  <c r="BU339" i="29"/>
  <c r="BV339" i="29"/>
  <c r="BW339" i="29"/>
  <c r="BX339" i="29"/>
  <c r="BY339" i="29"/>
  <c r="BZ339" i="29"/>
  <c r="CA339" i="29"/>
  <c r="CB339" i="29"/>
  <c r="CC339" i="29"/>
  <c r="CD339" i="29"/>
  <c r="CE339" i="29"/>
  <c r="CF339" i="29"/>
  <c r="CG339" i="29"/>
  <c r="CH339" i="29"/>
  <c r="CI339" i="29"/>
  <c r="CJ339" i="29"/>
  <c r="CK339" i="29"/>
  <c r="CL339" i="29"/>
  <c r="CM339" i="29"/>
  <c r="CN339" i="29"/>
  <c r="CO339" i="29"/>
  <c r="CP339" i="29"/>
  <c r="CQ339" i="29"/>
  <c r="CR339" i="29"/>
  <c r="CS339" i="29"/>
  <c r="CT339" i="29"/>
  <c r="CU339" i="29"/>
  <c r="CV339" i="29"/>
  <c r="CW339" i="29"/>
  <c r="CX339" i="29"/>
  <c r="CY339" i="29"/>
  <c r="CZ339" i="29"/>
  <c r="DA339" i="29"/>
  <c r="DB339" i="29"/>
  <c r="DC339" i="29"/>
  <c r="DD339" i="29"/>
  <c r="DE339" i="29"/>
  <c r="DF339" i="29"/>
  <c r="DG339" i="29"/>
  <c r="DH339" i="29"/>
  <c r="DI339" i="29"/>
  <c r="DJ339" i="29"/>
  <c r="DK339" i="29"/>
  <c r="DL339" i="29"/>
  <c r="DM339" i="29"/>
  <c r="DN339" i="29"/>
  <c r="DO339" i="29"/>
  <c r="DP339" i="29"/>
  <c r="DQ339" i="29"/>
  <c r="DR339" i="29"/>
  <c r="DS339" i="29"/>
  <c r="DT339" i="29"/>
  <c r="DU339" i="29"/>
  <c r="DV339" i="29"/>
  <c r="DW339" i="29"/>
  <c r="DX339" i="29"/>
  <c r="DY339" i="29"/>
  <c r="DZ339" i="29"/>
  <c r="EA339" i="29"/>
  <c r="EB339" i="29"/>
  <c r="EC339" i="29"/>
  <c r="ED339" i="29"/>
  <c r="EE339" i="29"/>
  <c r="EF339" i="29"/>
  <c r="EG339" i="29"/>
  <c r="EH339" i="29"/>
  <c r="EI339" i="29"/>
  <c r="EJ339" i="29"/>
  <c r="EK339" i="29"/>
  <c r="EL339" i="29"/>
  <c r="EM339" i="29"/>
  <c r="EN339" i="29"/>
  <c r="EO339" i="29"/>
  <c r="EP339" i="29"/>
  <c r="EQ339" i="29"/>
  <c r="ER339" i="29"/>
  <c r="ES339" i="29"/>
  <c r="ET339" i="29"/>
  <c r="EU339" i="29"/>
  <c r="EV339" i="29"/>
  <c r="EW339" i="29"/>
  <c r="EX339" i="29"/>
  <c r="EY339" i="29"/>
  <c r="EZ339" i="29"/>
  <c r="FA339" i="29"/>
  <c r="FB339" i="29"/>
  <c r="FC339" i="29"/>
  <c r="FD339" i="29"/>
  <c r="FE339" i="29"/>
  <c r="FF339" i="29"/>
  <c r="FG339" i="29"/>
  <c r="FH339" i="29"/>
  <c r="FI339" i="29"/>
  <c r="FJ339" i="29"/>
  <c r="FK339" i="29"/>
  <c r="FL339" i="29"/>
  <c r="FM339" i="29"/>
  <c r="FN339" i="29"/>
  <c r="FO339" i="29"/>
  <c r="FP339" i="29"/>
  <c r="FQ339" i="29"/>
  <c r="FR339" i="29"/>
  <c r="FS339" i="29"/>
  <c r="FT339" i="29"/>
  <c r="FU339" i="29"/>
  <c r="FV339" i="29"/>
  <c r="FW339" i="29"/>
  <c r="FX339" i="29"/>
  <c r="FY339" i="29"/>
  <c r="FZ339" i="29"/>
  <c r="GA339" i="29"/>
  <c r="GB339" i="29"/>
  <c r="GC339" i="29"/>
  <c r="GD339" i="29"/>
  <c r="GE339" i="29"/>
  <c r="GF339" i="29"/>
  <c r="GG339" i="29"/>
  <c r="GH339" i="29"/>
  <c r="GI339" i="29"/>
  <c r="GJ339" i="29"/>
  <c r="GK339" i="29"/>
  <c r="GL339" i="29"/>
  <c r="GM339" i="29"/>
  <c r="GN339" i="29"/>
  <c r="GO339" i="29"/>
  <c r="GP339" i="29"/>
  <c r="GQ339" i="29"/>
  <c r="GR339" i="29"/>
  <c r="GS339" i="29"/>
  <c r="GT339" i="29"/>
  <c r="GU339" i="29"/>
  <c r="GV339" i="29"/>
  <c r="GW339" i="29"/>
  <c r="GX339" i="29"/>
  <c r="GY339" i="29"/>
  <c r="GZ339" i="29"/>
  <c r="HA339" i="29"/>
  <c r="HB339" i="29"/>
  <c r="HC339" i="29"/>
  <c r="HD339" i="29"/>
  <c r="HE339" i="29"/>
  <c r="HF339" i="29"/>
  <c r="HG339" i="29"/>
  <c r="HH339" i="29"/>
  <c r="HI339" i="29"/>
  <c r="HJ339" i="29"/>
  <c r="HK339" i="29"/>
  <c r="HL339" i="29"/>
  <c r="HM339" i="29"/>
  <c r="HN339" i="29"/>
  <c r="HO339" i="29"/>
  <c r="HP339" i="29"/>
  <c r="HQ339" i="29"/>
  <c r="HR339" i="29"/>
  <c r="HS339" i="29"/>
  <c r="HT339" i="29"/>
  <c r="HU339" i="29"/>
  <c r="HV339" i="29"/>
  <c r="HW339" i="29"/>
  <c r="HX339" i="29"/>
  <c r="HY339" i="29"/>
  <c r="HZ339" i="29"/>
  <c r="IA339" i="29"/>
  <c r="IB339" i="29"/>
  <c r="IC339" i="29"/>
  <c r="ID339" i="29"/>
  <c r="IE339" i="29"/>
  <c r="IF339" i="29"/>
  <c r="IG339" i="29"/>
  <c r="IH339" i="29"/>
  <c r="II339" i="29"/>
  <c r="IJ339" i="29"/>
  <c r="IK339" i="29"/>
  <c r="IL339" i="29"/>
  <c r="IM339" i="29"/>
  <c r="IN339" i="29"/>
  <c r="IO339" i="29"/>
  <c r="IP339" i="29"/>
  <c r="IQ339" i="29"/>
  <c r="IR339" i="29"/>
  <c r="IS339" i="29"/>
  <c r="IT339" i="29"/>
  <c r="IU339" i="29"/>
  <c r="IV339" i="29"/>
  <c r="IW339" i="29"/>
  <c r="IX339" i="29"/>
  <c r="IY339" i="29"/>
  <c r="IZ339" i="29"/>
  <c r="JA339" i="29"/>
  <c r="JB339" i="29"/>
  <c r="JC339" i="29"/>
  <c r="JD339" i="29"/>
  <c r="JE339" i="29"/>
  <c r="JF339" i="29"/>
  <c r="JG339" i="29"/>
  <c r="JH339" i="29"/>
  <c r="JI339" i="29"/>
  <c r="JJ339" i="29"/>
  <c r="JK339" i="29"/>
  <c r="JL339" i="29"/>
  <c r="JM339" i="29"/>
  <c r="JN339" i="29"/>
  <c r="JO339" i="29"/>
  <c r="JP339" i="29"/>
  <c r="JQ339" i="29"/>
  <c r="JR339" i="29"/>
  <c r="JS339" i="29"/>
  <c r="JT339" i="29"/>
  <c r="JU339" i="29"/>
  <c r="JV339" i="29"/>
  <c r="JW339" i="29"/>
  <c r="JX339" i="29"/>
  <c r="JY339" i="29"/>
  <c r="JZ339" i="29"/>
  <c r="KA339" i="29"/>
  <c r="KB339" i="29"/>
  <c r="KC339" i="29"/>
  <c r="KD339" i="29"/>
  <c r="KE339" i="29"/>
  <c r="KF339" i="29"/>
  <c r="KG339" i="29"/>
  <c r="KH339" i="29"/>
  <c r="KI339" i="29"/>
  <c r="KJ339" i="29"/>
  <c r="KK339" i="29"/>
  <c r="KL339" i="29"/>
  <c r="KM339" i="29"/>
  <c r="KN339" i="29"/>
  <c r="KO339" i="29"/>
  <c r="KP339" i="29"/>
  <c r="KQ339" i="29"/>
  <c r="KR339" i="29"/>
  <c r="KS339" i="29"/>
  <c r="KT339" i="29"/>
  <c r="KU339" i="29"/>
  <c r="KV339" i="29"/>
  <c r="KW339" i="29"/>
  <c r="KX339" i="29"/>
  <c r="KY339" i="29"/>
  <c r="KZ339" i="29"/>
  <c r="LA339" i="29"/>
  <c r="LB339" i="29"/>
  <c r="LC339" i="29"/>
  <c r="LD339" i="29"/>
  <c r="LE339" i="29"/>
  <c r="LF339" i="29"/>
  <c r="LG339" i="29"/>
  <c r="LH339" i="29"/>
  <c r="LI339" i="29"/>
  <c r="LJ339" i="29"/>
  <c r="LK339" i="29"/>
  <c r="LL339" i="29"/>
  <c r="LM339" i="29"/>
  <c r="LN339" i="29"/>
  <c r="LO339" i="29"/>
  <c r="LP339" i="29"/>
  <c r="LQ339" i="29"/>
  <c r="LR339" i="29"/>
  <c r="LS339" i="29"/>
  <c r="LT339" i="29"/>
  <c r="LU339" i="29"/>
  <c r="LV339" i="29"/>
  <c r="LW339" i="29"/>
  <c r="LX339" i="29"/>
  <c r="LY339" i="29"/>
  <c r="LZ339" i="29"/>
  <c r="MA339" i="29"/>
  <c r="MB339" i="29"/>
  <c r="MC339" i="29"/>
  <c r="MD339" i="29"/>
  <c r="ME339" i="29"/>
  <c r="MF339" i="29"/>
  <c r="MG339" i="29"/>
  <c r="MH339" i="29"/>
  <c r="MI339" i="29"/>
  <c r="MJ339" i="29"/>
  <c r="MK339" i="29"/>
  <c r="ML339" i="29"/>
  <c r="MM339" i="29"/>
  <c r="MN339" i="29"/>
  <c r="MO339" i="29"/>
  <c r="MP339" i="29"/>
  <c r="MQ339" i="29"/>
  <c r="MR339" i="29"/>
  <c r="MS339" i="29"/>
  <c r="MT339" i="29"/>
  <c r="MU339" i="29"/>
  <c r="MV339" i="29"/>
  <c r="MW339" i="29"/>
  <c r="MX339" i="29"/>
  <c r="MY339" i="29"/>
  <c r="MZ339" i="29"/>
  <c r="NA339" i="29"/>
  <c r="NB339" i="29"/>
  <c r="NC339" i="29"/>
  <c r="ND339" i="29"/>
  <c r="NE339" i="29"/>
  <c r="NF339" i="29"/>
  <c r="NG339" i="29"/>
  <c r="NH339" i="29"/>
  <c r="NI339" i="29"/>
  <c r="NJ339" i="29"/>
  <c r="NK339" i="29"/>
  <c r="NL339" i="29"/>
  <c r="NM339" i="29"/>
  <c r="NN339" i="29"/>
  <c r="NO339" i="29"/>
  <c r="NP339" i="29"/>
  <c r="NQ339" i="29"/>
  <c r="NR339" i="29"/>
  <c r="NS339" i="29"/>
  <c r="NT339" i="29"/>
  <c r="NU339" i="29"/>
  <c r="NV339" i="29"/>
  <c r="NW339" i="29"/>
  <c r="NX339" i="29"/>
  <c r="NY339" i="29"/>
  <c r="NZ339" i="29"/>
  <c r="OA339" i="29"/>
  <c r="OB339" i="29"/>
  <c r="OC339" i="29"/>
  <c r="OD339" i="29"/>
  <c r="OE339" i="29"/>
  <c r="OF339" i="29"/>
  <c r="OG339" i="29"/>
  <c r="OH339" i="29"/>
  <c r="OI339" i="29"/>
  <c r="OJ339" i="29"/>
  <c r="OK339" i="29"/>
  <c r="OL339" i="29"/>
  <c r="OM339" i="29"/>
  <c r="ON339" i="29"/>
  <c r="OO339" i="29"/>
  <c r="OP339" i="29"/>
  <c r="OQ339" i="29"/>
  <c r="OR339" i="29"/>
  <c r="OS339" i="29"/>
  <c r="OT339" i="29"/>
  <c r="OU339" i="29"/>
  <c r="OV339" i="29"/>
  <c r="OW339" i="29"/>
  <c r="OX339" i="29"/>
  <c r="OY339" i="29"/>
  <c r="OZ339" i="29"/>
  <c r="PA339" i="29"/>
  <c r="PB339" i="29"/>
  <c r="PC339" i="29"/>
  <c r="PD339" i="29"/>
  <c r="PE339" i="29"/>
  <c r="PF339" i="29"/>
  <c r="PG339" i="29"/>
  <c r="PH339" i="29"/>
  <c r="PI339" i="29"/>
  <c r="PJ339" i="29"/>
  <c r="PK339" i="29"/>
  <c r="PL339" i="29"/>
  <c r="PM339" i="29"/>
  <c r="PN339" i="29"/>
  <c r="PO339" i="29"/>
  <c r="PP339" i="29"/>
  <c r="PQ339" i="29"/>
  <c r="PR339" i="29"/>
  <c r="PS339" i="29"/>
  <c r="PT339" i="29"/>
  <c r="PU339" i="29"/>
  <c r="PV339" i="29"/>
  <c r="PW339" i="29"/>
  <c r="PX339" i="29"/>
  <c r="PY339" i="29"/>
  <c r="PZ339" i="29"/>
  <c r="QA339" i="29"/>
  <c r="QB339" i="29"/>
  <c r="QC339" i="29"/>
  <c r="QD339" i="29"/>
  <c r="QE339" i="29"/>
  <c r="QF339" i="29"/>
  <c r="QG339" i="29"/>
  <c r="QH339" i="29"/>
  <c r="QI339" i="29"/>
  <c r="QJ339" i="29"/>
  <c r="QK339" i="29"/>
  <c r="QL339" i="29"/>
  <c r="QM339" i="29"/>
  <c r="QN339" i="29"/>
  <c r="QO339" i="29"/>
  <c r="QP339" i="29"/>
  <c r="QQ339" i="29"/>
  <c r="QR339" i="29"/>
  <c r="QS339" i="29"/>
  <c r="QT339" i="29"/>
  <c r="QU339" i="29"/>
  <c r="QV339" i="29"/>
  <c r="QW339" i="29"/>
  <c r="QX339" i="29"/>
  <c r="QY339" i="29"/>
  <c r="QZ339" i="29"/>
  <c r="RA339" i="29"/>
  <c r="RB339" i="29"/>
  <c r="RC339" i="29"/>
  <c r="RD339" i="29"/>
  <c r="RE339" i="29"/>
  <c r="RF339" i="29"/>
  <c r="RG339" i="29"/>
  <c r="RH339" i="29"/>
  <c r="RI339" i="29"/>
  <c r="RJ339" i="29"/>
  <c r="RK339" i="29"/>
  <c r="RL339" i="29"/>
  <c r="RM339" i="29"/>
  <c r="RN339" i="29"/>
  <c r="RO339" i="29"/>
  <c r="RP339" i="29"/>
  <c r="RQ339" i="29"/>
  <c r="RR339" i="29"/>
  <c r="RS339" i="29"/>
  <c r="RT339" i="29"/>
  <c r="RU339" i="29"/>
  <c r="RV339" i="29"/>
  <c r="RW339" i="29"/>
  <c r="RX339" i="29"/>
  <c r="RY339" i="29"/>
  <c r="RZ339" i="29"/>
  <c r="SA339" i="29"/>
  <c r="SB339" i="29"/>
  <c r="SC339" i="29"/>
  <c r="SD339" i="29"/>
  <c r="SE339" i="29"/>
  <c r="SF339" i="29"/>
  <c r="SG339" i="29"/>
  <c r="SH339" i="29"/>
  <c r="SI339" i="29"/>
  <c r="SJ339" i="29"/>
  <c r="SK339" i="29"/>
  <c r="SL339" i="29"/>
  <c r="SM339" i="29"/>
  <c r="SN339" i="29"/>
  <c r="SO339" i="29"/>
  <c r="SP339" i="29"/>
  <c r="SQ339" i="29"/>
  <c r="SR339" i="29"/>
  <c r="SS339" i="29"/>
  <c r="B340" i="29"/>
  <c r="C340" i="29"/>
  <c r="D340" i="29"/>
  <c r="E340" i="29"/>
  <c r="F340" i="29"/>
  <c r="G340" i="29"/>
  <c r="H340" i="29"/>
  <c r="I340" i="29"/>
  <c r="J340" i="29"/>
  <c r="K340" i="29"/>
  <c r="L340" i="29"/>
  <c r="M340" i="29"/>
  <c r="N340" i="29"/>
  <c r="O340" i="29"/>
  <c r="P340" i="29"/>
  <c r="Q340" i="29"/>
  <c r="R340" i="29"/>
  <c r="S340" i="29"/>
  <c r="T340" i="29"/>
  <c r="U340" i="29"/>
  <c r="V340" i="29"/>
  <c r="W340" i="29"/>
  <c r="X340" i="29"/>
  <c r="Y340" i="29"/>
  <c r="Z340" i="29"/>
  <c r="AA340" i="29"/>
  <c r="AB340" i="29"/>
  <c r="AC340" i="29"/>
  <c r="AD340" i="29"/>
  <c r="AE340" i="29"/>
  <c r="AF340" i="29"/>
  <c r="AG340" i="29"/>
  <c r="AH340" i="29"/>
  <c r="AI340" i="29"/>
  <c r="AJ340" i="29"/>
  <c r="AK340" i="29"/>
  <c r="AL340" i="29"/>
  <c r="AM340" i="29"/>
  <c r="AN340" i="29"/>
  <c r="AO340" i="29"/>
  <c r="AP340" i="29"/>
  <c r="AQ340" i="29"/>
  <c r="AR340" i="29"/>
  <c r="AS340" i="29"/>
  <c r="AT340" i="29"/>
  <c r="AU340" i="29"/>
  <c r="AV340" i="29"/>
  <c r="AW340" i="29"/>
  <c r="AX340" i="29"/>
  <c r="AY340" i="29"/>
  <c r="AZ340" i="29"/>
  <c r="BA340" i="29"/>
  <c r="BB340" i="29"/>
  <c r="BC340" i="29"/>
  <c r="BD340" i="29"/>
  <c r="BE340" i="29"/>
  <c r="BF340" i="29"/>
  <c r="BG340" i="29"/>
  <c r="BH340" i="29"/>
  <c r="BI340" i="29"/>
  <c r="BJ340" i="29"/>
  <c r="BK340" i="29"/>
  <c r="BL340" i="29"/>
  <c r="BM340" i="29"/>
  <c r="BN340" i="29"/>
  <c r="BO340" i="29"/>
  <c r="BP340" i="29"/>
  <c r="BQ340" i="29"/>
  <c r="BR340" i="29"/>
  <c r="BS340" i="29"/>
  <c r="BT340" i="29"/>
  <c r="BU340" i="29"/>
  <c r="BV340" i="29"/>
  <c r="BW340" i="29"/>
  <c r="BX340" i="29"/>
  <c r="BY340" i="29"/>
  <c r="BZ340" i="29"/>
  <c r="CA340" i="29"/>
  <c r="CB340" i="29"/>
  <c r="CC340" i="29"/>
  <c r="CD340" i="29"/>
  <c r="CE340" i="29"/>
  <c r="CF340" i="29"/>
  <c r="CG340" i="29"/>
  <c r="CH340" i="29"/>
  <c r="CI340" i="29"/>
  <c r="CJ340" i="29"/>
  <c r="CK340" i="29"/>
  <c r="CL340" i="29"/>
  <c r="CM340" i="29"/>
  <c r="CN340" i="29"/>
  <c r="CO340" i="29"/>
  <c r="CP340" i="29"/>
  <c r="CQ340" i="29"/>
  <c r="CR340" i="29"/>
  <c r="CS340" i="29"/>
  <c r="CT340" i="29"/>
  <c r="CU340" i="29"/>
  <c r="CV340" i="29"/>
  <c r="CW340" i="29"/>
  <c r="CX340" i="29"/>
  <c r="CY340" i="29"/>
  <c r="CZ340" i="29"/>
  <c r="DA340" i="29"/>
  <c r="DB340" i="29"/>
  <c r="DC340" i="29"/>
  <c r="DD340" i="29"/>
  <c r="DE340" i="29"/>
  <c r="DF340" i="29"/>
  <c r="DG340" i="29"/>
  <c r="DH340" i="29"/>
  <c r="DI340" i="29"/>
  <c r="DJ340" i="29"/>
  <c r="DK340" i="29"/>
  <c r="DL340" i="29"/>
  <c r="DM340" i="29"/>
  <c r="DN340" i="29"/>
  <c r="DO340" i="29"/>
  <c r="DP340" i="29"/>
  <c r="DQ340" i="29"/>
  <c r="DR340" i="29"/>
  <c r="DS340" i="29"/>
  <c r="DT340" i="29"/>
  <c r="DU340" i="29"/>
  <c r="DV340" i="29"/>
  <c r="DW340" i="29"/>
  <c r="DX340" i="29"/>
  <c r="DY340" i="29"/>
  <c r="DZ340" i="29"/>
  <c r="EA340" i="29"/>
  <c r="EB340" i="29"/>
  <c r="EC340" i="29"/>
  <c r="ED340" i="29"/>
  <c r="EE340" i="29"/>
  <c r="EF340" i="29"/>
  <c r="EG340" i="29"/>
  <c r="EH340" i="29"/>
  <c r="EI340" i="29"/>
  <c r="EJ340" i="29"/>
  <c r="EK340" i="29"/>
  <c r="EL340" i="29"/>
  <c r="EM340" i="29"/>
  <c r="EN340" i="29"/>
  <c r="EO340" i="29"/>
  <c r="EP340" i="29"/>
  <c r="EQ340" i="29"/>
  <c r="ER340" i="29"/>
  <c r="ES340" i="29"/>
  <c r="ET340" i="29"/>
  <c r="EU340" i="29"/>
  <c r="EV340" i="29"/>
  <c r="EW340" i="29"/>
  <c r="EX340" i="29"/>
  <c r="EY340" i="29"/>
  <c r="EZ340" i="29"/>
  <c r="FA340" i="29"/>
  <c r="FB340" i="29"/>
  <c r="FC340" i="29"/>
  <c r="FD340" i="29"/>
  <c r="FE340" i="29"/>
  <c r="FF340" i="29"/>
  <c r="FG340" i="29"/>
  <c r="FH340" i="29"/>
  <c r="FI340" i="29"/>
  <c r="FJ340" i="29"/>
  <c r="FK340" i="29"/>
  <c r="FL340" i="29"/>
  <c r="FM340" i="29"/>
  <c r="FN340" i="29"/>
  <c r="FO340" i="29"/>
  <c r="FP340" i="29"/>
  <c r="FQ340" i="29"/>
  <c r="FR340" i="29"/>
  <c r="FS340" i="29"/>
  <c r="FT340" i="29"/>
  <c r="FU340" i="29"/>
  <c r="FV340" i="29"/>
  <c r="FW340" i="29"/>
  <c r="FX340" i="29"/>
  <c r="FY340" i="29"/>
  <c r="FZ340" i="29"/>
  <c r="GA340" i="29"/>
  <c r="GB340" i="29"/>
  <c r="GC340" i="29"/>
  <c r="GD340" i="29"/>
  <c r="GE340" i="29"/>
  <c r="GF340" i="29"/>
  <c r="GG340" i="29"/>
  <c r="GH340" i="29"/>
  <c r="GI340" i="29"/>
  <c r="GJ340" i="29"/>
  <c r="GK340" i="29"/>
  <c r="GL340" i="29"/>
  <c r="GM340" i="29"/>
  <c r="GN340" i="29"/>
  <c r="GO340" i="29"/>
  <c r="GP340" i="29"/>
  <c r="GQ340" i="29"/>
  <c r="GR340" i="29"/>
  <c r="GS340" i="29"/>
  <c r="GT340" i="29"/>
  <c r="GU340" i="29"/>
  <c r="GV340" i="29"/>
  <c r="GW340" i="29"/>
  <c r="GX340" i="29"/>
  <c r="GY340" i="29"/>
  <c r="GZ340" i="29"/>
  <c r="HA340" i="29"/>
  <c r="HB340" i="29"/>
  <c r="HC340" i="29"/>
  <c r="HD340" i="29"/>
  <c r="HE340" i="29"/>
  <c r="HF340" i="29"/>
  <c r="HG340" i="29"/>
  <c r="HH340" i="29"/>
  <c r="HI340" i="29"/>
  <c r="HJ340" i="29"/>
  <c r="HK340" i="29"/>
  <c r="HL340" i="29"/>
  <c r="HM340" i="29"/>
  <c r="HN340" i="29"/>
  <c r="HO340" i="29"/>
  <c r="HP340" i="29"/>
  <c r="HQ340" i="29"/>
  <c r="HR340" i="29"/>
  <c r="HS340" i="29"/>
  <c r="HT340" i="29"/>
  <c r="HU340" i="29"/>
  <c r="HV340" i="29"/>
  <c r="HW340" i="29"/>
  <c r="HX340" i="29"/>
  <c r="HY340" i="29"/>
  <c r="HZ340" i="29"/>
  <c r="IA340" i="29"/>
  <c r="IB340" i="29"/>
  <c r="IC340" i="29"/>
  <c r="ID340" i="29"/>
  <c r="IE340" i="29"/>
  <c r="IF340" i="29"/>
  <c r="IG340" i="29"/>
  <c r="IH340" i="29"/>
  <c r="II340" i="29"/>
  <c r="IJ340" i="29"/>
  <c r="IK340" i="29"/>
  <c r="IL340" i="29"/>
  <c r="IM340" i="29"/>
  <c r="IN340" i="29"/>
  <c r="IO340" i="29"/>
  <c r="IP340" i="29"/>
  <c r="IQ340" i="29"/>
  <c r="IR340" i="29"/>
  <c r="IS340" i="29"/>
  <c r="IT340" i="29"/>
  <c r="IU340" i="29"/>
  <c r="IV340" i="29"/>
  <c r="IW340" i="29"/>
  <c r="IX340" i="29"/>
  <c r="IY340" i="29"/>
  <c r="IZ340" i="29"/>
  <c r="JA340" i="29"/>
  <c r="JB340" i="29"/>
  <c r="JC340" i="29"/>
  <c r="JD340" i="29"/>
  <c r="JE340" i="29"/>
  <c r="JF340" i="29"/>
  <c r="JG340" i="29"/>
  <c r="JH340" i="29"/>
  <c r="JI340" i="29"/>
  <c r="JJ340" i="29"/>
  <c r="JK340" i="29"/>
  <c r="JL340" i="29"/>
  <c r="JM340" i="29"/>
  <c r="JN340" i="29"/>
  <c r="JO340" i="29"/>
  <c r="JP340" i="29"/>
  <c r="JQ340" i="29"/>
  <c r="JR340" i="29"/>
  <c r="JS340" i="29"/>
  <c r="JT340" i="29"/>
  <c r="JU340" i="29"/>
  <c r="JV340" i="29"/>
  <c r="JW340" i="29"/>
  <c r="JX340" i="29"/>
  <c r="JY340" i="29"/>
  <c r="JZ340" i="29"/>
  <c r="KA340" i="29"/>
  <c r="KB340" i="29"/>
  <c r="KC340" i="29"/>
  <c r="KD340" i="29"/>
  <c r="KE340" i="29"/>
  <c r="KF340" i="29"/>
  <c r="KG340" i="29"/>
  <c r="KH340" i="29"/>
  <c r="KI340" i="29"/>
  <c r="KJ340" i="29"/>
  <c r="KK340" i="29"/>
  <c r="KL340" i="29"/>
  <c r="KM340" i="29"/>
  <c r="KN340" i="29"/>
  <c r="KO340" i="29"/>
  <c r="KP340" i="29"/>
  <c r="KQ340" i="29"/>
  <c r="KR340" i="29"/>
  <c r="KS340" i="29"/>
  <c r="KT340" i="29"/>
  <c r="KU340" i="29"/>
  <c r="KV340" i="29"/>
  <c r="KW340" i="29"/>
  <c r="KX340" i="29"/>
  <c r="KY340" i="29"/>
  <c r="KZ340" i="29"/>
  <c r="LA340" i="29"/>
  <c r="LB340" i="29"/>
  <c r="LC340" i="29"/>
  <c r="LD340" i="29"/>
  <c r="LE340" i="29"/>
  <c r="LF340" i="29"/>
  <c r="LG340" i="29"/>
  <c r="LH340" i="29"/>
  <c r="LI340" i="29"/>
  <c r="LJ340" i="29"/>
  <c r="LK340" i="29"/>
  <c r="LL340" i="29"/>
  <c r="LM340" i="29"/>
  <c r="LN340" i="29"/>
  <c r="LO340" i="29"/>
  <c r="LP340" i="29"/>
  <c r="LQ340" i="29"/>
  <c r="LR340" i="29"/>
  <c r="LS340" i="29"/>
  <c r="LT340" i="29"/>
  <c r="LU340" i="29"/>
  <c r="LV340" i="29"/>
  <c r="LW340" i="29"/>
  <c r="LX340" i="29"/>
  <c r="LY340" i="29"/>
  <c r="LZ340" i="29"/>
  <c r="MA340" i="29"/>
  <c r="MB340" i="29"/>
  <c r="MC340" i="29"/>
  <c r="MD340" i="29"/>
  <c r="ME340" i="29"/>
  <c r="MF340" i="29"/>
  <c r="MG340" i="29"/>
  <c r="MH340" i="29"/>
  <c r="MI340" i="29"/>
  <c r="MJ340" i="29"/>
  <c r="MK340" i="29"/>
  <c r="ML340" i="29"/>
  <c r="MM340" i="29"/>
  <c r="MN340" i="29"/>
  <c r="MO340" i="29"/>
  <c r="MP340" i="29"/>
  <c r="MQ340" i="29"/>
  <c r="MR340" i="29"/>
  <c r="MS340" i="29"/>
  <c r="MT340" i="29"/>
  <c r="MU340" i="29"/>
  <c r="MV340" i="29"/>
  <c r="MW340" i="29"/>
  <c r="MX340" i="29"/>
  <c r="MY340" i="29"/>
  <c r="MZ340" i="29"/>
  <c r="NA340" i="29"/>
  <c r="NB340" i="29"/>
  <c r="NC340" i="29"/>
  <c r="ND340" i="29"/>
  <c r="NE340" i="29"/>
  <c r="NF340" i="29"/>
  <c r="NG340" i="29"/>
  <c r="NH340" i="29"/>
  <c r="NI340" i="29"/>
  <c r="NJ340" i="29"/>
  <c r="NK340" i="29"/>
  <c r="NL340" i="29"/>
  <c r="NM340" i="29"/>
  <c r="NN340" i="29"/>
  <c r="NO340" i="29"/>
  <c r="NP340" i="29"/>
  <c r="NQ340" i="29"/>
  <c r="NR340" i="29"/>
  <c r="NS340" i="29"/>
  <c r="NT340" i="29"/>
  <c r="NU340" i="29"/>
  <c r="NV340" i="29"/>
  <c r="NW340" i="29"/>
  <c r="NX340" i="29"/>
  <c r="NY340" i="29"/>
  <c r="NZ340" i="29"/>
  <c r="OA340" i="29"/>
  <c r="OB340" i="29"/>
  <c r="OC340" i="29"/>
  <c r="OD340" i="29"/>
  <c r="OE340" i="29"/>
  <c r="OF340" i="29"/>
  <c r="OG340" i="29"/>
  <c r="OH340" i="29"/>
  <c r="OI340" i="29"/>
  <c r="OJ340" i="29"/>
  <c r="OK340" i="29"/>
  <c r="OL340" i="29"/>
  <c r="OM340" i="29"/>
  <c r="ON340" i="29"/>
  <c r="OO340" i="29"/>
  <c r="OP340" i="29"/>
  <c r="OQ340" i="29"/>
  <c r="OR340" i="29"/>
  <c r="OS340" i="29"/>
  <c r="OT340" i="29"/>
  <c r="OU340" i="29"/>
  <c r="OV340" i="29"/>
  <c r="OW340" i="29"/>
  <c r="OX340" i="29"/>
  <c r="OY340" i="29"/>
  <c r="OZ340" i="29"/>
  <c r="PA340" i="29"/>
  <c r="PB340" i="29"/>
  <c r="PC340" i="29"/>
  <c r="PD340" i="29"/>
  <c r="PE340" i="29"/>
  <c r="PF340" i="29"/>
  <c r="PG340" i="29"/>
  <c r="PH340" i="29"/>
  <c r="PI340" i="29"/>
  <c r="PJ340" i="29"/>
  <c r="PK340" i="29"/>
  <c r="PL340" i="29"/>
  <c r="PM340" i="29"/>
  <c r="PN340" i="29"/>
  <c r="PO340" i="29"/>
  <c r="PP340" i="29"/>
  <c r="PQ340" i="29"/>
  <c r="PR340" i="29"/>
  <c r="PS340" i="29"/>
  <c r="PT340" i="29"/>
  <c r="PU340" i="29"/>
  <c r="PV340" i="29"/>
  <c r="PW340" i="29"/>
  <c r="PX340" i="29"/>
  <c r="PY340" i="29"/>
  <c r="PZ340" i="29"/>
  <c r="QA340" i="29"/>
  <c r="QB340" i="29"/>
  <c r="QC340" i="29"/>
  <c r="QD340" i="29"/>
  <c r="QE340" i="29"/>
  <c r="QF340" i="29"/>
  <c r="QG340" i="29"/>
  <c r="QH340" i="29"/>
  <c r="QI340" i="29"/>
  <c r="QJ340" i="29"/>
  <c r="QK340" i="29"/>
  <c r="QL340" i="29"/>
  <c r="QM340" i="29"/>
  <c r="QN340" i="29"/>
  <c r="QO340" i="29"/>
  <c r="QP340" i="29"/>
  <c r="QQ340" i="29"/>
  <c r="QR340" i="29"/>
  <c r="QS340" i="29"/>
  <c r="QT340" i="29"/>
  <c r="QU340" i="29"/>
  <c r="QV340" i="29"/>
  <c r="QW340" i="29"/>
  <c r="QX340" i="29"/>
  <c r="QY340" i="29"/>
  <c r="QZ340" i="29"/>
  <c r="RA340" i="29"/>
  <c r="RB340" i="29"/>
  <c r="RC340" i="29"/>
  <c r="RD340" i="29"/>
  <c r="RE340" i="29"/>
  <c r="RF340" i="29"/>
  <c r="RG340" i="29"/>
  <c r="RH340" i="29"/>
  <c r="RI340" i="29"/>
  <c r="RJ340" i="29"/>
  <c r="RK340" i="29"/>
  <c r="RL340" i="29"/>
  <c r="RM340" i="29"/>
  <c r="RN340" i="29"/>
  <c r="RO340" i="29"/>
  <c r="RP340" i="29"/>
  <c r="RQ340" i="29"/>
  <c r="RR340" i="29"/>
  <c r="RS340" i="29"/>
  <c r="RT340" i="29"/>
  <c r="RU340" i="29"/>
  <c r="RV340" i="29"/>
  <c r="RW340" i="29"/>
  <c r="RX340" i="29"/>
  <c r="RY340" i="29"/>
  <c r="RZ340" i="29"/>
  <c r="SA340" i="29"/>
  <c r="SB340" i="29"/>
  <c r="SC340" i="29"/>
  <c r="SD340" i="29"/>
  <c r="SE340" i="29"/>
  <c r="SF340" i="29"/>
  <c r="SG340" i="29"/>
  <c r="SH340" i="29"/>
  <c r="SI340" i="29"/>
  <c r="SJ340" i="29"/>
  <c r="SK340" i="29"/>
  <c r="SL340" i="29"/>
  <c r="SM340" i="29"/>
  <c r="SN340" i="29"/>
  <c r="SO340" i="29"/>
  <c r="SP340" i="29"/>
  <c r="SQ340" i="29"/>
  <c r="SR340" i="29"/>
  <c r="SS340" i="29"/>
  <c r="B341" i="29"/>
  <c r="C341" i="29"/>
  <c r="D341" i="29"/>
  <c r="E341" i="29"/>
  <c r="F341" i="29"/>
  <c r="G341" i="29"/>
  <c r="H341" i="29"/>
  <c r="I341" i="29"/>
  <c r="J341" i="29"/>
  <c r="K341" i="29"/>
  <c r="L341" i="29"/>
  <c r="M341" i="29"/>
  <c r="N341" i="29"/>
  <c r="O341" i="29"/>
  <c r="P341" i="29"/>
  <c r="Q341" i="29"/>
  <c r="R341" i="29"/>
  <c r="S341" i="29"/>
  <c r="T341" i="29"/>
  <c r="U341" i="29"/>
  <c r="V341" i="29"/>
  <c r="W341" i="29"/>
  <c r="X341" i="29"/>
  <c r="Y341" i="29"/>
  <c r="Z341" i="29"/>
  <c r="AA341" i="29"/>
  <c r="AB341" i="29"/>
  <c r="AC341" i="29"/>
  <c r="AD341" i="29"/>
  <c r="AE341" i="29"/>
  <c r="AF341" i="29"/>
  <c r="AG341" i="29"/>
  <c r="AH341" i="29"/>
  <c r="AI341" i="29"/>
  <c r="AJ341" i="29"/>
  <c r="AK341" i="29"/>
  <c r="AL341" i="29"/>
  <c r="AM341" i="29"/>
  <c r="AN341" i="29"/>
  <c r="AO341" i="29"/>
  <c r="AP341" i="29"/>
  <c r="AQ341" i="29"/>
  <c r="AR341" i="29"/>
  <c r="AS341" i="29"/>
  <c r="AT341" i="29"/>
  <c r="AU341" i="29"/>
  <c r="AV341" i="29"/>
  <c r="AW341" i="29"/>
  <c r="AX341" i="29"/>
  <c r="AY341" i="29"/>
  <c r="AZ341" i="29"/>
  <c r="BA341" i="29"/>
  <c r="BB341" i="29"/>
  <c r="BC341" i="29"/>
  <c r="BD341" i="29"/>
  <c r="BE341" i="29"/>
  <c r="BF341" i="29"/>
  <c r="BG341" i="29"/>
  <c r="BH341" i="29"/>
  <c r="BI341" i="29"/>
  <c r="BJ341" i="29"/>
  <c r="BK341" i="29"/>
  <c r="BL341" i="29"/>
  <c r="BM341" i="29"/>
  <c r="BN341" i="29"/>
  <c r="BO341" i="29"/>
  <c r="BP341" i="29"/>
  <c r="BQ341" i="29"/>
  <c r="BR341" i="29"/>
  <c r="BS341" i="29"/>
  <c r="BT341" i="29"/>
  <c r="BU341" i="29"/>
  <c r="BV341" i="29"/>
  <c r="BW341" i="29"/>
  <c r="BX341" i="29"/>
  <c r="BY341" i="29"/>
  <c r="BZ341" i="29"/>
  <c r="CA341" i="29"/>
  <c r="CB341" i="29"/>
  <c r="CC341" i="29"/>
  <c r="CD341" i="29"/>
  <c r="CE341" i="29"/>
  <c r="CF341" i="29"/>
  <c r="CG341" i="29"/>
  <c r="CH341" i="29"/>
  <c r="CI341" i="29"/>
  <c r="CJ341" i="29"/>
  <c r="CK341" i="29"/>
  <c r="CL341" i="29"/>
  <c r="CM341" i="29"/>
  <c r="CN341" i="29"/>
  <c r="CO341" i="29"/>
  <c r="CP341" i="29"/>
  <c r="CQ341" i="29"/>
  <c r="CR341" i="29"/>
  <c r="CS341" i="29"/>
  <c r="CT341" i="29"/>
  <c r="CU341" i="29"/>
  <c r="CV341" i="29"/>
  <c r="CW341" i="29"/>
  <c r="CX341" i="29"/>
  <c r="CY341" i="29"/>
  <c r="CZ341" i="29"/>
  <c r="DA341" i="29"/>
  <c r="DB341" i="29"/>
  <c r="DC341" i="29"/>
  <c r="DD341" i="29"/>
  <c r="DE341" i="29"/>
  <c r="DF341" i="29"/>
  <c r="DG341" i="29"/>
  <c r="DH341" i="29"/>
  <c r="DI341" i="29"/>
  <c r="DJ341" i="29"/>
  <c r="DK341" i="29"/>
  <c r="DL341" i="29"/>
  <c r="DM341" i="29"/>
  <c r="DN341" i="29"/>
  <c r="DO341" i="29"/>
  <c r="DP341" i="29"/>
  <c r="DQ341" i="29"/>
  <c r="DR341" i="29"/>
  <c r="DS341" i="29"/>
  <c r="DT341" i="29"/>
  <c r="DU341" i="29"/>
  <c r="DV341" i="29"/>
  <c r="DW341" i="29"/>
  <c r="DX341" i="29"/>
  <c r="DY341" i="29"/>
  <c r="DZ341" i="29"/>
  <c r="EA341" i="29"/>
  <c r="EB341" i="29"/>
  <c r="EC341" i="29"/>
  <c r="ED341" i="29"/>
  <c r="EE341" i="29"/>
  <c r="EF341" i="29"/>
  <c r="EG341" i="29"/>
  <c r="EH341" i="29"/>
  <c r="EI341" i="29"/>
  <c r="EJ341" i="29"/>
  <c r="EK341" i="29"/>
  <c r="EL341" i="29"/>
  <c r="EM341" i="29"/>
  <c r="EN341" i="29"/>
  <c r="EO341" i="29"/>
  <c r="EP341" i="29"/>
  <c r="EQ341" i="29"/>
  <c r="ER341" i="29"/>
  <c r="ES341" i="29"/>
  <c r="ET341" i="29"/>
  <c r="EU341" i="29"/>
  <c r="EV341" i="29"/>
  <c r="EW341" i="29"/>
  <c r="EX341" i="29"/>
  <c r="EY341" i="29"/>
  <c r="EZ341" i="29"/>
  <c r="FA341" i="29"/>
  <c r="FB341" i="29"/>
  <c r="FC341" i="29"/>
  <c r="FD341" i="29"/>
  <c r="FE341" i="29"/>
  <c r="FF341" i="29"/>
  <c r="FG341" i="29"/>
  <c r="FH341" i="29"/>
  <c r="FI341" i="29"/>
  <c r="FJ341" i="29"/>
  <c r="FK341" i="29"/>
  <c r="FL341" i="29"/>
  <c r="FM341" i="29"/>
  <c r="FN341" i="29"/>
  <c r="FO341" i="29"/>
  <c r="FP341" i="29"/>
  <c r="FQ341" i="29"/>
  <c r="FR341" i="29"/>
  <c r="FS341" i="29"/>
  <c r="FT341" i="29"/>
  <c r="FU341" i="29"/>
  <c r="FV341" i="29"/>
  <c r="FW341" i="29"/>
  <c r="FX341" i="29"/>
  <c r="FY341" i="29"/>
  <c r="FZ341" i="29"/>
  <c r="GA341" i="29"/>
  <c r="GB341" i="29"/>
  <c r="GC341" i="29"/>
  <c r="GD341" i="29"/>
  <c r="GE341" i="29"/>
  <c r="GF341" i="29"/>
  <c r="GG341" i="29"/>
  <c r="GH341" i="29"/>
  <c r="GI341" i="29"/>
  <c r="GJ341" i="29"/>
  <c r="GK341" i="29"/>
  <c r="GL341" i="29"/>
  <c r="GM341" i="29"/>
  <c r="GN341" i="29"/>
  <c r="GO341" i="29"/>
  <c r="GP341" i="29"/>
  <c r="GQ341" i="29"/>
  <c r="GR341" i="29"/>
  <c r="GS341" i="29"/>
  <c r="GT341" i="29"/>
  <c r="GU341" i="29"/>
  <c r="GV341" i="29"/>
  <c r="GW341" i="29"/>
  <c r="GX341" i="29"/>
  <c r="GY341" i="29"/>
  <c r="GZ341" i="29"/>
  <c r="HA341" i="29"/>
  <c r="HB341" i="29"/>
  <c r="HC341" i="29"/>
  <c r="HD341" i="29"/>
  <c r="HE341" i="29"/>
  <c r="HF341" i="29"/>
  <c r="HG341" i="29"/>
  <c r="HH341" i="29"/>
  <c r="HI341" i="29"/>
  <c r="HJ341" i="29"/>
  <c r="HK341" i="29"/>
  <c r="HL341" i="29"/>
  <c r="HM341" i="29"/>
  <c r="HN341" i="29"/>
  <c r="HO341" i="29"/>
  <c r="HP341" i="29"/>
  <c r="HQ341" i="29"/>
  <c r="HR341" i="29"/>
  <c r="HS341" i="29"/>
  <c r="HT341" i="29"/>
  <c r="HU341" i="29"/>
  <c r="HV341" i="29"/>
  <c r="HW341" i="29"/>
  <c r="HX341" i="29"/>
  <c r="HY341" i="29"/>
  <c r="HZ341" i="29"/>
  <c r="IA341" i="29"/>
  <c r="IB341" i="29"/>
  <c r="IC341" i="29"/>
  <c r="ID341" i="29"/>
  <c r="IE341" i="29"/>
  <c r="IF341" i="29"/>
  <c r="IG341" i="29"/>
  <c r="IH341" i="29"/>
  <c r="II341" i="29"/>
  <c r="IJ341" i="29"/>
  <c r="IK341" i="29"/>
  <c r="IL341" i="29"/>
  <c r="IM341" i="29"/>
  <c r="IN341" i="29"/>
  <c r="IO341" i="29"/>
  <c r="IP341" i="29"/>
  <c r="IQ341" i="29"/>
  <c r="IR341" i="29"/>
  <c r="IS341" i="29"/>
  <c r="IT341" i="29"/>
  <c r="IU341" i="29"/>
  <c r="IV341" i="29"/>
  <c r="IW341" i="29"/>
  <c r="IX341" i="29"/>
  <c r="IY341" i="29"/>
  <c r="IZ341" i="29"/>
  <c r="JA341" i="29"/>
  <c r="JB341" i="29"/>
  <c r="JC341" i="29"/>
  <c r="JD341" i="29"/>
  <c r="JE341" i="29"/>
  <c r="JF341" i="29"/>
  <c r="JG341" i="29"/>
  <c r="JH341" i="29"/>
  <c r="JI341" i="29"/>
  <c r="JJ341" i="29"/>
  <c r="JK341" i="29"/>
  <c r="JL341" i="29"/>
  <c r="JM341" i="29"/>
  <c r="JN341" i="29"/>
  <c r="JO341" i="29"/>
  <c r="JP341" i="29"/>
  <c r="JQ341" i="29"/>
  <c r="JR341" i="29"/>
  <c r="JS341" i="29"/>
  <c r="JT341" i="29"/>
  <c r="JU341" i="29"/>
  <c r="JV341" i="29"/>
  <c r="JW341" i="29"/>
  <c r="JX341" i="29"/>
  <c r="JY341" i="29"/>
  <c r="JZ341" i="29"/>
  <c r="KA341" i="29"/>
  <c r="KB341" i="29"/>
  <c r="KC341" i="29"/>
  <c r="KD341" i="29"/>
  <c r="KE341" i="29"/>
  <c r="KF341" i="29"/>
  <c r="KG341" i="29"/>
  <c r="KH341" i="29"/>
  <c r="KI341" i="29"/>
  <c r="KJ341" i="29"/>
  <c r="KK341" i="29"/>
  <c r="KL341" i="29"/>
  <c r="KM341" i="29"/>
  <c r="KN341" i="29"/>
  <c r="KO341" i="29"/>
  <c r="KP341" i="29"/>
  <c r="KQ341" i="29"/>
  <c r="KR341" i="29"/>
  <c r="KS341" i="29"/>
  <c r="KT341" i="29"/>
  <c r="KU341" i="29"/>
  <c r="KV341" i="29"/>
  <c r="KW341" i="29"/>
  <c r="KX341" i="29"/>
  <c r="KY341" i="29"/>
  <c r="KZ341" i="29"/>
  <c r="LA341" i="29"/>
  <c r="LB341" i="29"/>
  <c r="LC341" i="29"/>
  <c r="LD341" i="29"/>
  <c r="LE341" i="29"/>
  <c r="LF341" i="29"/>
  <c r="LG341" i="29"/>
  <c r="LH341" i="29"/>
  <c r="LI341" i="29"/>
  <c r="LJ341" i="29"/>
  <c r="LK341" i="29"/>
  <c r="LL341" i="29"/>
  <c r="LM341" i="29"/>
  <c r="LN341" i="29"/>
  <c r="LO341" i="29"/>
  <c r="LP341" i="29"/>
  <c r="LQ341" i="29"/>
  <c r="LR341" i="29"/>
  <c r="LS341" i="29"/>
  <c r="LT341" i="29"/>
  <c r="LU341" i="29"/>
  <c r="LV341" i="29"/>
  <c r="LW341" i="29"/>
  <c r="LX341" i="29"/>
  <c r="LY341" i="29"/>
  <c r="LZ341" i="29"/>
  <c r="MA341" i="29"/>
  <c r="MB341" i="29"/>
  <c r="MC341" i="29"/>
  <c r="MD341" i="29"/>
  <c r="ME341" i="29"/>
  <c r="MF341" i="29"/>
  <c r="MG341" i="29"/>
  <c r="MH341" i="29"/>
  <c r="MI341" i="29"/>
  <c r="MJ341" i="29"/>
  <c r="MK341" i="29"/>
  <c r="ML341" i="29"/>
  <c r="MM341" i="29"/>
  <c r="MN341" i="29"/>
  <c r="MO341" i="29"/>
  <c r="MP341" i="29"/>
  <c r="MQ341" i="29"/>
  <c r="MR341" i="29"/>
  <c r="MS341" i="29"/>
  <c r="MT341" i="29"/>
  <c r="MU341" i="29"/>
  <c r="MV341" i="29"/>
  <c r="MW341" i="29"/>
  <c r="MX341" i="29"/>
  <c r="MY341" i="29"/>
  <c r="MZ341" i="29"/>
  <c r="NA341" i="29"/>
  <c r="NB341" i="29"/>
  <c r="NC341" i="29"/>
  <c r="ND341" i="29"/>
  <c r="NE341" i="29"/>
  <c r="NF341" i="29"/>
  <c r="NG341" i="29"/>
  <c r="NH341" i="29"/>
  <c r="NI341" i="29"/>
  <c r="NJ341" i="29"/>
  <c r="NK341" i="29"/>
  <c r="NL341" i="29"/>
  <c r="NM341" i="29"/>
  <c r="NN341" i="29"/>
  <c r="NO341" i="29"/>
  <c r="NP341" i="29"/>
  <c r="NQ341" i="29"/>
  <c r="NR341" i="29"/>
  <c r="NS341" i="29"/>
  <c r="NT341" i="29"/>
  <c r="NU341" i="29"/>
  <c r="NV341" i="29"/>
  <c r="NW341" i="29"/>
  <c r="NX341" i="29"/>
  <c r="NY341" i="29"/>
  <c r="NZ341" i="29"/>
  <c r="OA341" i="29"/>
  <c r="OB341" i="29"/>
  <c r="OC341" i="29"/>
  <c r="OD341" i="29"/>
  <c r="OE341" i="29"/>
  <c r="OF341" i="29"/>
  <c r="OG341" i="29"/>
  <c r="OH341" i="29"/>
  <c r="OI341" i="29"/>
  <c r="OJ341" i="29"/>
  <c r="OK341" i="29"/>
  <c r="OL341" i="29"/>
  <c r="OM341" i="29"/>
  <c r="ON341" i="29"/>
  <c r="OO341" i="29"/>
  <c r="OP341" i="29"/>
  <c r="OQ341" i="29"/>
  <c r="OR341" i="29"/>
  <c r="OS341" i="29"/>
  <c r="OT341" i="29"/>
  <c r="OU341" i="29"/>
  <c r="OV341" i="29"/>
  <c r="OW341" i="29"/>
  <c r="OX341" i="29"/>
  <c r="OY341" i="29"/>
  <c r="OZ341" i="29"/>
  <c r="PA341" i="29"/>
  <c r="PB341" i="29"/>
  <c r="PC341" i="29"/>
  <c r="PD341" i="29"/>
  <c r="PE341" i="29"/>
  <c r="PF341" i="29"/>
  <c r="PG341" i="29"/>
  <c r="PH341" i="29"/>
  <c r="PI341" i="29"/>
  <c r="PJ341" i="29"/>
  <c r="PK341" i="29"/>
  <c r="PL341" i="29"/>
  <c r="PM341" i="29"/>
  <c r="PN341" i="29"/>
  <c r="PO341" i="29"/>
  <c r="PP341" i="29"/>
  <c r="PQ341" i="29"/>
  <c r="PR341" i="29"/>
  <c r="PS341" i="29"/>
  <c r="PT341" i="29"/>
  <c r="PU341" i="29"/>
  <c r="PV341" i="29"/>
  <c r="PW341" i="29"/>
  <c r="PX341" i="29"/>
  <c r="PY341" i="29"/>
  <c r="PZ341" i="29"/>
  <c r="QA341" i="29"/>
  <c r="QB341" i="29"/>
  <c r="QC341" i="29"/>
  <c r="QD341" i="29"/>
  <c r="QE341" i="29"/>
  <c r="QF341" i="29"/>
  <c r="QG341" i="29"/>
  <c r="QH341" i="29"/>
  <c r="QI341" i="29"/>
  <c r="QJ341" i="29"/>
  <c r="QK341" i="29"/>
  <c r="QL341" i="29"/>
  <c r="QM341" i="29"/>
  <c r="QN341" i="29"/>
  <c r="QO341" i="29"/>
  <c r="QP341" i="29"/>
  <c r="QQ341" i="29"/>
  <c r="QR341" i="29"/>
  <c r="QS341" i="29"/>
  <c r="QT341" i="29"/>
  <c r="QU341" i="29"/>
  <c r="QV341" i="29"/>
  <c r="QW341" i="29"/>
  <c r="QX341" i="29"/>
  <c r="QY341" i="29"/>
  <c r="QZ341" i="29"/>
  <c r="RA341" i="29"/>
  <c r="RB341" i="29"/>
  <c r="RC341" i="29"/>
  <c r="RD341" i="29"/>
  <c r="RE341" i="29"/>
  <c r="RF341" i="29"/>
  <c r="RG341" i="29"/>
  <c r="RH341" i="29"/>
  <c r="RI341" i="29"/>
  <c r="RJ341" i="29"/>
  <c r="RK341" i="29"/>
  <c r="RL341" i="29"/>
  <c r="RM341" i="29"/>
  <c r="RN341" i="29"/>
  <c r="RO341" i="29"/>
  <c r="RP341" i="29"/>
  <c r="RQ341" i="29"/>
  <c r="RR341" i="29"/>
  <c r="RS341" i="29"/>
  <c r="RT341" i="29"/>
  <c r="RU341" i="29"/>
  <c r="RV341" i="29"/>
  <c r="RW341" i="29"/>
  <c r="RX341" i="29"/>
  <c r="RY341" i="29"/>
  <c r="RZ341" i="29"/>
  <c r="SA341" i="29"/>
  <c r="SB341" i="29"/>
  <c r="SC341" i="29"/>
  <c r="SD341" i="29"/>
  <c r="SE341" i="29"/>
  <c r="SF341" i="29"/>
  <c r="SG341" i="29"/>
  <c r="SH341" i="29"/>
  <c r="SI341" i="29"/>
  <c r="SJ341" i="29"/>
  <c r="SK341" i="29"/>
  <c r="SL341" i="29"/>
  <c r="SM341" i="29"/>
  <c r="SN341" i="29"/>
  <c r="SO341" i="29"/>
  <c r="SP341" i="29"/>
  <c r="SQ341" i="29"/>
  <c r="SR341" i="29"/>
  <c r="SS341" i="29"/>
  <c r="B342" i="29"/>
  <c r="C342" i="29"/>
  <c r="D342" i="29"/>
  <c r="E342" i="29"/>
  <c r="F342" i="29"/>
  <c r="G342" i="29"/>
  <c r="H342" i="29"/>
  <c r="I342" i="29"/>
  <c r="J342" i="29"/>
  <c r="K342" i="29"/>
  <c r="L342" i="29"/>
  <c r="M342" i="29"/>
  <c r="N342" i="29"/>
  <c r="O342" i="29"/>
  <c r="P342" i="29"/>
  <c r="Q342" i="29"/>
  <c r="R342" i="29"/>
  <c r="S342" i="29"/>
  <c r="T342" i="29"/>
  <c r="U342" i="29"/>
  <c r="V342" i="29"/>
  <c r="W342" i="29"/>
  <c r="X342" i="29"/>
  <c r="Y342" i="29"/>
  <c r="Z342" i="29"/>
  <c r="AA342" i="29"/>
  <c r="AB342" i="29"/>
  <c r="AC342" i="29"/>
  <c r="AD342" i="29"/>
  <c r="AE342" i="29"/>
  <c r="AF342" i="29"/>
  <c r="AG342" i="29"/>
  <c r="AH342" i="29"/>
  <c r="AI342" i="29"/>
  <c r="AJ342" i="29"/>
  <c r="AK342" i="29"/>
  <c r="AL342" i="29"/>
  <c r="AM342" i="29"/>
  <c r="AN342" i="29"/>
  <c r="AO342" i="29"/>
  <c r="AP342" i="29"/>
  <c r="AQ342" i="29"/>
  <c r="AR342" i="29"/>
  <c r="AS342" i="29"/>
  <c r="AT342" i="29"/>
  <c r="AU342" i="29"/>
  <c r="AV342" i="29"/>
  <c r="AW342" i="29"/>
  <c r="AX342" i="29"/>
  <c r="AY342" i="29"/>
  <c r="AZ342" i="29"/>
  <c r="BA342" i="29"/>
  <c r="BB342" i="29"/>
  <c r="BC342" i="29"/>
  <c r="BD342" i="29"/>
  <c r="BE342" i="29"/>
  <c r="BF342" i="29"/>
  <c r="BG342" i="29"/>
  <c r="BH342" i="29"/>
  <c r="BI342" i="29"/>
  <c r="BJ342" i="29"/>
  <c r="BK342" i="29"/>
  <c r="BL342" i="29"/>
  <c r="BM342" i="29"/>
  <c r="BN342" i="29"/>
  <c r="BO342" i="29"/>
  <c r="BP342" i="29"/>
  <c r="BQ342" i="29"/>
  <c r="BR342" i="29"/>
  <c r="BS342" i="29"/>
  <c r="BT342" i="29"/>
  <c r="BU342" i="29"/>
  <c r="BV342" i="29"/>
  <c r="BW342" i="29"/>
  <c r="BX342" i="29"/>
  <c r="BY342" i="29"/>
  <c r="BZ342" i="29"/>
  <c r="CA342" i="29"/>
  <c r="CB342" i="29"/>
  <c r="CC342" i="29"/>
  <c r="CD342" i="29"/>
  <c r="CE342" i="29"/>
  <c r="CF342" i="29"/>
  <c r="CG342" i="29"/>
  <c r="CH342" i="29"/>
  <c r="CI342" i="29"/>
  <c r="CJ342" i="29"/>
  <c r="CK342" i="29"/>
  <c r="CL342" i="29"/>
  <c r="CM342" i="29"/>
  <c r="CN342" i="29"/>
  <c r="CO342" i="29"/>
  <c r="CP342" i="29"/>
  <c r="CQ342" i="29"/>
  <c r="CR342" i="29"/>
  <c r="CS342" i="29"/>
  <c r="CT342" i="29"/>
  <c r="CU342" i="29"/>
  <c r="CV342" i="29"/>
  <c r="CW342" i="29"/>
  <c r="CX342" i="29"/>
  <c r="CY342" i="29"/>
  <c r="CZ342" i="29"/>
  <c r="DA342" i="29"/>
  <c r="DB342" i="29"/>
  <c r="DC342" i="29"/>
  <c r="DD342" i="29"/>
  <c r="DE342" i="29"/>
  <c r="DF342" i="29"/>
  <c r="DG342" i="29"/>
  <c r="DH342" i="29"/>
  <c r="DI342" i="29"/>
  <c r="DJ342" i="29"/>
  <c r="DK342" i="29"/>
  <c r="DL342" i="29"/>
  <c r="DM342" i="29"/>
  <c r="DN342" i="29"/>
  <c r="DO342" i="29"/>
  <c r="DP342" i="29"/>
  <c r="DQ342" i="29"/>
  <c r="DR342" i="29"/>
  <c r="DS342" i="29"/>
  <c r="DT342" i="29"/>
  <c r="DU342" i="29"/>
  <c r="DV342" i="29"/>
  <c r="DW342" i="29"/>
  <c r="DX342" i="29"/>
  <c r="DY342" i="29"/>
  <c r="DZ342" i="29"/>
  <c r="EA342" i="29"/>
  <c r="EB342" i="29"/>
  <c r="EC342" i="29"/>
  <c r="ED342" i="29"/>
  <c r="EE342" i="29"/>
  <c r="EF342" i="29"/>
  <c r="EG342" i="29"/>
  <c r="EH342" i="29"/>
  <c r="EI342" i="29"/>
  <c r="EJ342" i="29"/>
  <c r="EK342" i="29"/>
  <c r="EL342" i="29"/>
  <c r="EM342" i="29"/>
  <c r="EN342" i="29"/>
  <c r="EO342" i="29"/>
  <c r="EP342" i="29"/>
  <c r="EQ342" i="29"/>
  <c r="ER342" i="29"/>
  <c r="ES342" i="29"/>
  <c r="ET342" i="29"/>
  <c r="EU342" i="29"/>
  <c r="EV342" i="29"/>
  <c r="EW342" i="29"/>
  <c r="EX342" i="29"/>
  <c r="EY342" i="29"/>
  <c r="EZ342" i="29"/>
  <c r="FA342" i="29"/>
  <c r="FB342" i="29"/>
  <c r="FC342" i="29"/>
  <c r="FD342" i="29"/>
  <c r="FE342" i="29"/>
  <c r="FF342" i="29"/>
  <c r="FG342" i="29"/>
  <c r="FH342" i="29"/>
  <c r="FI342" i="29"/>
  <c r="FJ342" i="29"/>
  <c r="FK342" i="29"/>
  <c r="FL342" i="29"/>
  <c r="FM342" i="29"/>
  <c r="FN342" i="29"/>
  <c r="FO342" i="29"/>
  <c r="FP342" i="29"/>
  <c r="FQ342" i="29"/>
  <c r="FR342" i="29"/>
  <c r="FS342" i="29"/>
  <c r="FT342" i="29"/>
  <c r="FU342" i="29"/>
  <c r="FV342" i="29"/>
  <c r="FW342" i="29"/>
  <c r="FX342" i="29"/>
  <c r="FY342" i="29"/>
  <c r="FZ342" i="29"/>
  <c r="GA342" i="29"/>
  <c r="GB342" i="29"/>
  <c r="GC342" i="29"/>
  <c r="GD342" i="29"/>
  <c r="GE342" i="29"/>
  <c r="GF342" i="29"/>
  <c r="GG342" i="29"/>
  <c r="GH342" i="29"/>
  <c r="GI342" i="29"/>
  <c r="GJ342" i="29"/>
  <c r="GK342" i="29"/>
  <c r="GL342" i="29"/>
  <c r="GM342" i="29"/>
  <c r="GN342" i="29"/>
  <c r="GO342" i="29"/>
  <c r="GP342" i="29"/>
  <c r="GQ342" i="29"/>
  <c r="GR342" i="29"/>
  <c r="GS342" i="29"/>
  <c r="GT342" i="29"/>
  <c r="GU342" i="29"/>
  <c r="GV342" i="29"/>
  <c r="GW342" i="29"/>
  <c r="GX342" i="29"/>
  <c r="GY342" i="29"/>
  <c r="GZ342" i="29"/>
  <c r="HA342" i="29"/>
  <c r="HB342" i="29"/>
  <c r="HC342" i="29"/>
  <c r="HD342" i="29"/>
  <c r="HE342" i="29"/>
  <c r="HF342" i="29"/>
  <c r="HG342" i="29"/>
  <c r="HH342" i="29"/>
  <c r="HI342" i="29"/>
  <c r="HJ342" i="29"/>
  <c r="HK342" i="29"/>
  <c r="HL342" i="29"/>
  <c r="HM342" i="29"/>
  <c r="HN342" i="29"/>
  <c r="HO342" i="29"/>
  <c r="HP342" i="29"/>
  <c r="HQ342" i="29"/>
  <c r="HR342" i="29"/>
  <c r="HS342" i="29"/>
  <c r="HT342" i="29"/>
  <c r="HU342" i="29"/>
  <c r="HV342" i="29"/>
  <c r="HW342" i="29"/>
  <c r="HX342" i="29"/>
  <c r="HY342" i="29"/>
  <c r="HZ342" i="29"/>
  <c r="IA342" i="29"/>
  <c r="IB342" i="29"/>
  <c r="IC342" i="29"/>
  <c r="ID342" i="29"/>
  <c r="IE342" i="29"/>
  <c r="IF342" i="29"/>
  <c r="IG342" i="29"/>
  <c r="IH342" i="29"/>
  <c r="II342" i="29"/>
  <c r="IJ342" i="29"/>
  <c r="IK342" i="29"/>
  <c r="IL342" i="29"/>
  <c r="IM342" i="29"/>
  <c r="IN342" i="29"/>
  <c r="IO342" i="29"/>
  <c r="IP342" i="29"/>
  <c r="IQ342" i="29"/>
  <c r="IR342" i="29"/>
  <c r="IS342" i="29"/>
  <c r="IT342" i="29"/>
  <c r="IU342" i="29"/>
  <c r="IV342" i="29"/>
  <c r="IW342" i="29"/>
  <c r="IX342" i="29"/>
  <c r="IY342" i="29"/>
  <c r="IZ342" i="29"/>
  <c r="JA342" i="29"/>
  <c r="JB342" i="29"/>
  <c r="JC342" i="29"/>
  <c r="JD342" i="29"/>
  <c r="JE342" i="29"/>
  <c r="JF342" i="29"/>
  <c r="JG342" i="29"/>
  <c r="JH342" i="29"/>
  <c r="JI342" i="29"/>
  <c r="JJ342" i="29"/>
  <c r="JK342" i="29"/>
  <c r="JL342" i="29"/>
  <c r="JM342" i="29"/>
  <c r="JN342" i="29"/>
  <c r="JO342" i="29"/>
  <c r="JP342" i="29"/>
  <c r="JQ342" i="29"/>
  <c r="JR342" i="29"/>
  <c r="JS342" i="29"/>
  <c r="JT342" i="29"/>
  <c r="JU342" i="29"/>
  <c r="JV342" i="29"/>
  <c r="JW342" i="29"/>
  <c r="JX342" i="29"/>
  <c r="JY342" i="29"/>
  <c r="JZ342" i="29"/>
  <c r="KA342" i="29"/>
  <c r="KB342" i="29"/>
  <c r="KC342" i="29"/>
  <c r="KD342" i="29"/>
  <c r="KE342" i="29"/>
  <c r="KF342" i="29"/>
  <c r="KG342" i="29"/>
  <c r="KH342" i="29"/>
  <c r="KI342" i="29"/>
  <c r="KJ342" i="29"/>
  <c r="KK342" i="29"/>
  <c r="KL342" i="29"/>
  <c r="KM342" i="29"/>
  <c r="KN342" i="29"/>
  <c r="KO342" i="29"/>
  <c r="KP342" i="29"/>
  <c r="KQ342" i="29"/>
  <c r="KR342" i="29"/>
  <c r="KS342" i="29"/>
  <c r="KT342" i="29"/>
  <c r="KU342" i="29"/>
  <c r="KV342" i="29"/>
  <c r="KW342" i="29"/>
  <c r="KX342" i="29"/>
  <c r="KY342" i="29"/>
  <c r="KZ342" i="29"/>
  <c r="LA342" i="29"/>
  <c r="LB342" i="29"/>
  <c r="LC342" i="29"/>
  <c r="LD342" i="29"/>
  <c r="LE342" i="29"/>
  <c r="LF342" i="29"/>
  <c r="LG342" i="29"/>
  <c r="LH342" i="29"/>
  <c r="LI342" i="29"/>
  <c r="LJ342" i="29"/>
  <c r="LK342" i="29"/>
  <c r="LL342" i="29"/>
  <c r="LM342" i="29"/>
  <c r="LN342" i="29"/>
  <c r="LO342" i="29"/>
  <c r="LP342" i="29"/>
  <c r="LQ342" i="29"/>
  <c r="LR342" i="29"/>
  <c r="LS342" i="29"/>
  <c r="LT342" i="29"/>
  <c r="LU342" i="29"/>
  <c r="LV342" i="29"/>
  <c r="LW342" i="29"/>
  <c r="LX342" i="29"/>
  <c r="LY342" i="29"/>
  <c r="LZ342" i="29"/>
  <c r="MA342" i="29"/>
  <c r="MB342" i="29"/>
  <c r="MC342" i="29"/>
  <c r="MD342" i="29"/>
  <c r="ME342" i="29"/>
  <c r="MF342" i="29"/>
  <c r="MG342" i="29"/>
  <c r="MH342" i="29"/>
  <c r="MI342" i="29"/>
  <c r="MJ342" i="29"/>
  <c r="MK342" i="29"/>
  <c r="ML342" i="29"/>
  <c r="MM342" i="29"/>
  <c r="MN342" i="29"/>
  <c r="MO342" i="29"/>
  <c r="MP342" i="29"/>
  <c r="MQ342" i="29"/>
  <c r="MR342" i="29"/>
  <c r="MS342" i="29"/>
  <c r="MT342" i="29"/>
  <c r="MU342" i="29"/>
  <c r="MV342" i="29"/>
  <c r="MW342" i="29"/>
  <c r="MX342" i="29"/>
  <c r="MY342" i="29"/>
  <c r="MZ342" i="29"/>
  <c r="NA342" i="29"/>
  <c r="NB342" i="29"/>
  <c r="NC342" i="29"/>
  <c r="ND342" i="29"/>
  <c r="NE342" i="29"/>
  <c r="NF342" i="29"/>
  <c r="NG342" i="29"/>
  <c r="NH342" i="29"/>
  <c r="NI342" i="29"/>
  <c r="NJ342" i="29"/>
  <c r="NK342" i="29"/>
  <c r="NL342" i="29"/>
  <c r="NM342" i="29"/>
  <c r="NN342" i="29"/>
  <c r="NO342" i="29"/>
  <c r="NP342" i="29"/>
  <c r="NQ342" i="29"/>
  <c r="NR342" i="29"/>
  <c r="NS342" i="29"/>
  <c r="NT342" i="29"/>
  <c r="NU342" i="29"/>
  <c r="NV342" i="29"/>
  <c r="NW342" i="29"/>
  <c r="NX342" i="29"/>
  <c r="NY342" i="29"/>
  <c r="NZ342" i="29"/>
  <c r="OA342" i="29"/>
  <c r="OB342" i="29"/>
  <c r="OC342" i="29"/>
  <c r="OD342" i="29"/>
  <c r="OE342" i="29"/>
  <c r="OF342" i="29"/>
  <c r="OG342" i="29"/>
  <c r="OH342" i="29"/>
  <c r="OI342" i="29"/>
  <c r="OJ342" i="29"/>
  <c r="OK342" i="29"/>
  <c r="OL342" i="29"/>
  <c r="OM342" i="29"/>
  <c r="ON342" i="29"/>
  <c r="OO342" i="29"/>
  <c r="OP342" i="29"/>
  <c r="OQ342" i="29"/>
  <c r="OR342" i="29"/>
  <c r="OS342" i="29"/>
  <c r="OT342" i="29"/>
  <c r="OU342" i="29"/>
  <c r="OV342" i="29"/>
  <c r="OW342" i="29"/>
  <c r="OX342" i="29"/>
  <c r="OY342" i="29"/>
  <c r="OZ342" i="29"/>
  <c r="PA342" i="29"/>
  <c r="PB342" i="29"/>
  <c r="PC342" i="29"/>
  <c r="PD342" i="29"/>
  <c r="PE342" i="29"/>
  <c r="PF342" i="29"/>
  <c r="PG342" i="29"/>
  <c r="PH342" i="29"/>
  <c r="PI342" i="29"/>
  <c r="PJ342" i="29"/>
  <c r="PK342" i="29"/>
  <c r="PL342" i="29"/>
  <c r="PM342" i="29"/>
  <c r="PN342" i="29"/>
  <c r="PO342" i="29"/>
  <c r="PP342" i="29"/>
  <c r="PQ342" i="29"/>
  <c r="PR342" i="29"/>
  <c r="PS342" i="29"/>
  <c r="PT342" i="29"/>
  <c r="PU342" i="29"/>
  <c r="PV342" i="29"/>
  <c r="PW342" i="29"/>
  <c r="PX342" i="29"/>
  <c r="PY342" i="29"/>
  <c r="PZ342" i="29"/>
  <c r="QA342" i="29"/>
  <c r="QB342" i="29"/>
  <c r="QC342" i="29"/>
  <c r="QD342" i="29"/>
  <c r="QE342" i="29"/>
  <c r="QF342" i="29"/>
  <c r="QG342" i="29"/>
  <c r="QH342" i="29"/>
  <c r="QI342" i="29"/>
  <c r="QJ342" i="29"/>
  <c r="QK342" i="29"/>
  <c r="QL342" i="29"/>
  <c r="QM342" i="29"/>
  <c r="QN342" i="29"/>
  <c r="QO342" i="29"/>
  <c r="QP342" i="29"/>
  <c r="QQ342" i="29"/>
  <c r="QR342" i="29"/>
  <c r="QS342" i="29"/>
  <c r="QT342" i="29"/>
  <c r="QU342" i="29"/>
  <c r="QV342" i="29"/>
  <c r="QW342" i="29"/>
  <c r="QX342" i="29"/>
  <c r="QY342" i="29"/>
  <c r="QZ342" i="29"/>
  <c r="RA342" i="29"/>
  <c r="RB342" i="29"/>
  <c r="RC342" i="29"/>
  <c r="RD342" i="29"/>
  <c r="RE342" i="29"/>
  <c r="RF342" i="29"/>
  <c r="RG342" i="29"/>
  <c r="RH342" i="29"/>
  <c r="RI342" i="29"/>
  <c r="RJ342" i="29"/>
  <c r="RK342" i="29"/>
  <c r="RL342" i="29"/>
  <c r="RM342" i="29"/>
  <c r="RN342" i="29"/>
  <c r="RO342" i="29"/>
  <c r="RP342" i="29"/>
  <c r="RQ342" i="29"/>
  <c r="RR342" i="29"/>
  <c r="RS342" i="29"/>
  <c r="RT342" i="29"/>
  <c r="RU342" i="29"/>
  <c r="RV342" i="29"/>
  <c r="RW342" i="29"/>
  <c r="RX342" i="29"/>
  <c r="RY342" i="29"/>
  <c r="RZ342" i="29"/>
  <c r="SA342" i="29"/>
  <c r="SB342" i="29"/>
  <c r="SC342" i="29"/>
  <c r="SD342" i="29"/>
  <c r="SE342" i="29"/>
  <c r="SF342" i="29"/>
  <c r="SG342" i="29"/>
  <c r="SH342" i="29"/>
  <c r="SI342" i="29"/>
  <c r="SJ342" i="29"/>
  <c r="SK342" i="29"/>
  <c r="SL342" i="29"/>
  <c r="SM342" i="29"/>
  <c r="SN342" i="29"/>
  <c r="SO342" i="29"/>
  <c r="SP342" i="29"/>
  <c r="SQ342" i="29"/>
  <c r="SR342" i="29"/>
  <c r="SS342" i="29"/>
  <c r="B343" i="29"/>
  <c r="C343" i="29"/>
  <c r="D343" i="29"/>
  <c r="E343" i="29"/>
  <c r="F343" i="29"/>
  <c r="G343" i="29"/>
  <c r="H343" i="29"/>
  <c r="I343" i="29"/>
  <c r="J343" i="29"/>
  <c r="K343" i="29"/>
  <c r="L343" i="29"/>
  <c r="M343" i="29"/>
  <c r="N343" i="29"/>
  <c r="O343" i="29"/>
  <c r="P343" i="29"/>
  <c r="Q343" i="29"/>
  <c r="R343" i="29"/>
  <c r="S343" i="29"/>
  <c r="T343" i="29"/>
  <c r="U343" i="29"/>
  <c r="V343" i="29"/>
  <c r="W343" i="29"/>
  <c r="X343" i="29"/>
  <c r="Y343" i="29"/>
  <c r="Z343" i="29"/>
  <c r="AA343" i="29"/>
  <c r="AB343" i="29"/>
  <c r="AC343" i="29"/>
  <c r="AD343" i="29"/>
  <c r="AE343" i="29"/>
  <c r="AF343" i="29"/>
  <c r="AG343" i="29"/>
  <c r="AH343" i="29"/>
  <c r="AI343" i="29"/>
  <c r="AJ343" i="29"/>
  <c r="AK343" i="29"/>
  <c r="AL343" i="29"/>
  <c r="AM343" i="29"/>
  <c r="AN343" i="29"/>
  <c r="AO343" i="29"/>
  <c r="AP343" i="29"/>
  <c r="AQ343" i="29"/>
  <c r="AR343" i="29"/>
  <c r="AS343" i="29"/>
  <c r="AT343" i="29"/>
  <c r="AU343" i="29"/>
  <c r="AV343" i="29"/>
  <c r="AW343" i="29"/>
  <c r="AX343" i="29"/>
  <c r="AY343" i="29"/>
  <c r="AZ343" i="29"/>
  <c r="BA343" i="29"/>
  <c r="BB343" i="29"/>
  <c r="BC343" i="29"/>
  <c r="BD343" i="29"/>
  <c r="BE343" i="29"/>
  <c r="BF343" i="29"/>
  <c r="BG343" i="29"/>
  <c r="BH343" i="29"/>
  <c r="BI343" i="29"/>
  <c r="BJ343" i="29"/>
  <c r="BK343" i="29"/>
  <c r="BL343" i="29"/>
  <c r="BM343" i="29"/>
  <c r="BN343" i="29"/>
  <c r="BO343" i="29"/>
  <c r="BP343" i="29"/>
  <c r="BQ343" i="29"/>
  <c r="BR343" i="29"/>
  <c r="BS343" i="29"/>
  <c r="BT343" i="29"/>
  <c r="BU343" i="29"/>
  <c r="BV343" i="29"/>
  <c r="BW343" i="29"/>
  <c r="BX343" i="29"/>
  <c r="BY343" i="29"/>
  <c r="BZ343" i="29"/>
  <c r="CA343" i="29"/>
  <c r="CB343" i="29"/>
  <c r="CC343" i="29"/>
  <c r="CD343" i="29"/>
  <c r="CE343" i="29"/>
  <c r="CF343" i="29"/>
  <c r="CG343" i="29"/>
  <c r="CH343" i="29"/>
  <c r="CI343" i="29"/>
  <c r="CJ343" i="29"/>
  <c r="CK343" i="29"/>
  <c r="CL343" i="29"/>
  <c r="CM343" i="29"/>
  <c r="CN343" i="29"/>
  <c r="CO343" i="29"/>
  <c r="CP343" i="29"/>
  <c r="CQ343" i="29"/>
  <c r="CR343" i="29"/>
  <c r="CS343" i="29"/>
  <c r="CT343" i="29"/>
  <c r="CU343" i="29"/>
  <c r="CV343" i="29"/>
  <c r="CW343" i="29"/>
  <c r="CX343" i="29"/>
  <c r="CY343" i="29"/>
  <c r="CZ343" i="29"/>
  <c r="DA343" i="29"/>
  <c r="DB343" i="29"/>
  <c r="DC343" i="29"/>
  <c r="DD343" i="29"/>
  <c r="DE343" i="29"/>
  <c r="DF343" i="29"/>
  <c r="DG343" i="29"/>
  <c r="DH343" i="29"/>
  <c r="DI343" i="29"/>
  <c r="DJ343" i="29"/>
  <c r="DK343" i="29"/>
  <c r="DL343" i="29"/>
  <c r="DM343" i="29"/>
  <c r="DN343" i="29"/>
  <c r="DO343" i="29"/>
  <c r="DP343" i="29"/>
  <c r="DQ343" i="29"/>
  <c r="DR343" i="29"/>
  <c r="DS343" i="29"/>
  <c r="DT343" i="29"/>
  <c r="DU343" i="29"/>
  <c r="DV343" i="29"/>
  <c r="DW343" i="29"/>
  <c r="DX343" i="29"/>
  <c r="DY343" i="29"/>
  <c r="DZ343" i="29"/>
  <c r="EA343" i="29"/>
  <c r="EB343" i="29"/>
  <c r="EC343" i="29"/>
  <c r="ED343" i="29"/>
  <c r="EE343" i="29"/>
  <c r="EF343" i="29"/>
  <c r="EG343" i="29"/>
  <c r="EH343" i="29"/>
  <c r="EI343" i="29"/>
  <c r="EJ343" i="29"/>
  <c r="EK343" i="29"/>
  <c r="EL343" i="29"/>
  <c r="EM343" i="29"/>
  <c r="EN343" i="29"/>
  <c r="EO343" i="29"/>
  <c r="EP343" i="29"/>
  <c r="EQ343" i="29"/>
  <c r="ER343" i="29"/>
  <c r="ES343" i="29"/>
  <c r="ET343" i="29"/>
  <c r="EU343" i="29"/>
  <c r="EV343" i="29"/>
  <c r="EW343" i="29"/>
  <c r="EX343" i="29"/>
  <c r="EY343" i="29"/>
  <c r="EZ343" i="29"/>
  <c r="FA343" i="29"/>
  <c r="FB343" i="29"/>
  <c r="FC343" i="29"/>
  <c r="FD343" i="29"/>
  <c r="FE343" i="29"/>
  <c r="FF343" i="29"/>
  <c r="FG343" i="29"/>
  <c r="FH343" i="29"/>
  <c r="FI343" i="29"/>
  <c r="FJ343" i="29"/>
  <c r="FK343" i="29"/>
  <c r="FL343" i="29"/>
  <c r="FM343" i="29"/>
  <c r="FN343" i="29"/>
  <c r="FO343" i="29"/>
  <c r="FP343" i="29"/>
  <c r="FQ343" i="29"/>
  <c r="FR343" i="29"/>
  <c r="FS343" i="29"/>
  <c r="FT343" i="29"/>
  <c r="FU343" i="29"/>
  <c r="FV343" i="29"/>
  <c r="FW343" i="29"/>
  <c r="FX343" i="29"/>
  <c r="FY343" i="29"/>
  <c r="FZ343" i="29"/>
  <c r="GA343" i="29"/>
  <c r="GB343" i="29"/>
  <c r="GC343" i="29"/>
  <c r="GD343" i="29"/>
  <c r="GE343" i="29"/>
  <c r="GF343" i="29"/>
  <c r="GG343" i="29"/>
  <c r="GH343" i="29"/>
  <c r="GI343" i="29"/>
  <c r="GJ343" i="29"/>
  <c r="GK343" i="29"/>
  <c r="GL343" i="29"/>
  <c r="GM343" i="29"/>
  <c r="GN343" i="29"/>
  <c r="GO343" i="29"/>
  <c r="GP343" i="29"/>
  <c r="GQ343" i="29"/>
  <c r="GR343" i="29"/>
  <c r="GS343" i="29"/>
  <c r="GT343" i="29"/>
  <c r="GU343" i="29"/>
  <c r="GV343" i="29"/>
  <c r="GW343" i="29"/>
  <c r="GX343" i="29"/>
  <c r="GY343" i="29"/>
  <c r="GZ343" i="29"/>
  <c r="HA343" i="29"/>
  <c r="HB343" i="29"/>
  <c r="HC343" i="29"/>
  <c r="HD343" i="29"/>
  <c r="HE343" i="29"/>
  <c r="HF343" i="29"/>
  <c r="HG343" i="29"/>
  <c r="HH343" i="29"/>
  <c r="HI343" i="29"/>
  <c r="HJ343" i="29"/>
  <c r="HK343" i="29"/>
  <c r="HL343" i="29"/>
  <c r="HM343" i="29"/>
  <c r="HN343" i="29"/>
  <c r="HO343" i="29"/>
  <c r="HP343" i="29"/>
  <c r="HQ343" i="29"/>
  <c r="HR343" i="29"/>
  <c r="HS343" i="29"/>
  <c r="HT343" i="29"/>
  <c r="HU343" i="29"/>
  <c r="HV343" i="29"/>
  <c r="HW343" i="29"/>
  <c r="HX343" i="29"/>
  <c r="HY343" i="29"/>
  <c r="HZ343" i="29"/>
  <c r="IA343" i="29"/>
  <c r="IB343" i="29"/>
  <c r="IC343" i="29"/>
  <c r="ID343" i="29"/>
  <c r="IE343" i="29"/>
  <c r="IF343" i="29"/>
  <c r="IG343" i="29"/>
  <c r="IH343" i="29"/>
  <c r="II343" i="29"/>
  <c r="IJ343" i="29"/>
  <c r="IK343" i="29"/>
  <c r="IL343" i="29"/>
  <c r="IM343" i="29"/>
  <c r="IN343" i="29"/>
  <c r="IO343" i="29"/>
  <c r="IP343" i="29"/>
  <c r="IQ343" i="29"/>
  <c r="IR343" i="29"/>
  <c r="IS343" i="29"/>
  <c r="IT343" i="29"/>
  <c r="IU343" i="29"/>
  <c r="IV343" i="29"/>
  <c r="IW343" i="29"/>
  <c r="IX343" i="29"/>
  <c r="IY343" i="29"/>
  <c r="IZ343" i="29"/>
  <c r="JA343" i="29"/>
  <c r="JB343" i="29"/>
  <c r="JC343" i="29"/>
  <c r="JD343" i="29"/>
  <c r="JE343" i="29"/>
  <c r="JF343" i="29"/>
  <c r="JG343" i="29"/>
  <c r="JH343" i="29"/>
  <c r="JI343" i="29"/>
  <c r="JJ343" i="29"/>
  <c r="JK343" i="29"/>
  <c r="JL343" i="29"/>
  <c r="JM343" i="29"/>
  <c r="JN343" i="29"/>
  <c r="JO343" i="29"/>
  <c r="JP343" i="29"/>
  <c r="JQ343" i="29"/>
  <c r="JR343" i="29"/>
  <c r="JS343" i="29"/>
  <c r="JT343" i="29"/>
  <c r="JU343" i="29"/>
  <c r="JV343" i="29"/>
  <c r="JW343" i="29"/>
  <c r="JX343" i="29"/>
  <c r="JY343" i="29"/>
  <c r="JZ343" i="29"/>
  <c r="KA343" i="29"/>
  <c r="KB343" i="29"/>
  <c r="KC343" i="29"/>
  <c r="KD343" i="29"/>
  <c r="KE343" i="29"/>
  <c r="KF343" i="29"/>
  <c r="KG343" i="29"/>
  <c r="KH343" i="29"/>
  <c r="KI343" i="29"/>
  <c r="KJ343" i="29"/>
  <c r="KK343" i="29"/>
  <c r="KL343" i="29"/>
  <c r="KM343" i="29"/>
  <c r="KN343" i="29"/>
  <c r="KO343" i="29"/>
  <c r="KP343" i="29"/>
  <c r="KQ343" i="29"/>
  <c r="KR343" i="29"/>
  <c r="KS343" i="29"/>
  <c r="KT343" i="29"/>
  <c r="KU343" i="29"/>
  <c r="KV343" i="29"/>
  <c r="KW343" i="29"/>
  <c r="KX343" i="29"/>
  <c r="KY343" i="29"/>
  <c r="KZ343" i="29"/>
  <c r="LA343" i="29"/>
  <c r="LB343" i="29"/>
  <c r="LC343" i="29"/>
  <c r="LD343" i="29"/>
  <c r="LE343" i="29"/>
  <c r="LF343" i="29"/>
  <c r="LG343" i="29"/>
  <c r="LH343" i="29"/>
  <c r="LI343" i="29"/>
  <c r="LJ343" i="29"/>
  <c r="LK343" i="29"/>
  <c r="LL343" i="29"/>
  <c r="LM343" i="29"/>
  <c r="LN343" i="29"/>
  <c r="LO343" i="29"/>
  <c r="LP343" i="29"/>
  <c r="LQ343" i="29"/>
  <c r="LR343" i="29"/>
  <c r="LS343" i="29"/>
  <c r="LT343" i="29"/>
  <c r="LU343" i="29"/>
  <c r="LV343" i="29"/>
  <c r="LW343" i="29"/>
  <c r="LX343" i="29"/>
  <c r="LY343" i="29"/>
  <c r="LZ343" i="29"/>
  <c r="MA343" i="29"/>
  <c r="MB343" i="29"/>
  <c r="MC343" i="29"/>
  <c r="MD343" i="29"/>
  <c r="ME343" i="29"/>
  <c r="MF343" i="29"/>
  <c r="MG343" i="29"/>
  <c r="MH343" i="29"/>
  <c r="MI343" i="29"/>
  <c r="MJ343" i="29"/>
  <c r="MK343" i="29"/>
  <c r="ML343" i="29"/>
  <c r="MM343" i="29"/>
  <c r="MN343" i="29"/>
  <c r="MO343" i="29"/>
  <c r="MP343" i="29"/>
  <c r="MQ343" i="29"/>
  <c r="MR343" i="29"/>
  <c r="MS343" i="29"/>
  <c r="MT343" i="29"/>
  <c r="MU343" i="29"/>
  <c r="MV343" i="29"/>
  <c r="MW343" i="29"/>
  <c r="MX343" i="29"/>
  <c r="MY343" i="29"/>
  <c r="MZ343" i="29"/>
  <c r="NA343" i="29"/>
  <c r="NB343" i="29"/>
  <c r="NC343" i="29"/>
  <c r="ND343" i="29"/>
  <c r="NE343" i="29"/>
  <c r="NF343" i="29"/>
  <c r="NG343" i="29"/>
  <c r="NH343" i="29"/>
  <c r="NI343" i="29"/>
  <c r="NJ343" i="29"/>
  <c r="NK343" i="29"/>
  <c r="NL343" i="29"/>
  <c r="NM343" i="29"/>
  <c r="NN343" i="29"/>
  <c r="NO343" i="29"/>
  <c r="NP343" i="29"/>
  <c r="NQ343" i="29"/>
  <c r="NR343" i="29"/>
  <c r="NS343" i="29"/>
  <c r="NT343" i="29"/>
  <c r="NU343" i="29"/>
  <c r="NV343" i="29"/>
  <c r="NW343" i="29"/>
  <c r="NX343" i="29"/>
  <c r="NY343" i="29"/>
  <c r="NZ343" i="29"/>
  <c r="OA343" i="29"/>
  <c r="OB343" i="29"/>
  <c r="OC343" i="29"/>
  <c r="OD343" i="29"/>
  <c r="OE343" i="29"/>
  <c r="OF343" i="29"/>
  <c r="OG343" i="29"/>
  <c r="OH343" i="29"/>
  <c r="OI343" i="29"/>
  <c r="OJ343" i="29"/>
  <c r="OK343" i="29"/>
  <c r="OL343" i="29"/>
  <c r="OM343" i="29"/>
  <c r="ON343" i="29"/>
  <c r="OO343" i="29"/>
  <c r="OP343" i="29"/>
  <c r="OQ343" i="29"/>
  <c r="OR343" i="29"/>
  <c r="OS343" i="29"/>
  <c r="OT343" i="29"/>
  <c r="OU343" i="29"/>
  <c r="OV343" i="29"/>
  <c r="OW343" i="29"/>
  <c r="OX343" i="29"/>
  <c r="OY343" i="29"/>
  <c r="OZ343" i="29"/>
  <c r="PA343" i="29"/>
  <c r="PB343" i="29"/>
  <c r="PC343" i="29"/>
  <c r="PD343" i="29"/>
  <c r="PE343" i="29"/>
  <c r="PF343" i="29"/>
  <c r="PG343" i="29"/>
  <c r="PH343" i="29"/>
  <c r="PI343" i="29"/>
  <c r="PJ343" i="29"/>
  <c r="PK343" i="29"/>
  <c r="PL343" i="29"/>
  <c r="PM343" i="29"/>
  <c r="PN343" i="29"/>
  <c r="PO343" i="29"/>
  <c r="PP343" i="29"/>
  <c r="PQ343" i="29"/>
  <c r="PR343" i="29"/>
  <c r="PS343" i="29"/>
  <c r="PT343" i="29"/>
  <c r="PU343" i="29"/>
  <c r="PV343" i="29"/>
  <c r="PW343" i="29"/>
  <c r="PX343" i="29"/>
  <c r="PY343" i="29"/>
  <c r="PZ343" i="29"/>
  <c r="QA343" i="29"/>
  <c r="QB343" i="29"/>
  <c r="QC343" i="29"/>
  <c r="QD343" i="29"/>
  <c r="QE343" i="29"/>
  <c r="QF343" i="29"/>
  <c r="QG343" i="29"/>
  <c r="QH343" i="29"/>
  <c r="QI343" i="29"/>
  <c r="QJ343" i="29"/>
  <c r="QK343" i="29"/>
  <c r="QL343" i="29"/>
  <c r="QM343" i="29"/>
  <c r="QN343" i="29"/>
  <c r="QO343" i="29"/>
  <c r="QP343" i="29"/>
  <c r="QQ343" i="29"/>
  <c r="QR343" i="29"/>
  <c r="QS343" i="29"/>
  <c r="QT343" i="29"/>
  <c r="QU343" i="29"/>
  <c r="QV343" i="29"/>
  <c r="QW343" i="29"/>
  <c r="QX343" i="29"/>
  <c r="QY343" i="29"/>
  <c r="QZ343" i="29"/>
  <c r="RA343" i="29"/>
  <c r="RB343" i="29"/>
  <c r="RC343" i="29"/>
  <c r="RD343" i="29"/>
  <c r="RE343" i="29"/>
  <c r="RF343" i="29"/>
  <c r="RG343" i="29"/>
  <c r="RH343" i="29"/>
  <c r="RI343" i="29"/>
  <c r="RJ343" i="29"/>
  <c r="RK343" i="29"/>
  <c r="RL343" i="29"/>
  <c r="RM343" i="29"/>
  <c r="RN343" i="29"/>
  <c r="RO343" i="29"/>
  <c r="RP343" i="29"/>
  <c r="RQ343" i="29"/>
  <c r="RR343" i="29"/>
  <c r="RS343" i="29"/>
  <c r="RT343" i="29"/>
  <c r="RU343" i="29"/>
  <c r="RV343" i="29"/>
  <c r="RW343" i="29"/>
  <c r="RX343" i="29"/>
  <c r="RY343" i="29"/>
  <c r="RZ343" i="29"/>
  <c r="SA343" i="29"/>
  <c r="SB343" i="29"/>
  <c r="SC343" i="29"/>
  <c r="SD343" i="29"/>
  <c r="SE343" i="29"/>
  <c r="SF343" i="29"/>
  <c r="SG343" i="29"/>
  <c r="SH343" i="29"/>
  <c r="SI343" i="29"/>
  <c r="SJ343" i="29"/>
  <c r="SK343" i="29"/>
  <c r="SL343" i="29"/>
  <c r="SM343" i="29"/>
  <c r="SN343" i="29"/>
  <c r="SO343" i="29"/>
  <c r="SP343" i="29"/>
  <c r="SQ343" i="29"/>
  <c r="SR343" i="29"/>
  <c r="SS343" i="29"/>
  <c r="B344" i="29"/>
  <c r="C344" i="29"/>
  <c r="D344" i="29"/>
  <c r="E344" i="29"/>
  <c r="F344" i="29"/>
  <c r="G344" i="29"/>
  <c r="H344" i="29"/>
  <c r="I344" i="29"/>
  <c r="J344" i="29"/>
  <c r="K344" i="29"/>
  <c r="L344" i="29"/>
  <c r="M344" i="29"/>
  <c r="N344" i="29"/>
  <c r="O344" i="29"/>
  <c r="P344" i="29"/>
  <c r="Q344" i="29"/>
  <c r="R344" i="29"/>
  <c r="S344" i="29"/>
  <c r="T344" i="29"/>
  <c r="U344" i="29"/>
  <c r="V344" i="29"/>
  <c r="W344" i="29"/>
  <c r="X344" i="29"/>
  <c r="Y344" i="29"/>
  <c r="Z344" i="29"/>
  <c r="AA344" i="29"/>
  <c r="AB344" i="29"/>
  <c r="AC344" i="29"/>
  <c r="AD344" i="29"/>
  <c r="AE344" i="29"/>
  <c r="AF344" i="29"/>
  <c r="AG344" i="29"/>
  <c r="AH344" i="29"/>
  <c r="AI344" i="29"/>
  <c r="AJ344" i="29"/>
  <c r="AK344" i="29"/>
  <c r="AL344" i="29"/>
  <c r="AM344" i="29"/>
  <c r="AN344" i="29"/>
  <c r="AO344" i="29"/>
  <c r="AP344" i="29"/>
  <c r="AQ344" i="29"/>
  <c r="AR344" i="29"/>
  <c r="AS344" i="29"/>
  <c r="AT344" i="29"/>
  <c r="AU344" i="29"/>
  <c r="AV344" i="29"/>
  <c r="AW344" i="29"/>
  <c r="AX344" i="29"/>
  <c r="AY344" i="29"/>
  <c r="AZ344" i="29"/>
  <c r="BA344" i="29"/>
  <c r="BB344" i="29"/>
  <c r="BC344" i="29"/>
  <c r="BD344" i="29"/>
  <c r="BE344" i="29"/>
  <c r="BF344" i="29"/>
  <c r="BG344" i="29"/>
  <c r="BH344" i="29"/>
  <c r="BI344" i="29"/>
  <c r="BJ344" i="29"/>
  <c r="BK344" i="29"/>
  <c r="BL344" i="29"/>
  <c r="BM344" i="29"/>
  <c r="BN344" i="29"/>
  <c r="BO344" i="29"/>
  <c r="BP344" i="29"/>
  <c r="BQ344" i="29"/>
  <c r="BR344" i="29"/>
  <c r="BS344" i="29"/>
  <c r="BT344" i="29"/>
  <c r="BU344" i="29"/>
  <c r="BV344" i="29"/>
  <c r="BW344" i="29"/>
  <c r="BX344" i="29"/>
  <c r="BY344" i="29"/>
  <c r="BZ344" i="29"/>
  <c r="CA344" i="29"/>
  <c r="CB344" i="29"/>
  <c r="CC344" i="29"/>
  <c r="CD344" i="29"/>
  <c r="CE344" i="29"/>
  <c r="CF344" i="29"/>
  <c r="CG344" i="29"/>
  <c r="CH344" i="29"/>
  <c r="CI344" i="29"/>
  <c r="CJ344" i="29"/>
  <c r="CK344" i="29"/>
  <c r="CL344" i="29"/>
  <c r="CM344" i="29"/>
  <c r="CN344" i="29"/>
  <c r="CO344" i="29"/>
  <c r="CP344" i="29"/>
  <c r="CQ344" i="29"/>
  <c r="CR344" i="29"/>
  <c r="CS344" i="29"/>
  <c r="CT344" i="29"/>
  <c r="CU344" i="29"/>
  <c r="CV344" i="29"/>
  <c r="CW344" i="29"/>
  <c r="CX344" i="29"/>
  <c r="CY344" i="29"/>
  <c r="CZ344" i="29"/>
  <c r="DA344" i="29"/>
  <c r="DB344" i="29"/>
  <c r="DC344" i="29"/>
  <c r="DD344" i="29"/>
  <c r="DE344" i="29"/>
  <c r="DF344" i="29"/>
  <c r="DG344" i="29"/>
  <c r="DH344" i="29"/>
  <c r="DI344" i="29"/>
  <c r="DJ344" i="29"/>
  <c r="DK344" i="29"/>
  <c r="DL344" i="29"/>
  <c r="DM344" i="29"/>
  <c r="DN344" i="29"/>
  <c r="DO344" i="29"/>
  <c r="DP344" i="29"/>
  <c r="DQ344" i="29"/>
  <c r="DR344" i="29"/>
  <c r="DS344" i="29"/>
  <c r="DT344" i="29"/>
  <c r="DU344" i="29"/>
  <c r="DV344" i="29"/>
  <c r="DW344" i="29"/>
  <c r="DX344" i="29"/>
  <c r="DY344" i="29"/>
  <c r="DZ344" i="29"/>
  <c r="EA344" i="29"/>
  <c r="EB344" i="29"/>
  <c r="EC344" i="29"/>
  <c r="ED344" i="29"/>
  <c r="EE344" i="29"/>
  <c r="EF344" i="29"/>
  <c r="EG344" i="29"/>
  <c r="EH344" i="29"/>
  <c r="EI344" i="29"/>
  <c r="EJ344" i="29"/>
  <c r="EK344" i="29"/>
  <c r="EL344" i="29"/>
  <c r="EM344" i="29"/>
  <c r="EN344" i="29"/>
  <c r="EO344" i="29"/>
  <c r="EP344" i="29"/>
  <c r="EQ344" i="29"/>
  <c r="ER344" i="29"/>
  <c r="ES344" i="29"/>
  <c r="ET344" i="29"/>
  <c r="EU344" i="29"/>
  <c r="EV344" i="29"/>
  <c r="EW344" i="29"/>
  <c r="EX344" i="29"/>
  <c r="EY344" i="29"/>
  <c r="EZ344" i="29"/>
  <c r="FA344" i="29"/>
  <c r="FB344" i="29"/>
  <c r="FC344" i="29"/>
  <c r="FD344" i="29"/>
  <c r="FE344" i="29"/>
  <c r="FF344" i="29"/>
  <c r="FG344" i="29"/>
  <c r="FH344" i="29"/>
  <c r="FI344" i="29"/>
  <c r="FJ344" i="29"/>
  <c r="FK344" i="29"/>
  <c r="FL344" i="29"/>
  <c r="FM344" i="29"/>
  <c r="FN344" i="29"/>
  <c r="FO344" i="29"/>
  <c r="FP344" i="29"/>
  <c r="FQ344" i="29"/>
  <c r="FR344" i="29"/>
  <c r="FS344" i="29"/>
  <c r="FT344" i="29"/>
  <c r="FU344" i="29"/>
  <c r="FV344" i="29"/>
  <c r="FW344" i="29"/>
  <c r="FX344" i="29"/>
  <c r="FY344" i="29"/>
  <c r="FZ344" i="29"/>
  <c r="GA344" i="29"/>
  <c r="GB344" i="29"/>
  <c r="GC344" i="29"/>
  <c r="GD344" i="29"/>
  <c r="GE344" i="29"/>
  <c r="GF344" i="29"/>
  <c r="GG344" i="29"/>
  <c r="GH344" i="29"/>
  <c r="GI344" i="29"/>
  <c r="GJ344" i="29"/>
  <c r="GK344" i="29"/>
  <c r="GL344" i="29"/>
  <c r="GM344" i="29"/>
  <c r="GN344" i="29"/>
  <c r="GO344" i="29"/>
  <c r="GP344" i="29"/>
  <c r="GQ344" i="29"/>
  <c r="GR344" i="29"/>
  <c r="GS344" i="29"/>
  <c r="GT344" i="29"/>
  <c r="GU344" i="29"/>
  <c r="GV344" i="29"/>
  <c r="GW344" i="29"/>
  <c r="GX344" i="29"/>
  <c r="GY344" i="29"/>
  <c r="GZ344" i="29"/>
  <c r="HA344" i="29"/>
  <c r="HB344" i="29"/>
  <c r="HC344" i="29"/>
  <c r="HD344" i="29"/>
  <c r="HE344" i="29"/>
  <c r="HF344" i="29"/>
  <c r="HG344" i="29"/>
  <c r="HH344" i="29"/>
  <c r="HI344" i="29"/>
  <c r="HJ344" i="29"/>
  <c r="HK344" i="29"/>
  <c r="HL344" i="29"/>
  <c r="HM344" i="29"/>
  <c r="HN344" i="29"/>
  <c r="HO344" i="29"/>
  <c r="HP344" i="29"/>
  <c r="HQ344" i="29"/>
  <c r="HR344" i="29"/>
  <c r="HS344" i="29"/>
  <c r="HT344" i="29"/>
  <c r="HU344" i="29"/>
  <c r="HV344" i="29"/>
  <c r="HW344" i="29"/>
  <c r="HX344" i="29"/>
  <c r="HY344" i="29"/>
  <c r="HZ344" i="29"/>
  <c r="IA344" i="29"/>
  <c r="IB344" i="29"/>
  <c r="IC344" i="29"/>
  <c r="ID344" i="29"/>
  <c r="IE344" i="29"/>
  <c r="IF344" i="29"/>
  <c r="IG344" i="29"/>
  <c r="IH344" i="29"/>
  <c r="II344" i="29"/>
  <c r="IJ344" i="29"/>
  <c r="IK344" i="29"/>
  <c r="IL344" i="29"/>
  <c r="IM344" i="29"/>
  <c r="IN344" i="29"/>
  <c r="IO344" i="29"/>
  <c r="IP344" i="29"/>
  <c r="IQ344" i="29"/>
  <c r="IR344" i="29"/>
  <c r="IS344" i="29"/>
  <c r="IT344" i="29"/>
  <c r="IU344" i="29"/>
  <c r="IV344" i="29"/>
  <c r="IW344" i="29"/>
  <c r="IX344" i="29"/>
  <c r="IY344" i="29"/>
  <c r="IZ344" i="29"/>
  <c r="JA344" i="29"/>
  <c r="JB344" i="29"/>
  <c r="JC344" i="29"/>
  <c r="JD344" i="29"/>
  <c r="JE344" i="29"/>
  <c r="JF344" i="29"/>
  <c r="JG344" i="29"/>
  <c r="JH344" i="29"/>
  <c r="JI344" i="29"/>
  <c r="JJ344" i="29"/>
  <c r="JK344" i="29"/>
  <c r="JL344" i="29"/>
  <c r="JM344" i="29"/>
  <c r="JN344" i="29"/>
  <c r="JO344" i="29"/>
  <c r="JP344" i="29"/>
  <c r="JQ344" i="29"/>
  <c r="JR344" i="29"/>
  <c r="JS344" i="29"/>
  <c r="JT344" i="29"/>
  <c r="JU344" i="29"/>
  <c r="JV344" i="29"/>
  <c r="JW344" i="29"/>
  <c r="JX344" i="29"/>
  <c r="JY344" i="29"/>
  <c r="JZ344" i="29"/>
  <c r="KA344" i="29"/>
  <c r="KB344" i="29"/>
  <c r="KC344" i="29"/>
  <c r="KD344" i="29"/>
  <c r="KE344" i="29"/>
  <c r="KF344" i="29"/>
  <c r="KG344" i="29"/>
  <c r="KH344" i="29"/>
  <c r="KI344" i="29"/>
  <c r="KJ344" i="29"/>
  <c r="KK344" i="29"/>
  <c r="KL344" i="29"/>
  <c r="KM344" i="29"/>
  <c r="KN344" i="29"/>
  <c r="KO344" i="29"/>
  <c r="KP344" i="29"/>
  <c r="KQ344" i="29"/>
  <c r="KR344" i="29"/>
  <c r="KS344" i="29"/>
  <c r="KT344" i="29"/>
  <c r="KU344" i="29"/>
  <c r="KV344" i="29"/>
  <c r="KW344" i="29"/>
  <c r="KX344" i="29"/>
  <c r="KY344" i="29"/>
  <c r="KZ344" i="29"/>
  <c r="LA344" i="29"/>
  <c r="LB344" i="29"/>
  <c r="LC344" i="29"/>
  <c r="LD344" i="29"/>
  <c r="LE344" i="29"/>
  <c r="LF344" i="29"/>
  <c r="LG344" i="29"/>
  <c r="LH344" i="29"/>
  <c r="LI344" i="29"/>
  <c r="LJ344" i="29"/>
  <c r="LK344" i="29"/>
  <c r="LL344" i="29"/>
  <c r="LM344" i="29"/>
  <c r="LN344" i="29"/>
  <c r="LO344" i="29"/>
  <c r="LP344" i="29"/>
  <c r="LQ344" i="29"/>
  <c r="LR344" i="29"/>
  <c r="LS344" i="29"/>
  <c r="LT344" i="29"/>
  <c r="LU344" i="29"/>
  <c r="LV344" i="29"/>
  <c r="LW344" i="29"/>
  <c r="LX344" i="29"/>
  <c r="LY344" i="29"/>
  <c r="LZ344" i="29"/>
  <c r="MA344" i="29"/>
  <c r="MB344" i="29"/>
  <c r="MC344" i="29"/>
  <c r="MD344" i="29"/>
  <c r="ME344" i="29"/>
  <c r="MF344" i="29"/>
  <c r="MG344" i="29"/>
  <c r="MH344" i="29"/>
  <c r="MI344" i="29"/>
  <c r="MJ344" i="29"/>
  <c r="MK344" i="29"/>
  <c r="ML344" i="29"/>
  <c r="MM344" i="29"/>
  <c r="MN344" i="29"/>
  <c r="MO344" i="29"/>
  <c r="MP344" i="29"/>
  <c r="MQ344" i="29"/>
  <c r="MR344" i="29"/>
  <c r="MS344" i="29"/>
  <c r="MT344" i="29"/>
  <c r="MU344" i="29"/>
  <c r="MV344" i="29"/>
  <c r="MW344" i="29"/>
  <c r="MX344" i="29"/>
  <c r="MY344" i="29"/>
  <c r="MZ344" i="29"/>
  <c r="NA344" i="29"/>
  <c r="NB344" i="29"/>
  <c r="NC344" i="29"/>
  <c r="ND344" i="29"/>
  <c r="NE344" i="29"/>
  <c r="NF344" i="29"/>
  <c r="NG344" i="29"/>
  <c r="NH344" i="29"/>
  <c r="NI344" i="29"/>
  <c r="NJ344" i="29"/>
  <c r="NK344" i="29"/>
  <c r="NL344" i="29"/>
  <c r="NM344" i="29"/>
  <c r="NN344" i="29"/>
  <c r="NO344" i="29"/>
  <c r="NP344" i="29"/>
  <c r="NQ344" i="29"/>
  <c r="NR344" i="29"/>
  <c r="NS344" i="29"/>
  <c r="NT344" i="29"/>
  <c r="NU344" i="29"/>
  <c r="NV344" i="29"/>
  <c r="NW344" i="29"/>
  <c r="NX344" i="29"/>
  <c r="NY344" i="29"/>
  <c r="NZ344" i="29"/>
  <c r="OA344" i="29"/>
  <c r="OB344" i="29"/>
  <c r="OC344" i="29"/>
  <c r="OD344" i="29"/>
  <c r="OE344" i="29"/>
  <c r="OF344" i="29"/>
  <c r="OG344" i="29"/>
  <c r="OH344" i="29"/>
  <c r="OI344" i="29"/>
  <c r="OJ344" i="29"/>
  <c r="OK344" i="29"/>
  <c r="OL344" i="29"/>
  <c r="OM344" i="29"/>
  <c r="ON344" i="29"/>
  <c r="OO344" i="29"/>
  <c r="OP344" i="29"/>
  <c r="OQ344" i="29"/>
  <c r="OR344" i="29"/>
  <c r="OS344" i="29"/>
  <c r="OT344" i="29"/>
  <c r="OU344" i="29"/>
  <c r="OV344" i="29"/>
  <c r="OW344" i="29"/>
  <c r="OX344" i="29"/>
  <c r="OY344" i="29"/>
  <c r="OZ344" i="29"/>
  <c r="PA344" i="29"/>
  <c r="PB344" i="29"/>
  <c r="PC344" i="29"/>
  <c r="PD344" i="29"/>
  <c r="PE344" i="29"/>
  <c r="PF344" i="29"/>
  <c r="PG344" i="29"/>
  <c r="PH344" i="29"/>
  <c r="PI344" i="29"/>
  <c r="PJ344" i="29"/>
  <c r="PK344" i="29"/>
  <c r="PL344" i="29"/>
  <c r="PM344" i="29"/>
  <c r="PN344" i="29"/>
  <c r="PO344" i="29"/>
  <c r="PP344" i="29"/>
  <c r="PQ344" i="29"/>
  <c r="PR344" i="29"/>
  <c r="PS344" i="29"/>
  <c r="PT344" i="29"/>
  <c r="PU344" i="29"/>
  <c r="PV344" i="29"/>
  <c r="PW344" i="29"/>
  <c r="PX344" i="29"/>
  <c r="PY344" i="29"/>
  <c r="PZ344" i="29"/>
  <c r="QA344" i="29"/>
  <c r="QB344" i="29"/>
  <c r="QC344" i="29"/>
  <c r="QD344" i="29"/>
  <c r="QE344" i="29"/>
  <c r="QF344" i="29"/>
  <c r="QG344" i="29"/>
  <c r="QH344" i="29"/>
  <c r="QI344" i="29"/>
  <c r="QJ344" i="29"/>
  <c r="QK344" i="29"/>
  <c r="QL344" i="29"/>
  <c r="QM344" i="29"/>
  <c r="QN344" i="29"/>
  <c r="QO344" i="29"/>
  <c r="QP344" i="29"/>
  <c r="QQ344" i="29"/>
  <c r="QR344" i="29"/>
  <c r="QS344" i="29"/>
  <c r="QT344" i="29"/>
  <c r="QU344" i="29"/>
  <c r="QV344" i="29"/>
  <c r="QW344" i="29"/>
  <c r="QX344" i="29"/>
  <c r="QY344" i="29"/>
  <c r="QZ344" i="29"/>
  <c r="RA344" i="29"/>
  <c r="RB344" i="29"/>
  <c r="RC344" i="29"/>
  <c r="RD344" i="29"/>
  <c r="RE344" i="29"/>
  <c r="RF344" i="29"/>
  <c r="RG344" i="29"/>
  <c r="RH344" i="29"/>
  <c r="RI344" i="29"/>
  <c r="RJ344" i="29"/>
  <c r="RK344" i="29"/>
  <c r="RL344" i="29"/>
  <c r="RM344" i="29"/>
  <c r="RN344" i="29"/>
  <c r="RO344" i="29"/>
  <c r="RP344" i="29"/>
  <c r="RQ344" i="29"/>
  <c r="RR344" i="29"/>
  <c r="RS344" i="29"/>
  <c r="RT344" i="29"/>
  <c r="RU344" i="29"/>
  <c r="RV344" i="29"/>
  <c r="RW344" i="29"/>
  <c r="RX344" i="29"/>
  <c r="RY344" i="29"/>
  <c r="RZ344" i="29"/>
  <c r="SA344" i="29"/>
  <c r="SB344" i="29"/>
  <c r="SC344" i="29"/>
  <c r="SD344" i="29"/>
  <c r="SE344" i="29"/>
  <c r="SF344" i="29"/>
  <c r="SG344" i="29"/>
  <c r="SH344" i="29"/>
  <c r="SI344" i="29"/>
  <c r="SJ344" i="29"/>
  <c r="SK344" i="29"/>
  <c r="SL344" i="29"/>
  <c r="SM344" i="29"/>
  <c r="SN344" i="29"/>
  <c r="SO344" i="29"/>
  <c r="SP344" i="29"/>
  <c r="SQ344" i="29"/>
  <c r="SR344" i="29"/>
  <c r="SS344" i="29"/>
  <c r="B345" i="29"/>
  <c r="C345" i="29"/>
  <c r="D345" i="29"/>
  <c r="E345" i="29"/>
  <c r="F345" i="29"/>
  <c r="G345" i="29"/>
  <c r="H345" i="29"/>
  <c r="I345" i="29"/>
  <c r="J345" i="29"/>
  <c r="K345" i="29"/>
  <c r="L345" i="29"/>
  <c r="M345" i="29"/>
  <c r="N345" i="29"/>
  <c r="O345" i="29"/>
  <c r="P345" i="29"/>
  <c r="Q345" i="29"/>
  <c r="R345" i="29"/>
  <c r="S345" i="29"/>
  <c r="T345" i="29"/>
  <c r="U345" i="29"/>
  <c r="V345" i="29"/>
  <c r="W345" i="29"/>
  <c r="X345" i="29"/>
  <c r="Y345" i="29"/>
  <c r="Z345" i="29"/>
  <c r="AA345" i="29"/>
  <c r="AB345" i="29"/>
  <c r="AC345" i="29"/>
  <c r="AD345" i="29"/>
  <c r="AE345" i="29"/>
  <c r="AF345" i="29"/>
  <c r="AG345" i="29"/>
  <c r="AH345" i="29"/>
  <c r="AI345" i="29"/>
  <c r="AJ345" i="29"/>
  <c r="AK345" i="29"/>
  <c r="AL345" i="29"/>
  <c r="AM345" i="29"/>
  <c r="AN345" i="29"/>
  <c r="AO345" i="29"/>
  <c r="AP345" i="29"/>
  <c r="AQ345" i="29"/>
  <c r="AR345" i="29"/>
  <c r="AS345" i="29"/>
  <c r="AT345" i="29"/>
  <c r="AU345" i="29"/>
  <c r="AV345" i="29"/>
  <c r="AW345" i="29"/>
  <c r="AX345" i="29"/>
  <c r="AY345" i="29"/>
  <c r="AZ345" i="29"/>
  <c r="BA345" i="29"/>
  <c r="BB345" i="29"/>
  <c r="BC345" i="29"/>
  <c r="BD345" i="29"/>
  <c r="BE345" i="29"/>
  <c r="BF345" i="29"/>
  <c r="BG345" i="29"/>
  <c r="BH345" i="29"/>
  <c r="BI345" i="29"/>
  <c r="BJ345" i="29"/>
  <c r="BK345" i="29"/>
  <c r="BL345" i="29"/>
  <c r="BM345" i="29"/>
  <c r="BN345" i="29"/>
  <c r="BO345" i="29"/>
  <c r="BP345" i="29"/>
  <c r="BQ345" i="29"/>
  <c r="BR345" i="29"/>
  <c r="BS345" i="29"/>
  <c r="BT345" i="29"/>
  <c r="BU345" i="29"/>
  <c r="BV345" i="29"/>
  <c r="BW345" i="29"/>
  <c r="BX345" i="29"/>
  <c r="BY345" i="29"/>
  <c r="BZ345" i="29"/>
  <c r="CA345" i="29"/>
  <c r="CB345" i="29"/>
  <c r="CC345" i="29"/>
  <c r="CD345" i="29"/>
  <c r="CE345" i="29"/>
  <c r="CF345" i="29"/>
  <c r="CG345" i="29"/>
  <c r="CH345" i="29"/>
  <c r="CI345" i="29"/>
  <c r="CJ345" i="29"/>
  <c r="CK345" i="29"/>
  <c r="CL345" i="29"/>
  <c r="CM345" i="29"/>
  <c r="CN345" i="29"/>
  <c r="CO345" i="29"/>
  <c r="CP345" i="29"/>
  <c r="CQ345" i="29"/>
  <c r="CR345" i="29"/>
  <c r="CS345" i="29"/>
  <c r="CT345" i="29"/>
  <c r="CU345" i="29"/>
  <c r="CV345" i="29"/>
  <c r="CW345" i="29"/>
  <c r="CX345" i="29"/>
  <c r="CY345" i="29"/>
  <c r="CZ345" i="29"/>
  <c r="DA345" i="29"/>
  <c r="DB345" i="29"/>
  <c r="DC345" i="29"/>
  <c r="DD345" i="29"/>
  <c r="DE345" i="29"/>
  <c r="DF345" i="29"/>
  <c r="DG345" i="29"/>
  <c r="DH345" i="29"/>
  <c r="DI345" i="29"/>
  <c r="DJ345" i="29"/>
  <c r="DK345" i="29"/>
  <c r="DL345" i="29"/>
  <c r="DM345" i="29"/>
  <c r="DN345" i="29"/>
  <c r="DO345" i="29"/>
  <c r="DP345" i="29"/>
  <c r="DQ345" i="29"/>
  <c r="DR345" i="29"/>
  <c r="DS345" i="29"/>
  <c r="DT345" i="29"/>
  <c r="DU345" i="29"/>
  <c r="DV345" i="29"/>
  <c r="DW345" i="29"/>
  <c r="DX345" i="29"/>
  <c r="DY345" i="29"/>
  <c r="DZ345" i="29"/>
  <c r="EA345" i="29"/>
  <c r="EB345" i="29"/>
  <c r="EC345" i="29"/>
  <c r="ED345" i="29"/>
  <c r="EE345" i="29"/>
  <c r="EF345" i="29"/>
  <c r="EG345" i="29"/>
  <c r="EH345" i="29"/>
  <c r="EI345" i="29"/>
  <c r="EJ345" i="29"/>
  <c r="EK345" i="29"/>
  <c r="EL345" i="29"/>
  <c r="EM345" i="29"/>
  <c r="EN345" i="29"/>
  <c r="EO345" i="29"/>
  <c r="EP345" i="29"/>
  <c r="EQ345" i="29"/>
  <c r="ER345" i="29"/>
  <c r="ES345" i="29"/>
  <c r="ET345" i="29"/>
  <c r="EU345" i="29"/>
  <c r="EV345" i="29"/>
  <c r="EW345" i="29"/>
  <c r="EX345" i="29"/>
  <c r="EY345" i="29"/>
  <c r="EZ345" i="29"/>
  <c r="FA345" i="29"/>
  <c r="FB345" i="29"/>
  <c r="FC345" i="29"/>
  <c r="FD345" i="29"/>
  <c r="FE345" i="29"/>
  <c r="FF345" i="29"/>
  <c r="FG345" i="29"/>
  <c r="FH345" i="29"/>
  <c r="FI345" i="29"/>
  <c r="FJ345" i="29"/>
  <c r="FK345" i="29"/>
  <c r="FL345" i="29"/>
  <c r="FM345" i="29"/>
  <c r="FN345" i="29"/>
  <c r="FO345" i="29"/>
  <c r="FP345" i="29"/>
  <c r="FQ345" i="29"/>
  <c r="FR345" i="29"/>
  <c r="FS345" i="29"/>
  <c r="FT345" i="29"/>
  <c r="FU345" i="29"/>
  <c r="FV345" i="29"/>
  <c r="FW345" i="29"/>
  <c r="FX345" i="29"/>
  <c r="FY345" i="29"/>
  <c r="FZ345" i="29"/>
  <c r="GA345" i="29"/>
  <c r="GB345" i="29"/>
  <c r="GC345" i="29"/>
  <c r="GD345" i="29"/>
  <c r="GE345" i="29"/>
  <c r="GF345" i="29"/>
  <c r="GG345" i="29"/>
  <c r="GH345" i="29"/>
  <c r="GI345" i="29"/>
  <c r="GJ345" i="29"/>
  <c r="GK345" i="29"/>
  <c r="GL345" i="29"/>
  <c r="GM345" i="29"/>
  <c r="GN345" i="29"/>
  <c r="GO345" i="29"/>
  <c r="GP345" i="29"/>
  <c r="GQ345" i="29"/>
  <c r="GR345" i="29"/>
  <c r="GS345" i="29"/>
  <c r="GT345" i="29"/>
  <c r="GU345" i="29"/>
  <c r="GV345" i="29"/>
  <c r="GW345" i="29"/>
  <c r="GX345" i="29"/>
  <c r="GY345" i="29"/>
  <c r="GZ345" i="29"/>
  <c r="HA345" i="29"/>
  <c r="HB345" i="29"/>
  <c r="HC345" i="29"/>
  <c r="HD345" i="29"/>
  <c r="HE345" i="29"/>
  <c r="HF345" i="29"/>
  <c r="HG345" i="29"/>
  <c r="HH345" i="29"/>
  <c r="HI345" i="29"/>
  <c r="HJ345" i="29"/>
  <c r="HK345" i="29"/>
  <c r="HL345" i="29"/>
  <c r="HM345" i="29"/>
  <c r="HN345" i="29"/>
  <c r="HO345" i="29"/>
  <c r="HP345" i="29"/>
  <c r="HQ345" i="29"/>
  <c r="HR345" i="29"/>
  <c r="HS345" i="29"/>
  <c r="HT345" i="29"/>
  <c r="HU345" i="29"/>
  <c r="HV345" i="29"/>
  <c r="HW345" i="29"/>
  <c r="HX345" i="29"/>
  <c r="HY345" i="29"/>
  <c r="HZ345" i="29"/>
  <c r="IA345" i="29"/>
  <c r="IB345" i="29"/>
  <c r="IC345" i="29"/>
  <c r="ID345" i="29"/>
  <c r="IE345" i="29"/>
  <c r="IF345" i="29"/>
  <c r="IG345" i="29"/>
  <c r="IH345" i="29"/>
  <c r="II345" i="29"/>
  <c r="IJ345" i="29"/>
  <c r="IK345" i="29"/>
  <c r="IL345" i="29"/>
  <c r="IM345" i="29"/>
  <c r="IN345" i="29"/>
  <c r="IO345" i="29"/>
  <c r="IP345" i="29"/>
  <c r="IQ345" i="29"/>
  <c r="IR345" i="29"/>
  <c r="IS345" i="29"/>
  <c r="IT345" i="29"/>
  <c r="IU345" i="29"/>
  <c r="IV345" i="29"/>
  <c r="IW345" i="29"/>
  <c r="IX345" i="29"/>
  <c r="IY345" i="29"/>
  <c r="IZ345" i="29"/>
  <c r="JA345" i="29"/>
  <c r="JB345" i="29"/>
  <c r="JC345" i="29"/>
  <c r="JD345" i="29"/>
  <c r="JE345" i="29"/>
  <c r="JF345" i="29"/>
  <c r="JG345" i="29"/>
  <c r="JH345" i="29"/>
  <c r="JI345" i="29"/>
  <c r="JJ345" i="29"/>
  <c r="JK345" i="29"/>
  <c r="JL345" i="29"/>
  <c r="JM345" i="29"/>
  <c r="JN345" i="29"/>
  <c r="JO345" i="29"/>
  <c r="JP345" i="29"/>
  <c r="JQ345" i="29"/>
  <c r="JR345" i="29"/>
  <c r="JS345" i="29"/>
  <c r="JT345" i="29"/>
  <c r="JU345" i="29"/>
  <c r="JV345" i="29"/>
  <c r="JW345" i="29"/>
  <c r="JX345" i="29"/>
  <c r="JY345" i="29"/>
  <c r="JZ345" i="29"/>
  <c r="KA345" i="29"/>
  <c r="KB345" i="29"/>
  <c r="KC345" i="29"/>
  <c r="KD345" i="29"/>
  <c r="KE345" i="29"/>
  <c r="KF345" i="29"/>
  <c r="KG345" i="29"/>
  <c r="KH345" i="29"/>
  <c r="KI345" i="29"/>
  <c r="KJ345" i="29"/>
  <c r="KK345" i="29"/>
  <c r="KL345" i="29"/>
  <c r="KM345" i="29"/>
  <c r="KN345" i="29"/>
  <c r="KO345" i="29"/>
  <c r="KP345" i="29"/>
  <c r="KQ345" i="29"/>
  <c r="KR345" i="29"/>
  <c r="KS345" i="29"/>
  <c r="KT345" i="29"/>
  <c r="KU345" i="29"/>
  <c r="KV345" i="29"/>
  <c r="KW345" i="29"/>
  <c r="KX345" i="29"/>
  <c r="KY345" i="29"/>
  <c r="KZ345" i="29"/>
  <c r="LA345" i="29"/>
  <c r="LB345" i="29"/>
  <c r="LC345" i="29"/>
  <c r="LD345" i="29"/>
  <c r="LE345" i="29"/>
  <c r="LF345" i="29"/>
  <c r="LG345" i="29"/>
  <c r="LH345" i="29"/>
  <c r="LI345" i="29"/>
  <c r="LJ345" i="29"/>
  <c r="LK345" i="29"/>
  <c r="LL345" i="29"/>
  <c r="LM345" i="29"/>
  <c r="LN345" i="29"/>
  <c r="LO345" i="29"/>
  <c r="LP345" i="29"/>
  <c r="LQ345" i="29"/>
  <c r="LR345" i="29"/>
  <c r="LS345" i="29"/>
  <c r="LT345" i="29"/>
  <c r="LU345" i="29"/>
  <c r="LV345" i="29"/>
  <c r="LW345" i="29"/>
  <c r="LX345" i="29"/>
  <c r="LY345" i="29"/>
  <c r="LZ345" i="29"/>
  <c r="MA345" i="29"/>
  <c r="MB345" i="29"/>
  <c r="MC345" i="29"/>
  <c r="MD345" i="29"/>
  <c r="ME345" i="29"/>
  <c r="MF345" i="29"/>
  <c r="MG345" i="29"/>
  <c r="MH345" i="29"/>
  <c r="MI345" i="29"/>
  <c r="MJ345" i="29"/>
  <c r="MK345" i="29"/>
  <c r="ML345" i="29"/>
  <c r="MM345" i="29"/>
  <c r="MN345" i="29"/>
  <c r="MO345" i="29"/>
  <c r="MP345" i="29"/>
  <c r="MQ345" i="29"/>
  <c r="MR345" i="29"/>
  <c r="MS345" i="29"/>
  <c r="MT345" i="29"/>
  <c r="MU345" i="29"/>
  <c r="MV345" i="29"/>
  <c r="MW345" i="29"/>
  <c r="MX345" i="29"/>
  <c r="MY345" i="29"/>
  <c r="MZ345" i="29"/>
  <c r="NA345" i="29"/>
  <c r="NB345" i="29"/>
  <c r="NC345" i="29"/>
  <c r="ND345" i="29"/>
  <c r="NE345" i="29"/>
  <c r="NF345" i="29"/>
  <c r="NG345" i="29"/>
  <c r="NH345" i="29"/>
  <c r="NI345" i="29"/>
  <c r="NJ345" i="29"/>
  <c r="NK345" i="29"/>
  <c r="NL345" i="29"/>
  <c r="NM345" i="29"/>
  <c r="NN345" i="29"/>
  <c r="NO345" i="29"/>
  <c r="NP345" i="29"/>
  <c r="NQ345" i="29"/>
  <c r="NR345" i="29"/>
  <c r="NS345" i="29"/>
  <c r="NT345" i="29"/>
  <c r="NU345" i="29"/>
  <c r="NV345" i="29"/>
  <c r="NW345" i="29"/>
  <c r="NX345" i="29"/>
  <c r="NY345" i="29"/>
  <c r="NZ345" i="29"/>
  <c r="OA345" i="29"/>
  <c r="OB345" i="29"/>
  <c r="OC345" i="29"/>
  <c r="OD345" i="29"/>
  <c r="OE345" i="29"/>
  <c r="OF345" i="29"/>
  <c r="OG345" i="29"/>
  <c r="OH345" i="29"/>
  <c r="OI345" i="29"/>
  <c r="OJ345" i="29"/>
  <c r="OK345" i="29"/>
  <c r="OL345" i="29"/>
  <c r="OM345" i="29"/>
  <c r="ON345" i="29"/>
  <c r="OO345" i="29"/>
  <c r="OP345" i="29"/>
  <c r="OQ345" i="29"/>
  <c r="OR345" i="29"/>
  <c r="OS345" i="29"/>
  <c r="OT345" i="29"/>
  <c r="OU345" i="29"/>
  <c r="OV345" i="29"/>
  <c r="OW345" i="29"/>
  <c r="OX345" i="29"/>
  <c r="OY345" i="29"/>
  <c r="OZ345" i="29"/>
  <c r="PA345" i="29"/>
  <c r="PB345" i="29"/>
  <c r="PC345" i="29"/>
  <c r="PD345" i="29"/>
  <c r="PE345" i="29"/>
  <c r="PF345" i="29"/>
  <c r="PG345" i="29"/>
  <c r="PH345" i="29"/>
  <c r="PI345" i="29"/>
  <c r="PJ345" i="29"/>
  <c r="PK345" i="29"/>
  <c r="PL345" i="29"/>
  <c r="PM345" i="29"/>
  <c r="PN345" i="29"/>
  <c r="PO345" i="29"/>
  <c r="PP345" i="29"/>
  <c r="PQ345" i="29"/>
  <c r="PR345" i="29"/>
  <c r="PS345" i="29"/>
  <c r="PT345" i="29"/>
  <c r="PU345" i="29"/>
  <c r="PV345" i="29"/>
  <c r="PW345" i="29"/>
  <c r="PX345" i="29"/>
  <c r="PY345" i="29"/>
  <c r="PZ345" i="29"/>
  <c r="QA345" i="29"/>
  <c r="QB345" i="29"/>
  <c r="QC345" i="29"/>
  <c r="QD345" i="29"/>
  <c r="QE345" i="29"/>
  <c r="QF345" i="29"/>
  <c r="QG345" i="29"/>
  <c r="QH345" i="29"/>
  <c r="QI345" i="29"/>
  <c r="QJ345" i="29"/>
  <c r="QK345" i="29"/>
  <c r="QL345" i="29"/>
  <c r="QM345" i="29"/>
  <c r="QN345" i="29"/>
  <c r="QO345" i="29"/>
  <c r="QP345" i="29"/>
  <c r="QQ345" i="29"/>
  <c r="QR345" i="29"/>
  <c r="QS345" i="29"/>
  <c r="QT345" i="29"/>
  <c r="QU345" i="29"/>
  <c r="QV345" i="29"/>
  <c r="QW345" i="29"/>
  <c r="QX345" i="29"/>
  <c r="QY345" i="29"/>
  <c r="QZ345" i="29"/>
  <c r="RA345" i="29"/>
  <c r="RB345" i="29"/>
  <c r="RC345" i="29"/>
  <c r="RD345" i="29"/>
  <c r="RE345" i="29"/>
  <c r="RF345" i="29"/>
  <c r="RG345" i="29"/>
  <c r="RH345" i="29"/>
  <c r="RI345" i="29"/>
  <c r="RJ345" i="29"/>
  <c r="RK345" i="29"/>
  <c r="RL345" i="29"/>
  <c r="RM345" i="29"/>
  <c r="RN345" i="29"/>
  <c r="RO345" i="29"/>
  <c r="RP345" i="29"/>
  <c r="RQ345" i="29"/>
  <c r="RR345" i="29"/>
  <c r="RS345" i="29"/>
  <c r="RT345" i="29"/>
  <c r="RU345" i="29"/>
  <c r="RV345" i="29"/>
  <c r="RW345" i="29"/>
  <c r="RX345" i="29"/>
  <c r="RY345" i="29"/>
  <c r="RZ345" i="29"/>
  <c r="SA345" i="29"/>
  <c r="SB345" i="29"/>
  <c r="SC345" i="29"/>
  <c r="SD345" i="29"/>
  <c r="SE345" i="29"/>
  <c r="SF345" i="29"/>
  <c r="SG345" i="29"/>
  <c r="SH345" i="29"/>
  <c r="SI345" i="29"/>
  <c r="SJ345" i="29"/>
  <c r="SK345" i="29"/>
  <c r="SL345" i="29"/>
  <c r="SM345" i="29"/>
  <c r="SN345" i="29"/>
  <c r="SO345" i="29"/>
  <c r="SP345" i="29"/>
  <c r="SQ345" i="29"/>
  <c r="SR345" i="29"/>
  <c r="SS345" i="29"/>
  <c r="B346" i="29"/>
  <c r="C346" i="29"/>
  <c r="D346" i="29"/>
  <c r="E346" i="29"/>
  <c r="F346" i="29"/>
  <c r="G346" i="29"/>
  <c r="H346" i="29"/>
  <c r="I346" i="29"/>
  <c r="J346" i="29"/>
  <c r="K346" i="29"/>
  <c r="L346" i="29"/>
  <c r="M346" i="29"/>
  <c r="N346" i="29"/>
  <c r="O346" i="29"/>
  <c r="P346" i="29"/>
  <c r="Q346" i="29"/>
  <c r="R346" i="29"/>
  <c r="S346" i="29"/>
  <c r="T346" i="29"/>
  <c r="U346" i="29"/>
  <c r="V346" i="29"/>
  <c r="W346" i="29"/>
  <c r="X346" i="29"/>
  <c r="Y346" i="29"/>
  <c r="Z346" i="29"/>
  <c r="AA346" i="29"/>
  <c r="AB346" i="29"/>
  <c r="AC346" i="29"/>
  <c r="AD346" i="29"/>
  <c r="AE346" i="29"/>
  <c r="AF346" i="29"/>
  <c r="AG346" i="29"/>
  <c r="AH346" i="29"/>
  <c r="AI346" i="29"/>
  <c r="AJ346" i="29"/>
  <c r="AK346" i="29"/>
  <c r="AL346" i="29"/>
  <c r="AM346" i="29"/>
  <c r="AN346" i="29"/>
  <c r="AO346" i="29"/>
  <c r="AP346" i="29"/>
  <c r="AQ346" i="29"/>
  <c r="AR346" i="29"/>
  <c r="AS346" i="29"/>
  <c r="AT346" i="29"/>
  <c r="AU346" i="29"/>
  <c r="AV346" i="29"/>
  <c r="AW346" i="29"/>
  <c r="AX346" i="29"/>
  <c r="AY346" i="29"/>
  <c r="AZ346" i="29"/>
  <c r="BA346" i="29"/>
  <c r="BB346" i="29"/>
  <c r="BC346" i="29"/>
  <c r="BD346" i="29"/>
  <c r="BE346" i="29"/>
  <c r="BF346" i="29"/>
  <c r="BG346" i="29"/>
  <c r="BH346" i="29"/>
  <c r="BI346" i="29"/>
  <c r="BJ346" i="29"/>
  <c r="BK346" i="29"/>
  <c r="BL346" i="29"/>
  <c r="BM346" i="29"/>
  <c r="BN346" i="29"/>
  <c r="BO346" i="29"/>
  <c r="BP346" i="29"/>
  <c r="BQ346" i="29"/>
  <c r="BR346" i="29"/>
  <c r="BS346" i="29"/>
  <c r="BT346" i="29"/>
  <c r="BU346" i="29"/>
  <c r="BV346" i="29"/>
  <c r="BW346" i="29"/>
  <c r="BX346" i="29"/>
  <c r="BY346" i="29"/>
  <c r="BZ346" i="29"/>
  <c r="CA346" i="29"/>
  <c r="CB346" i="29"/>
  <c r="CC346" i="29"/>
  <c r="CD346" i="29"/>
  <c r="CE346" i="29"/>
  <c r="CF346" i="29"/>
  <c r="CG346" i="29"/>
  <c r="CH346" i="29"/>
  <c r="CI346" i="29"/>
  <c r="CJ346" i="29"/>
  <c r="CK346" i="29"/>
  <c r="CL346" i="29"/>
  <c r="CM346" i="29"/>
  <c r="CN346" i="29"/>
  <c r="CO346" i="29"/>
  <c r="CP346" i="29"/>
  <c r="CQ346" i="29"/>
  <c r="CR346" i="29"/>
  <c r="CS346" i="29"/>
  <c r="CT346" i="29"/>
  <c r="CU346" i="29"/>
  <c r="CV346" i="29"/>
  <c r="CW346" i="29"/>
  <c r="CX346" i="29"/>
  <c r="CY346" i="29"/>
  <c r="CZ346" i="29"/>
  <c r="DA346" i="29"/>
  <c r="DB346" i="29"/>
  <c r="DC346" i="29"/>
  <c r="DD346" i="29"/>
  <c r="DE346" i="29"/>
  <c r="DF346" i="29"/>
  <c r="DG346" i="29"/>
  <c r="DH346" i="29"/>
  <c r="DI346" i="29"/>
  <c r="DJ346" i="29"/>
  <c r="DK346" i="29"/>
  <c r="DL346" i="29"/>
  <c r="DM346" i="29"/>
  <c r="DN346" i="29"/>
  <c r="DO346" i="29"/>
  <c r="DP346" i="29"/>
  <c r="DQ346" i="29"/>
  <c r="DR346" i="29"/>
  <c r="DS346" i="29"/>
  <c r="DT346" i="29"/>
  <c r="DU346" i="29"/>
  <c r="DV346" i="29"/>
  <c r="DW346" i="29"/>
  <c r="DX346" i="29"/>
  <c r="DY346" i="29"/>
  <c r="DZ346" i="29"/>
  <c r="EA346" i="29"/>
  <c r="EB346" i="29"/>
  <c r="EC346" i="29"/>
  <c r="ED346" i="29"/>
  <c r="EE346" i="29"/>
  <c r="EF346" i="29"/>
  <c r="EG346" i="29"/>
  <c r="EH346" i="29"/>
  <c r="EI346" i="29"/>
  <c r="EJ346" i="29"/>
  <c r="EK346" i="29"/>
  <c r="EL346" i="29"/>
  <c r="EM346" i="29"/>
  <c r="EN346" i="29"/>
  <c r="EO346" i="29"/>
  <c r="EP346" i="29"/>
  <c r="EQ346" i="29"/>
  <c r="ER346" i="29"/>
  <c r="ES346" i="29"/>
  <c r="ET346" i="29"/>
  <c r="EU346" i="29"/>
  <c r="EV346" i="29"/>
  <c r="EW346" i="29"/>
  <c r="EX346" i="29"/>
  <c r="EY346" i="29"/>
  <c r="EZ346" i="29"/>
  <c r="FA346" i="29"/>
  <c r="FB346" i="29"/>
  <c r="FC346" i="29"/>
  <c r="FD346" i="29"/>
  <c r="FE346" i="29"/>
  <c r="FF346" i="29"/>
  <c r="FG346" i="29"/>
  <c r="FH346" i="29"/>
  <c r="FI346" i="29"/>
  <c r="FJ346" i="29"/>
  <c r="FK346" i="29"/>
  <c r="FL346" i="29"/>
  <c r="FM346" i="29"/>
  <c r="FN346" i="29"/>
  <c r="FO346" i="29"/>
  <c r="FP346" i="29"/>
  <c r="FQ346" i="29"/>
  <c r="FR346" i="29"/>
  <c r="FS346" i="29"/>
  <c r="FT346" i="29"/>
  <c r="FU346" i="29"/>
  <c r="FV346" i="29"/>
  <c r="FW346" i="29"/>
  <c r="FX346" i="29"/>
  <c r="FY346" i="29"/>
  <c r="FZ346" i="29"/>
  <c r="GA346" i="29"/>
  <c r="GB346" i="29"/>
  <c r="GC346" i="29"/>
  <c r="GD346" i="29"/>
  <c r="GE346" i="29"/>
  <c r="GF346" i="29"/>
  <c r="GG346" i="29"/>
  <c r="GH346" i="29"/>
  <c r="GI346" i="29"/>
  <c r="GJ346" i="29"/>
  <c r="GK346" i="29"/>
  <c r="GL346" i="29"/>
  <c r="GM346" i="29"/>
  <c r="GN346" i="29"/>
  <c r="GO346" i="29"/>
  <c r="GP346" i="29"/>
  <c r="GQ346" i="29"/>
  <c r="GR346" i="29"/>
  <c r="GS346" i="29"/>
  <c r="GT346" i="29"/>
  <c r="GU346" i="29"/>
  <c r="GV346" i="29"/>
  <c r="GW346" i="29"/>
  <c r="GX346" i="29"/>
  <c r="GY346" i="29"/>
  <c r="GZ346" i="29"/>
  <c r="HA346" i="29"/>
  <c r="HB346" i="29"/>
  <c r="HC346" i="29"/>
  <c r="HD346" i="29"/>
  <c r="HE346" i="29"/>
  <c r="HF346" i="29"/>
  <c r="HG346" i="29"/>
  <c r="HH346" i="29"/>
  <c r="HI346" i="29"/>
  <c r="HJ346" i="29"/>
  <c r="HK346" i="29"/>
  <c r="HL346" i="29"/>
  <c r="HM346" i="29"/>
  <c r="HN346" i="29"/>
  <c r="HO346" i="29"/>
  <c r="HP346" i="29"/>
  <c r="HQ346" i="29"/>
  <c r="HR346" i="29"/>
  <c r="HS346" i="29"/>
  <c r="HT346" i="29"/>
  <c r="HU346" i="29"/>
  <c r="HV346" i="29"/>
  <c r="HW346" i="29"/>
  <c r="HX346" i="29"/>
  <c r="HY346" i="29"/>
  <c r="HZ346" i="29"/>
  <c r="IA346" i="29"/>
  <c r="IB346" i="29"/>
  <c r="IC346" i="29"/>
  <c r="ID346" i="29"/>
  <c r="IE346" i="29"/>
  <c r="IF346" i="29"/>
  <c r="IG346" i="29"/>
  <c r="IH346" i="29"/>
  <c r="II346" i="29"/>
  <c r="IJ346" i="29"/>
  <c r="IK346" i="29"/>
  <c r="IL346" i="29"/>
  <c r="IM346" i="29"/>
  <c r="IN346" i="29"/>
  <c r="IO346" i="29"/>
  <c r="IP346" i="29"/>
  <c r="IQ346" i="29"/>
  <c r="IR346" i="29"/>
  <c r="IS346" i="29"/>
  <c r="IT346" i="29"/>
  <c r="IU346" i="29"/>
  <c r="IV346" i="29"/>
  <c r="IW346" i="29"/>
  <c r="IX346" i="29"/>
  <c r="IY346" i="29"/>
  <c r="IZ346" i="29"/>
  <c r="JA346" i="29"/>
  <c r="JB346" i="29"/>
  <c r="JC346" i="29"/>
  <c r="JD346" i="29"/>
  <c r="JE346" i="29"/>
  <c r="JF346" i="29"/>
  <c r="JG346" i="29"/>
  <c r="JH346" i="29"/>
  <c r="JI346" i="29"/>
  <c r="JJ346" i="29"/>
  <c r="JK346" i="29"/>
  <c r="JL346" i="29"/>
  <c r="JM346" i="29"/>
  <c r="JN346" i="29"/>
  <c r="JO346" i="29"/>
  <c r="JP346" i="29"/>
  <c r="JQ346" i="29"/>
  <c r="JR346" i="29"/>
  <c r="JS346" i="29"/>
  <c r="JT346" i="29"/>
  <c r="JU346" i="29"/>
  <c r="JV346" i="29"/>
  <c r="JW346" i="29"/>
  <c r="JX346" i="29"/>
  <c r="JY346" i="29"/>
  <c r="JZ346" i="29"/>
  <c r="KA346" i="29"/>
  <c r="KB346" i="29"/>
  <c r="KC346" i="29"/>
  <c r="KD346" i="29"/>
  <c r="KE346" i="29"/>
  <c r="KF346" i="29"/>
  <c r="KG346" i="29"/>
  <c r="KH346" i="29"/>
  <c r="KI346" i="29"/>
  <c r="KJ346" i="29"/>
  <c r="KK346" i="29"/>
  <c r="KL346" i="29"/>
  <c r="KM346" i="29"/>
  <c r="KN346" i="29"/>
  <c r="KO346" i="29"/>
  <c r="KP346" i="29"/>
  <c r="KQ346" i="29"/>
  <c r="KR346" i="29"/>
  <c r="KS346" i="29"/>
  <c r="KT346" i="29"/>
  <c r="KU346" i="29"/>
  <c r="KV346" i="29"/>
  <c r="KW346" i="29"/>
  <c r="KX346" i="29"/>
  <c r="KY346" i="29"/>
  <c r="KZ346" i="29"/>
  <c r="LA346" i="29"/>
  <c r="LB346" i="29"/>
  <c r="LC346" i="29"/>
  <c r="LD346" i="29"/>
  <c r="LE346" i="29"/>
  <c r="LF346" i="29"/>
  <c r="LG346" i="29"/>
  <c r="LH346" i="29"/>
  <c r="LI346" i="29"/>
  <c r="LJ346" i="29"/>
  <c r="LK346" i="29"/>
  <c r="LL346" i="29"/>
  <c r="LM346" i="29"/>
  <c r="LN346" i="29"/>
  <c r="LO346" i="29"/>
  <c r="LP346" i="29"/>
  <c r="LQ346" i="29"/>
  <c r="LR346" i="29"/>
  <c r="LS346" i="29"/>
  <c r="LT346" i="29"/>
  <c r="LU346" i="29"/>
  <c r="LV346" i="29"/>
  <c r="LW346" i="29"/>
  <c r="LX346" i="29"/>
  <c r="LY346" i="29"/>
  <c r="LZ346" i="29"/>
  <c r="MA346" i="29"/>
  <c r="MB346" i="29"/>
  <c r="MC346" i="29"/>
  <c r="MD346" i="29"/>
  <c r="ME346" i="29"/>
  <c r="MF346" i="29"/>
  <c r="MG346" i="29"/>
  <c r="MH346" i="29"/>
  <c r="MI346" i="29"/>
  <c r="MJ346" i="29"/>
  <c r="MK346" i="29"/>
  <c r="ML346" i="29"/>
  <c r="MM346" i="29"/>
  <c r="MN346" i="29"/>
  <c r="MO346" i="29"/>
  <c r="MP346" i="29"/>
  <c r="MQ346" i="29"/>
  <c r="MR346" i="29"/>
  <c r="MS346" i="29"/>
  <c r="MT346" i="29"/>
  <c r="MU346" i="29"/>
  <c r="MV346" i="29"/>
  <c r="MW346" i="29"/>
  <c r="MX346" i="29"/>
  <c r="MY346" i="29"/>
  <c r="MZ346" i="29"/>
  <c r="NA346" i="29"/>
  <c r="NB346" i="29"/>
  <c r="NC346" i="29"/>
  <c r="ND346" i="29"/>
  <c r="NE346" i="29"/>
  <c r="NF346" i="29"/>
  <c r="NG346" i="29"/>
  <c r="NH346" i="29"/>
  <c r="NI346" i="29"/>
  <c r="NJ346" i="29"/>
  <c r="NK346" i="29"/>
  <c r="NL346" i="29"/>
  <c r="NM346" i="29"/>
  <c r="NN346" i="29"/>
  <c r="NO346" i="29"/>
  <c r="NP346" i="29"/>
  <c r="NQ346" i="29"/>
  <c r="NR346" i="29"/>
  <c r="NS346" i="29"/>
  <c r="NT346" i="29"/>
  <c r="NU346" i="29"/>
  <c r="NV346" i="29"/>
  <c r="NW346" i="29"/>
  <c r="NX346" i="29"/>
  <c r="NY346" i="29"/>
  <c r="NZ346" i="29"/>
  <c r="OA346" i="29"/>
  <c r="OB346" i="29"/>
  <c r="OC346" i="29"/>
  <c r="OD346" i="29"/>
  <c r="OE346" i="29"/>
  <c r="OF346" i="29"/>
  <c r="OG346" i="29"/>
  <c r="OH346" i="29"/>
  <c r="OI346" i="29"/>
  <c r="OJ346" i="29"/>
  <c r="OK346" i="29"/>
  <c r="OL346" i="29"/>
  <c r="OM346" i="29"/>
  <c r="ON346" i="29"/>
  <c r="OO346" i="29"/>
  <c r="OP346" i="29"/>
  <c r="OQ346" i="29"/>
  <c r="OR346" i="29"/>
  <c r="OS346" i="29"/>
  <c r="OT346" i="29"/>
  <c r="OU346" i="29"/>
  <c r="OV346" i="29"/>
  <c r="OW346" i="29"/>
  <c r="OX346" i="29"/>
  <c r="OY346" i="29"/>
  <c r="OZ346" i="29"/>
  <c r="PA346" i="29"/>
  <c r="PB346" i="29"/>
  <c r="PC346" i="29"/>
  <c r="PD346" i="29"/>
  <c r="PE346" i="29"/>
  <c r="PF346" i="29"/>
  <c r="PG346" i="29"/>
  <c r="PH346" i="29"/>
  <c r="PI346" i="29"/>
  <c r="PJ346" i="29"/>
  <c r="PK346" i="29"/>
  <c r="PL346" i="29"/>
  <c r="PM346" i="29"/>
  <c r="PN346" i="29"/>
  <c r="PO346" i="29"/>
  <c r="PP346" i="29"/>
  <c r="PQ346" i="29"/>
  <c r="PR346" i="29"/>
  <c r="PS346" i="29"/>
  <c r="PT346" i="29"/>
  <c r="PU346" i="29"/>
  <c r="PV346" i="29"/>
  <c r="PW346" i="29"/>
  <c r="PX346" i="29"/>
  <c r="PY346" i="29"/>
  <c r="PZ346" i="29"/>
  <c r="QA346" i="29"/>
  <c r="QB346" i="29"/>
  <c r="QC346" i="29"/>
  <c r="QD346" i="29"/>
  <c r="QE346" i="29"/>
  <c r="QF346" i="29"/>
  <c r="QG346" i="29"/>
  <c r="QH346" i="29"/>
  <c r="QI346" i="29"/>
  <c r="QJ346" i="29"/>
  <c r="QK346" i="29"/>
  <c r="QL346" i="29"/>
  <c r="QM346" i="29"/>
  <c r="QN346" i="29"/>
  <c r="QO346" i="29"/>
  <c r="QP346" i="29"/>
  <c r="QQ346" i="29"/>
  <c r="QR346" i="29"/>
  <c r="QS346" i="29"/>
  <c r="QT346" i="29"/>
  <c r="QU346" i="29"/>
  <c r="QV346" i="29"/>
  <c r="QW346" i="29"/>
  <c r="QX346" i="29"/>
  <c r="QY346" i="29"/>
  <c r="QZ346" i="29"/>
  <c r="RA346" i="29"/>
  <c r="RB346" i="29"/>
  <c r="RC346" i="29"/>
  <c r="RD346" i="29"/>
  <c r="RE346" i="29"/>
  <c r="RF346" i="29"/>
  <c r="RG346" i="29"/>
  <c r="RH346" i="29"/>
  <c r="RI346" i="29"/>
  <c r="RJ346" i="29"/>
  <c r="RK346" i="29"/>
  <c r="RL346" i="29"/>
  <c r="RM346" i="29"/>
  <c r="RN346" i="29"/>
  <c r="RO346" i="29"/>
  <c r="RP346" i="29"/>
  <c r="RQ346" i="29"/>
  <c r="RR346" i="29"/>
  <c r="RS346" i="29"/>
  <c r="RT346" i="29"/>
  <c r="RU346" i="29"/>
  <c r="RV346" i="29"/>
  <c r="RW346" i="29"/>
  <c r="RX346" i="29"/>
  <c r="RY346" i="29"/>
  <c r="RZ346" i="29"/>
  <c r="SA346" i="29"/>
  <c r="SB346" i="29"/>
  <c r="SC346" i="29"/>
  <c r="SD346" i="29"/>
  <c r="SE346" i="29"/>
  <c r="SF346" i="29"/>
  <c r="SG346" i="29"/>
  <c r="SH346" i="29"/>
  <c r="SI346" i="29"/>
  <c r="SJ346" i="29"/>
  <c r="SK346" i="29"/>
  <c r="SL346" i="29"/>
  <c r="SM346" i="29"/>
  <c r="SN346" i="29"/>
  <c r="SO346" i="29"/>
  <c r="SP346" i="29"/>
  <c r="SQ346" i="29"/>
  <c r="SR346" i="29"/>
  <c r="SS346" i="29"/>
  <c r="B347" i="29"/>
  <c r="C347" i="29"/>
  <c r="D347" i="29"/>
  <c r="E347" i="29"/>
  <c r="F347" i="29"/>
  <c r="G347" i="29"/>
  <c r="H347" i="29"/>
  <c r="I347" i="29"/>
  <c r="J347" i="29"/>
  <c r="K347" i="29"/>
  <c r="L347" i="29"/>
  <c r="M347" i="29"/>
  <c r="N347" i="29"/>
  <c r="O347" i="29"/>
  <c r="P347" i="29"/>
  <c r="Q347" i="29"/>
  <c r="R347" i="29"/>
  <c r="S347" i="29"/>
  <c r="T347" i="29"/>
  <c r="U347" i="29"/>
  <c r="V347" i="29"/>
  <c r="W347" i="29"/>
  <c r="X347" i="29"/>
  <c r="Y347" i="29"/>
  <c r="Z347" i="29"/>
  <c r="AA347" i="29"/>
  <c r="AB347" i="29"/>
  <c r="AC347" i="29"/>
  <c r="AD347" i="29"/>
  <c r="AE347" i="29"/>
  <c r="AF347" i="29"/>
  <c r="AG347" i="29"/>
  <c r="AH347" i="29"/>
  <c r="AI347" i="29"/>
  <c r="AJ347" i="29"/>
  <c r="AK347" i="29"/>
  <c r="AL347" i="29"/>
  <c r="AM347" i="29"/>
  <c r="AN347" i="29"/>
  <c r="AO347" i="29"/>
  <c r="AP347" i="29"/>
  <c r="AQ347" i="29"/>
  <c r="AR347" i="29"/>
  <c r="AS347" i="29"/>
  <c r="AT347" i="29"/>
  <c r="AU347" i="29"/>
  <c r="AV347" i="29"/>
  <c r="AW347" i="29"/>
  <c r="AX347" i="29"/>
  <c r="AY347" i="29"/>
  <c r="AZ347" i="29"/>
  <c r="BA347" i="29"/>
  <c r="BB347" i="29"/>
  <c r="BC347" i="29"/>
  <c r="BD347" i="29"/>
  <c r="BE347" i="29"/>
  <c r="BF347" i="29"/>
  <c r="BG347" i="29"/>
  <c r="BH347" i="29"/>
  <c r="BI347" i="29"/>
  <c r="BJ347" i="29"/>
  <c r="BK347" i="29"/>
  <c r="BL347" i="29"/>
  <c r="BM347" i="29"/>
  <c r="BN347" i="29"/>
  <c r="BO347" i="29"/>
  <c r="BP347" i="29"/>
  <c r="BQ347" i="29"/>
  <c r="BR347" i="29"/>
  <c r="BS347" i="29"/>
  <c r="BT347" i="29"/>
  <c r="BU347" i="29"/>
  <c r="BV347" i="29"/>
  <c r="BW347" i="29"/>
  <c r="BX347" i="29"/>
  <c r="BY347" i="29"/>
  <c r="BZ347" i="29"/>
  <c r="CA347" i="29"/>
  <c r="CB347" i="29"/>
  <c r="CC347" i="29"/>
  <c r="CD347" i="29"/>
  <c r="CE347" i="29"/>
  <c r="CF347" i="29"/>
  <c r="CG347" i="29"/>
  <c r="CH347" i="29"/>
  <c r="CI347" i="29"/>
  <c r="CJ347" i="29"/>
  <c r="CK347" i="29"/>
  <c r="CL347" i="29"/>
  <c r="CM347" i="29"/>
  <c r="CN347" i="29"/>
  <c r="CO347" i="29"/>
  <c r="CP347" i="29"/>
  <c r="CQ347" i="29"/>
  <c r="CR347" i="29"/>
  <c r="CS347" i="29"/>
  <c r="CT347" i="29"/>
  <c r="CU347" i="29"/>
  <c r="CV347" i="29"/>
  <c r="CW347" i="29"/>
  <c r="CX347" i="29"/>
  <c r="CY347" i="29"/>
  <c r="CZ347" i="29"/>
  <c r="DA347" i="29"/>
  <c r="DB347" i="29"/>
  <c r="DC347" i="29"/>
  <c r="DD347" i="29"/>
  <c r="DE347" i="29"/>
  <c r="DF347" i="29"/>
  <c r="DG347" i="29"/>
  <c r="DH347" i="29"/>
  <c r="DI347" i="29"/>
  <c r="DJ347" i="29"/>
  <c r="DK347" i="29"/>
  <c r="DL347" i="29"/>
  <c r="DM347" i="29"/>
  <c r="DN347" i="29"/>
  <c r="DO347" i="29"/>
  <c r="DP347" i="29"/>
  <c r="DQ347" i="29"/>
  <c r="DR347" i="29"/>
  <c r="DS347" i="29"/>
  <c r="DT347" i="29"/>
  <c r="DU347" i="29"/>
  <c r="DV347" i="29"/>
  <c r="DW347" i="29"/>
  <c r="DX347" i="29"/>
  <c r="DY347" i="29"/>
  <c r="DZ347" i="29"/>
  <c r="EA347" i="29"/>
  <c r="EB347" i="29"/>
  <c r="EC347" i="29"/>
  <c r="ED347" i="29"/>
  <c r="EE347" i="29"/>
  <c r="EF347" i="29"/>
  <c r="EG347" i="29"/>
  <c r="EH347" i="29"/>
  <c r="EI347" i="29"/>
  <c r="EJ347" i="29"/>
  <c r="EK347" i="29"/>
  <c r="EL347" i="29"/>
  <c r="EM347" i="29"/>
  <c r="EN347" i="29"/>
  <c r="EO347" i="29"/>
  <c r="EP347" i="29"/>
  <c r="EQ347" i="29"/>
  <c r="ER347" i="29"/>
  <c r="ES347" i="29"/>
  <c r="ET347" i="29"/>
  <c r="EU347" i="29"/>
  <c r="EV347" i="29"/>
  <c r="EW347" i="29"/>
  <c r="EX347" i="29"/>
  <c r="EY347" i="29"/>
  <c r="EZ347" i="29"/>
  <c r="FA347" i="29"/>
  <c r="FB347" i="29"/>
  <c r="FC347" i="29"/>
  <c r="FD347" i="29"/>
  <c r="FE347" i="29"/>
  <c r="FF347" i="29"/>
  <c r="FG347" i="29"/>
  <c r="FH347" i="29"/>
  <c r="FI347" i="29"/>
  <c r="FJ347" i="29"/>
  <c r="FK347" i="29"/>
  <c r="FL347" i="29"/>
  <c r="FM347" i="29"/>
  <c r="FN347" i="29"/>
  <c r="FO347" i="29"/>
  <c r="FP347" i="29"/>
  <c r="FQ347" i="29"/>
  <c r="FR347" i="29"/>
  <c r="FS347" i="29"/>
  <c r="FT347" i="29"/>
  <c r="FU347" i="29"/>
  <c r="FV347" i="29"/>
  <c r="FW347" i="29"/>
  <c r="FX347" i="29"/>
  <c r="FY347" i="29"/>
  <c r="FZ347" i="29"/>
  <c r="GA347" i="29"/>
  <c r="GB347" i="29"/>
  <c r="GC347" i="29"/>
  <c r="GD347" i="29"/>
  <c r="GE347" i="29"/>
  <c r="GF347" i="29"/>
  <c r="GG347" i="29"/>
  <c r="GH347" i="29"/>
  <c r="GI347" i="29"/>
  <c r="GJ347" i="29"/>
  <c r="GK347" i="29"/>
  <c r="GL347" i="29"/>
  <c r="GM347" i="29"/>
  <c r="GN347" i="29"/>
  <c r="GO347" i="29"/>
  <c r="GP347" i="29"/>
  <c r="GQ347" i="29"/>
  <c r="GR347" i="29"/>
  <c r="GS347" i="29"/>
  <c r="GT347" i="29"/>
  <c r="GU347" i="29"/>
  <c r="GV347" i="29"/>
  <c r="GW347" i="29"/>
  <c r="GX347" i="29"/>
  <c r="GY347" i="29"/>
  <c r="GZ347" i="29"/>
  <c r="HA347" i="29"/>
  <c r="HB347" i="29"/>
  <c r="HC347" i="29"/>
  <c r="HD347" i="29"/>
  <c r="HE347" i="29"/>
  <c r="HF347" i="29"/>
  <c r="HG347" i="29"/>
  <c r="HH347" i="29"/>
  <c r="HI347" i="29"/>
  <c r="HJ347" i="29"/>
  <c r="HK347" i="29"/>
  <c r="HL347" i="29"/>
  <c r="HM347" i="29"/>
  <c r="HN347" i="29"/>
  <c r="HO347" i="29"/>
  <c r="HP347" i="29"/>
  <c r="HQ347" i="29"/>
  <c r="HR347" i="29"/>
  <c r="HS347" i="29"/>
  <c r="HT347" i="29"/>
  <c r="HU347" i="29"/>
  <c r="HV347" i="29"/>
  <c r="HW347" i="29"/>
  <c r="HX347" i="29"/>
  <c r="HY347" i="29"/>
  <c r="HZ347" i="29"/>
  <c r="IA347" i="29"/>
  <c r="IB347" i="29"/>
  <c r="IC347" i="29"/>
  <c r="ID347" i="29"/>
  <c r="IE347" i="29"/>
  <c r="IF347" i="29"/>
  <c r="IG347" i="29"/>
  <c r="IH347" i="29"/>
  <c r="II347" i="29"/>
  <c r="IJ347" i="29"/>
  <c r="IK347" i="29"/>
  <c r="IL347" i="29"/>
  <c r="IM347" i="29"/>
  <c r="IN347" i="29"/>
  <c r="IO347" i="29"/>
  <c r="IP347" i="29"/>
  <c r="IQ347" i="29"/>
  <c r="IR347" i="29"/>
  <c r="IS347" i="29"/>
  <c r="IT347" i="29"/>
  <c r="IU347" i="29"/>
  <c r="IV347" i="29"/>
  <c r="IW347" i="29"/>
  <c r="IX347" i="29"/>
  <c r="IY347" i="29"/>
  <c r="IZ347" i="29"/>
  <c r="JA347" i="29"/>
  <c r="JB347" i="29"/>
  <c r="JC347" i="29"/>
  <c r="JD347" i="29"/>
  <c r="JE347" i="29"/>
  <c r="JF347" i="29"/>
  <c r="JG347" i="29"/>
  <c r="JH347" i="29"/>
  <c r="JI347" i="29"/>
  <c r="JJ347" i="29"/>
  <c r="JK347" i="29"/>
  <c r="JL347" i="29"/>
  <c r="JM347" i="29"/>
  <c r="JN347" i="29"/>
  <c r="JO347" i="29"/>
  <c r="JP347" i="29"/>
  <c r="JQ347" i="29"/>
  <c r="JR347" i="29"/>
  <c r="JS347" i="29"/>
  <c r="JT347" i="29"/>
  <c r="JU347" i="29"/>
  <c r="JV347" i="29"/>
  <c r="JW347" i="29"/>
  <c r="JX347" i="29"/>
  <c r="JY347" i="29"/>
  <c r="JZ347" i="29"/>
  <c r="KA347" i="29"/>
  <c r="KB347" i="29"/>
  <c r="KC347" i="29"/>
  <c r="KD347" i="29"/>
  <c r="KE347" i="29"/>
  <c r="KF347" i="29"/>
  <c r="KG347" i="29"/>
  <c r="KH347" i="29"/>
  <c r="KI347" i="29"/>
  <c r="KJ347" i="29"/>
  <c r="KK347" i="29"/>
  <c r="KL347" i="29"/>
  <c r="KM347" i="29"/>
  <c r="KN347" i="29"/>
  <c r="KO347" i="29"/>
  <c r="KP347" i="29"/>
  <c r="KQ347" i="29"/>
  <c r="KR347" i="29"/>
  <c r="KS347" i="29"/>
  <c r="KT347" i="29"/>
  <c r="KU347" i="29"/>
  <c r="KV347" i="29"/>
  <c r="KW347" i="29"/>
  <c r="KX347" i="29"/>
  <c r="KY347" i="29"/>
  <c r="KZ347" i="29"/>
  <c r="LA347" i="29"/>
  <c r="LB347" i="29"/>
  <c r="LC347" i="29"/>
  <c r="LD347" i="29"/>
  <c r="LE347" i="29"/>
  <c r="LF347" i="29"/>
  <c r="LG347" i="29"/>
  <c r="LH347" i="29"/>
  <c r="LI347" i="29"/>
  <c r="LJ347" i="29"/>
  <c r="LK347" i="29"/>
  <c r="LL347" i="29"/>
  <c r="LM347" i="29"/>
  <c r="LN347" i="29"/>
  <c r="LO347" i="29"/>
  <c r="LP347" i="29"/>
  <c r="LQ347" i="29"/>
  <c r="LR347" i="29"/>
  <c r="LS347" i="29"/>
  <c r="LT347" i="29"/>
  <c r="LU347" i="29"/>
  <c r="LV347" i="29"/>
  <c r="LW347" i="29"/>
  <c r="LX347" i="29"/>
  <c r="LY347" i="29"/>
  <c r="LZ347" i="29"/>
  <c r="MA347" i="29"/>
  <c r="MB347" i="29"/>
  <c r="MC347" i="29"/>
  <c r="MD347" i="29"/>
  <c r="ME347" i="29"/>
  <c r="MF347" i="29"/>
  <c r="MG347" i="29"/>
  <c r="MH347" i="29"/>
  <c r="MI347" i="29"/>
  <c r="MJ347" i="29"/>
  <c r="MK347" i="29"/>
  <c r="ML347" i="29"/>
  <c r="MM347" i="29"/>
  <c r="MN347" i="29"/>
  <c r="MO347" i="29"/>
  <c r="MP347" i="29"/>
  <c r="MQ347" i="29"/>
  <c r="MR347" i="29"/>
  <c r="MS347" i="29"/>
  <c r="MT347" i="29"/>
  <c r="MU347" i="29"/>
  <c r="MV347" i="29"/>
  <c r="MW347" i="29"/>
  <c r="MX347" i="29"/>
  <c r="MY347" i="29"/>
  <c r="MZ347" i="29"/>
  <c r="NA347" i="29"/>
  <c r="NB347" i="29"/>
  <c r="NC347" i="29"/>
  <c r="ND347" i="29"/>
  <c r="NE347" i="29"/>
  <c r="NF347" i="29"/>
  <c r="NG347" i="29"/>
  <c r="NH347" i="29"/>
  <c r="NI347" i="29"/>
  <c r="NJ347" i="29"/>
  <c r="NK347" i="29"/>
  <c r="NL347" i="29"/>
  <c r="NM347" i="29"/>
  <c r="NN347" i="29"/>
  <c r="NO347" i="29"/>
  <c r="NP347" i="29"/>
  <c r="NQ347" i="29"/>
  <c r="NR347" i="29"/>
  <c r="NS347" i="29"/>
  <c r="NT347" i="29"/>
  <c r="NU347" i="29"/>
  <c r="NV347" i="29"/>
  <c r="NW347" i="29"/>
  <c r="NX347" i="29"/>
  <c r="NY347" i="29"/>
  <c r="NZ347" i="29"/>
  <c r="OA347" i="29"/>
  <c r="OB347" i="29"/>
  <c r="OC347" i="29"/>
  <c r="OD347" i="29"/>
  <c r="OE347" i="29"/>
  <c r="OF347" i="29"/>
  <c r="OG347" i="29"/>
  <c r="OH347" i="29"/>
  <c r="OI347" i="29"/>
  <c r="OJ347" i="29"/>
  <c r="OK347" i="29"/>
  <c r="OL347" i="29"/>
  <c r="OM347" i="29"/>
  <c r="ON347" i="29"/>
  <c r="OO347" i="29"/>
  <c r="OP347" i="29"/>
  <c r="OQ347" i="29"/>
  <c r="OR347" i="29"/>
  <c r="OS347" i="29"/>
  <c r="OT347" i="29"/>
  <c r="OU347" i="29"/>
  <c r="OV347" i="29"/>
  <c r="OW347" i="29"/>
  <c r="OX347" i="29"/>
  <c r="OY347" i="29"/>
  <c r="OZ347" i="29"/>
  <c r="PA347" i="29"/>
  <c r="PB347" i="29"/>
  <c r="PC347" i="29"/>
  <c r="PD347" i="29"/>
  <c r="PE347" i="29"/>
  <c r="PF347" i="29"/>
  <c r="PG347" i="29"/>
  <c r="PH347" i="29"/>
  <c r="PI347" i="29"/>
  <c r="PJ347" i="29"/>
  <c r="PK347" i="29"/>
  <c r="PL347" i="29"/>
  <c r="PM347" i="29"/>
  <c r="PN347" i="29"/>
  <c r="PO347" i="29"/>
  <c r="PP347" i="29"/>
  <c r="PQ347" i="29"/>
  <c r="PR347" i="29"/>
  <c r="PS347" i="29"/>
  <c r="PT347" i="29"/>
  <c r="PU347" i="29"/>
  <c r="PV347" i="29"/>
  <c r="PW347" i="29"/>
  <c r="PX347" i="29"/>
  <c r="PY347" i="29"/>
  <c r="PZ347" i="29"/>
  <c r="QA347" i="29"/>
  <c r="QB347" i="29"/>
  <c r="QC347" i="29"/>
  <c r="QD347" i="29"/>
  <c r="QE347" i="29"/>
  <c r="QF347" i="29"/>
  <c r="QG347" i="29"/>
  <c r="QH347" i="29"/>
  <c r="QI347" i="29"/>
  <c r="QJ347" i="29"/>
  <c r="QK347" i="29"/>
  <c r="QL347" i="29"/>
  <c r="QM347" i="29"/>
  <c r="QN347" i="29"/>
  <c r="QO347" i="29"/>
  <c r="QP347" i="29"/>
  <c r="QQ347" i="29"/>
  <c r="QR347" i="29"/>
  <c r="QS347" i="29"/>
  <c r="QT347" i="29"/>
  <c r="QU347" i="29"/>
  <c r="QV347" i="29"/>
  <c r="QW347" i="29"/>
  <c r="QX347" i="29"/>
  <c r="QY347" i="29"/>
  <c r="QZ347" i="29"/>
  <c r="RA347" i="29"/>
  <c r="RB347" i="29"/>
  <c r="RC347" i="29"/>
  <c r="RD347" i="29"/>
  <c r="RE347" i="29"/>
  <c r="RF347" i="29"/>
  <c r="RG347" i="29"/>
  <c r="RH347" i="29"/>
  <c r="RI347" i="29"/>
  <c r="RJ347" i="29"/>
  <c r="RK347" i="29"/>
  <c r="RL347" i="29"/>
  <c r="RM347" i="29"/>
  <c r="RN347" i="29"/>
  <c r="RO347" i="29"/>
  <c r="RP347" i="29"/>
  <c r="RQ347" i="29"/>
  <c r="RR347" i="29"/>
  <c r="RS347" i="29"/>
  <c r="RT347" i="29"/>
  <c r="RU347" i="29"/>
  <c r="RV347" i="29"/>
  <c r="RW347" i="29"/>
  <c r="RX347" i="29"/>
  <c r="RY347" i="29"/>
  <c r="RZ347" i="29"/>
  <c r="SA347" i="29"/>
  <c r="SB347" i="29"/>
  <c r="SC347" i="29"/>
  <c r="SD347" i="29"/>
  <c r="SE347" i="29"/>
  <c r="SF347" i="29"/>
  <c r="SG347" i="29"/>
  <c r="SH347" i="29"/>
  <c r="SI347" i="29"/>
  <c r="SJ347" i="29"/>
  <c r="SK347" i="29"/>
  <c r="SL347" i="29"/>
  <c r="SM347" i="29"/>
  <c r="SN347" i="29"/>
  <c r="SO347" i="29"/>
  <c r="SP347" i="29"/>
  <c r="SQ347" i="29"/>
  <c r="SR347" i="29"/>
  <c r="SS347" i="29"/>
  <c r="B348" i="29"/>
  <c r="C348" i="29"/>
  <c r="D348" i="29"/>
  <c r="E348" i="29"/>
  <c r="F348" i="29"/>
  <c r="G348" i="29"/>
  <c r="H348" i="29"/>
  <c r="I348" i="29"/>
  <c r="J348" i="29"/>
  <c r="K348" i="29"/>
  <c r="L348" i="29"/>
  <c r="M348" i="29"/>
  <c r="N348" i="29"/>
  <c r="O348" i="29"/>
  <c r="P348" i="29"/>
  <c r="Q348" i="29"/>
  <c r="R348" i="29"/>
  <c r="S348" i="29"/>
  <c r="T348" i="29"/>
  <c r="U348" i="29"/>
  <c r="V348" i="29"/>
  <c r="W348" i="29"/>
  <c r="X348" i="29"/>
  <c r="Y348" i="29"/>
  <c r="Z348" i="29"/>
  <c r="AA348" i="29"/>
  <c r="AB348" i="29"/>
  <c r="AC348" i="29"/>
  <c r="AD348" i="29"/>
  <c r="AE348" i="29"/>
  <c r="AF348" i="29"/>
  <c r="AG348" i="29"/>
  <c r="AH348" i="29"/>
  <c r="AI348" i="29"/>
  <c r="AJ348" i="29"/>
  <c r="AK348" i="29"/>
  <c r="AL348" i="29"/>
  <c r="AM348" i="29"/>
  <c r="AN348" i="29"/>
  <c r="AO348" i="29"/>
  <c r="AP348" i="29"/>
  <c r="AQ348" i="29"/>
  <c r="AR348" i="29"/>
  <c r="AS348" i="29"/>
  <c r="AT348" i="29"/>
  <c r="AU348" i="29"/>
  <c r="AV348" i="29"/>
  <c r="AW348" i="29"/>
  <c r="AX348" i="29"/>
  <c r="AY348" i="29"/>
  <c r="AZ348" i="29"/>
  <c r="BA348" i="29"/>
  <c r="BB348" i="29"/>
  <c r="BC348" i="29"/>
  <c r="BD348" i="29"/>
  <c r="BE348" i="29"/>
  <c r="BF348" i="29"/>
  <c r="BG348" i="29"/>
  <c r="BH348" i="29"/>
  <c r="BI348" i="29"/>
  <c r="BJ348" i="29"/>
  <c r="BK348" i="29"/>
  <c r="BL348" i="29"/>
  <c r="BM348" i="29"/>
  <c r="BN348" i="29"/>
  <c r="BO348" i="29"/>
  <c r="BP348" i="29"/>
  <c r="BQ348" i="29"/>
  <c r="BR348" i="29"/>
  <c r="BS348" i="29"/>
  <c r="BT348" i="29"/>
  <c r="BU348" i="29"/>
  <c r="BV348" i="29"/>
  <c r="BW348" i="29"/>
  <c r="BX348" i="29"/>
  <c r="BY348" i="29"/>
  <c r="BZ348" i="29"/>
  <c r="CA348" i="29"/>
  <c r="CB348" i="29"/>
  <c r="CC348" i="29"/>
  <c r="CD348" i="29"/>
  <c r="CE348" i="29"/>
  <c r="CF348" i="29"/>
  <c r="CG348" i="29"/>
  <c r="CH348" i="29"/>
  <c r="CI348" i="29"/>
  <c r="CJ348" i="29"/>
  <c r="CK348" i="29"/>
  <c r="CL348" i="29"/>
  <c r="CM348" i="29"/>
  <c r="CN348" i="29"/>
  <c r="CO348" i="29"/>
  <c r="CP348" i="29"/>
  <c r="CQ348" i="29"/>
  <c r="CR348" i="29"/>
  <c r="CS348" i="29"/>
  <c r="CT348" i="29"/>
  <c r="CU348" i="29"/>
  <c r="CV348" i="29"/>
  <c r="CW348" i="29"/>
  <c r="CX348" i="29"/>
  <c r="CY348" i="29"/>
  <c r="CZ348" i="29"/>
  <c r="DA348" i="29"/>
  <c r="DB348" i="29"/>
  <c r="DC348" i="29"/>
  <c r="DD348" i="29"/>
  <c r="DE348" i="29"/>
  <c r="DF348" i="29"/>
  <c r="DG348" i="29"/>
  <c r="DH348" i="29"/>
  <c r="DI348" i="29"/>
  <c r="DJ348" i="29"/>
  <c r="DK348" i="29"/>
  <c r="DL348" i="29"/>
  <c r="DM348" i="29"/>
  <c r="DN348" i="29"/>
  <c r="DO348" i="29"/>
  <c r="DP348" i="29"/>
  <c r="DQ348" i="29"/>
  <c r="DR348" i="29"/>
  <c r="DS348" i="29"/>
  <c r="DT348" i="29"/>
  <c r="DU348" i="29"/>
  <c r="DV348" i="29"/>
  <c r="DW348" i="29"/>
  <c r="DX348" i="29"/>
  <c r="DY348" i="29"/>
  <c r="DZ348" i="29"/>
  <c r="EA348" i="29"/>
  <c r="EB348" i="29"/>
  <c r="EC348" i="29"/>
  <c r="ED348" i="29"/>
  <c r="EE348" i="29"/>
  <c r="EF348" i="29"/>
  <c r="EG348" i="29"/>
  <c r="EH348" i="29"/>
  <c r="EI348" i="29"/>
  <c r="EJ348" i="29"/>
  <c r="EK348" i="29"/>
  <c r="EL348" i="29"/>
  <c r="EM348" i="29"/>
  <c r="EN348" i="29"/>
  <c r="EO348" i="29"/>
  <c r="EP348" i="29"/>
  <c r="EQ348" i="29"/>
  <c r="ER348" i="29"/>
  <c r="ES348" i="29"/>
  <c r="ET348" i="29"/>
  <c r="EU348" i="29"/>
  <c r="EV348" i="29"/>
  <c r="EW348" i="29"/>
  <c r="EX348" i="29"/>
  <c r="EY348" i="29"/>
  <c r="EZ348" i="29"/>
  <c r="FA348" i="29"/>
  <c r="FB348" i="29"/>
  <c r="FC348" i="29"/>
  <c r="FD348" i="29"/>
  <c r="FE348" i="29"/>
  <c r="FF348" i="29"/>
  <c r="FG348" i="29"/>
  <c r="FH348" i="29"/>
  <c r="FI348" i="29"/>
  <c r="FJ348" i="29"/>
  <c r="FK348" i="29"/>
  <c r="FL348" i="29"/>
  <c r="FM348" i="29"/>
  <c r="FN348" i="29"/>
  <c r="FO348" i="29"/>
  <c r="FP348" i="29"/>
  <c r="FQ348" i="29"/>
  <c r="FR348" i="29"/>
  <c r="FS348" i="29"/>
  <c r="FT348" i="29"/>
  <c r="FU348" i="29"/>
  <c r="FV348" i="29"/>
  <c r="FW348" i="29"/>
  <c r="FX348" i="29"/>
  <c r="FY348" i="29"/>
  <c r="FZ348" i="29"/>
  <c r="GA348" i="29"/>
  <c r="GB348" i="29"/>
  <c r="GC348" i="29"/>
  <c r="GD348" i="29"/>
  <c r="GE348" i="29"/>
  <c r="GF348" i="29"/>
  <c r="GG348" i="29"/>
  <c r="GH348" i="29"/>
  <c r="GI348" i="29"/>
  <c r="GJ348" i="29"/>
  <c r="GK348" i="29"/>
  <c r="GL348" i="29"/>
  <c r="GM348" i="29"/>
  <c r="GN348" i="29"/>
  <c r="GO348" i="29"/>
  <c r="GP348" i="29"/>
  <c r="GQ348" i="29"/>
  <c r="GR348" i="29"/>
  <c r="GS348" i="29"/>
  <c r="GT348" i="29"/>
  <c r="GU348" i="29"/>
  <c r="GV348" i="29"/>
  <c r="GW348" i="29"/>
  <c r="GX348" i="29"/>
  <c r="GY348" i="29"/>
  <c r="GZ348" i="29"/>
  <c r="HA348" i="29"/>
  <c r="HB348" i="29"/>
  <c r="HC348" i="29"/>
  <c r="HD348" i="29"/>
  <c r="HE348" i="29"/>
  <c r="HF348" i="29"/>
  <c r="HG348" i="29"/>
  <c r="HH348" i="29"/>
  <c r="HI348" i="29"/>
  <c r="HJ348" i="29"/>
  <c r="HK348" i="29"/>
  <c r="HL348" i="29"/>
  <c r="HM348" i="29"/>
  <c r="HN348" i="29"/>
  <c r="HO348" i="29"/>
  <c r="HP348" i="29"/>
  <c r="HQ348" i="29"/>
  <c r="HR348" i="29"/>
  <c r="HS348" i="29"/>
  <c r="HT348" i="29"/>
  <c r="HU348" i="29"/>
  <c r="HV348" i="29"/>
  <c r="HW348" i="29"/>
  <c r="HX348" i="29"/>
  <c r="HY348" i="29"/>
  <c r="HZ348" i="29"/>
  <c r="IA348" i="29"/>
  <c r="IB348" i="29"/>
  <c r="IC348" i="29"/>
  <c r="ID348" i="29"/>
  <c r="IE348" i="29"/>
  <c r="IF348" i="29"/>
  <c r="IG348" i="29"/>
  <c r="IH348" i="29"/>
  <c r="II348" i="29"/>
  <c r="IJ348" i="29"/>
  <c r="IK348" i="29"/>
  <c r="IL348" i="29"/>
  <c r="IM348" i="29"/>
  <c r="IN348" i="29"/>
  <c r="IO348" i="29"/>
  <c r="IP348" i="29"/>
  <c r="IQ348" i="29"/>
  <c r="IR348" i="29"/>
  <c r="IS348" i="29"/>
  <c r="IT348" i="29"/>
  <c r="IU348" i="29"/>
  <c r="IV348" i="29"/>
  <c r="IW348" i="29"/>
  <c r="IX348" i="29"/>
  <c r="IY348" i="29"/>
  <c r="IZ348" i="29"/>
  <c r="JA348" i="29"/>
  <c r="JB348" i="29"/>
  <c r="JC348" i="29"/>
  <c r="JD348" i="29"/>
  <c r="JE348" i="29"/>
  <c r="JF348" i="29"/>
  <c r="JG348" i="29"/>
  <c r="JH348" i="29"/>
  <c r="JI348" i="29"/>
  <c r="JJ348" i="29"/>
  <c r="JK348" i="29"/>
  <c r="JL348" i="29"/>
  <c r="JM348" i="29"/>
  <c r="JN348" i="29"/>
  <c r="JO348" i="29"/>
  <c r="JP348" i="29"/>
  <c r="JQ348" i="29"/>
  <c r="JR348" i="29"/>
  <c r="JS348" i="29"/>
  <c r="JT348" i="29"/>
  <c r="JU348" i="29"/>
  <c r="JV348" i="29"/>
  <c r="JW348" i="29"/>
  <c r="JX348" i="29"/>
  <c r="JY348" i="29"/>
  <c r="JZ348" i="29"/>
  <c r="KA348" i="29"/>
  <c r="KB348" i="29"/>
  <c r="KC348" i="29"/>
  <c r="KD348" i="29"/>
  <c r="KE348" i="29"/>
  <c r="KF348" i="29"/>
  <c r="KG348" i="29"/>
  <c r="KH348" i="29"/>
  <c r="KI348" i="29"/>
  <c r="KJ348" i="29"/>
  <c r="KK348" i="29"/>
  <c r="KL348" i="29"/>
  <c r="KM348" i="29"/>
  <c r="KN348" i="29"/>
  <c r="KO348" i="29"/>
  <c r="KP348" i="29"/>
  <c r="KQ348" i="29"/>
  <c r="KR348" i="29"/>
  <c r="KS348" i="29"/>
  <c r="KT348" i="29"/>
  <c r="KU348" i="29"/>
  <c r="KV348" i="29"/>
  <c r="KW348" i="29"/>
  <c r="KX348" i="29"/>
  <c r="KY348" i="29"/>
  <c r="KZ348" i="29"/>
  <c r="LA348" i="29"/>
  <c r="LB348" i="29"/>
  <c r="LC348" i="29"/>
  <c r="LD348" i="29"/>
  <c r="LE348" i="29"/>
  <c r="LF348" i="29"/>
  <c r="LG348" i="29"/>
  <c r="LH348" i="29"/>
  <c r="LI348" i="29"/>
  <c r="LJ348" i="29"/>
  <c r="LK348" i="29"/>
  <c r="LL348" i="29"/>
  <c r="LM348" i="29"/>
  <c r="LN348" i="29"/>
  <c r="LO348" i="29"/>
  <c r="LP348" i="29"/>
  <c r="LQ348" i="29"/>
  <c r="LR348" i="29"/>
  <c r="LS348" i="29"/>
  <c r="LT348" i="29"/>
  <c r="LU348" i="29"/>
  <c r="LV348" i="29"/>
  <c r="LW348" i="29"/>
  <c r="LX348" i="29"/>
  <c r="LY348" i="29"/>
  <c r="LZ348" i="29"/>
  <c r="MA348" i="29"/>
  <c r="MB348" i="29"/>
  <c r="MC348" i="29"/>
  <c r="MD348" i="29"/>
  <c r="ME348" i="29"/>
  <c r="MF348" i="29"/>
  <c r="MG348" i="29"/>
  <c r="MH348" i="29"/>
  <c r="MI348" i="29"/>
  <c r="MJ348" i="29"/>
  <c r="MK348" i="29"/>
  <c r="ML348" i="29"/>
  <c r="MM348" i="29"/>
  <c r="MN348" i="29"/>
  <c r="MO348" i="29"/>
  <c r="MP348" i="29"/>
  <c r="MQ348" i="29"/>
  <c r="MR348" i="29"/>
  <c r="MS348" i="29"/>
  <c r="MT348" i="29"/>
  <c r="MU348" i="29"/>
  <c r="MV348" i="29"/>
  <c r="MW348" i="29"/>
  <c r="MX348" i="29"/>
  <c r="MY348" i="29"/>
  <c r="MZ348" i="29"/>
  <c r="NA348" i="29"/>
  <c r="NB348" i="29"/>
  <c r="NC348" i="29"/>
  <c r="ND348" i="29"/>
  <c r="NE348" i="29"/>
  <c r="NF348" i="29"/>
  <c r="NG348" i="29"/>
  <c r="NH348" i="29"/>
  <c r="NI348" i="29"/>
  <c r="NJ348" i="29"/>
  <c r="NK348" i="29"/>
  <c r="NL348" i="29"/>
  <c r="NM348" i="29"/>
  <c r="NN348" i="29"/>
  <c r="NO348" i="29"/>
  <c r="NP348" i="29"/>
  <c r="NQ348" i="29"/>
  <c r="NR348" i="29"/>
  <c r="NS348" i="29"/>
  <c r="NT348" i="29"/>
  <c r="NU348" i="29"/>
  <c r="NV348" i="29"/>
  <c r="NW348" i="29"/>
  <c r="NX348" i="29"/>
  <c r="NY348" i="29"/>
  <c r="NZ348" i="29"/>
  <c r="OA348" i="29"/>
  <c r="OB348" i="29"/>
  <c r="OC348" i="29"/>
  <c r="OD348" i="29"/>
  <c r="OE348" i="29"/>
  <c r="OF348" i="29"/>
  <c r="OG348" i="29"/>
  <c r="OH348" i="29"/>
  <c r="OI348" i="29"/>
  <c r="OJ348" i="29"/>
  <c r="OK348" i="29"/>
  <c r="OL348" i="29"/>
  <c r="OM348" i="29"/>
  <c r="ON348" i="29"/>
  <c r="OO348" i="29"/>
  <c r="OP348" i="29"/>
  <c r="OQ348" i="29"/>
  <c r="OR348" i="29"/>
  <c r="OS348" i="29"/>
  <c r="OT348" i="29"/>
  <c r="OU348" i="29"/>
  <c r="OV348" i="29"/>
  <c r="OW348" i="29"/>
  <c r="OX348" i="29"/>
  <c r="OY348" i="29"/>
  <c r="OZ348" i="29"/>
  <c r="PA348" i="29"/>
  <c r="PB348" i="29"/>
  <c r="PC348" i="29"/>
  <c r="PD348" i="29"/>
  <c r="PE348" i="29"/>
  <c r="PF348" i="29"/>
  <c r="PG348" i="29"/>
  <c r="PH348" i="29"/>
  <c r="PI348" i="29"/>
  <c r="PJ348" i="29"/>
  <c r="PK348" i="29"/>
  <c r="PL348" i="29"/>
  <c r="PM348" i="29"/>
  <c r="PN348" i="29"/>
  <c r="PO348" i="29"/>
  <c r="PP348" i="29"/>
  <c r="PQ348" i="29"/>
  <c r="PR348" i="29"/>
  <c r="PS348" i="29"/>
  <c r="PT348" i="29"/>
  <c r="PU348" i="29"/>
  <c r="PV348" i="29"/>
  <c r="PW348" i="29"/>
  <c r="PX348" i="29"/>
  <c r="PY348" i="29"/>
  <c r="PZ348" i="29"/>
  <c r="QA348" i="29"/>
  <c r="QB348" i="29"/>
  <c r="QC348" i="29"/>
  <c r="QD348" i="29"/>
  <c r="QE348" i="29"/>
  <c r="QF348" i="29"/>
  <c r="QG348" i="29"/>
  <c r="QH348" i="29"/>
  <c r="QI348" i="29"/>
  <c r="QJ348" i="29"/>
  <c r="QK348" i="29"/>
  <c r="QL348" i="29"/>
  <c r="QM348" i="29"/>
  <c r="QN348" i="29"/>
  <c r="QO348" i="29"/>
  <c r="QP348" i="29"/>
  <c r="QQ348" i="29"/>
  <c r="QR348" i="29"/>
  <c r="QS348" i="29"/>
  <c r="QT348" i="29"/>
  <c r="QU348" i="29"/>
  <c r="QV348" i="29"/>
  <c r="QW348" i="29"/>
  <c r="QX348" i="29"/>
  <c r="QY348" i="29"/>
  <c r="QZ348" i="29"/>
  <c r="RA348" i="29"/>
  <c r="RB348" i="29"/>
  <c r="RC348" i="29"/>
  <c r="RD348" i="29"/>
  <c r="RE348" i="29"/>
  <c r="RF348" i="29"/>
  <c r="RG348" i="29"/>
  <c r="RH348" i="29"/>
  <c r="RI348" i="29"/>
  <c r="RJ348" i="29"/>
  <c r="RK348" i="29"/>
  <c r="RL348" i="29"/>
  <c r="RM348" i="29"/>
  <c r="RN348" i="29"/>
  <c r="RO348" i="29"/>
  <c r="RP348" i="29"/>
  <c r="RQ348" i="29"/>
  <c r="RR348" i="29"/>
  <c r="RS348" i="29"/>
  <c r="RT348" i="29"/>
  <c r="RU348" i="29"/>
  <c r="RV348" i="29"/>
  <c r="RW348" i="29"/>
  <c r="RX348" i="29"/>
  <c r="RY348" i="29"/>
  <c r="RZ348" i="29"/>
  <c r="SA348" i="29"/>
  <c r="SB348" i="29"/>
  <c r="SC348" i="29"/>
  <c r="SD348" i="29"/>
  <c r="SE348" i="29"/>
  <c r="SF348" i="29"/>
  <c r="SG348" i="29"/>
  <c r="SH348" i="29"/>
  <c r="SI348" i="29"/>
  <c r="SJ348" i="29"/>
  <c r="SK348" i="29"/>
  <c r="SL348" i="29"/>
  <c r="SM348" i="29"/>
  <c r="SN348" i="29"/>
  <c r="SO348" i="29"/>
  <c r="SP348" i="29"/>
  <c r="SQ348" i="29"/>
  <c r="SR348" i="29"/>
  <c r="SS348" i="29"/>
  <c r="B349" i="29"/>
  <c r="C349" i="29"/>
  <c r="D349" i="29"/>
  <c r="E349" i="29"/>
  <c r="F349" i="29"/>
  <c r="G349" i="29"/>
  <c r="H349" i="29"/>
  <c r="I349" i="29"/>
  <c r="J349" i="29"/>
  <c r="K349" i="29"/>
  <c r="L349" i="29"/>
  <c r="M349" i="29"/>
  <c r="N349" i="29"/>
  <c r="O349" i="29"/>
  <c r="P349" i="29"/>
  <c r="Q349" i="29"/>
  <c r="R349" i="29"/>
  <c r="S349" i="29"/>
  <c r="T349" i="29"/>
  <c r="U349" i="29"/>
  <c r="V349" i="29"/>
  <c r="W349" i="29"/>
  <c r="X349" i="29"/>
  <c r="Y349" i="29"/>
  <c r="Z349" i="29"/>
  <c r="AA349" i="29"/>
  <c r="AB349" i="29"/>
  <c r="AC349" i="29"/>
  <c r="AD349" i="29"/>
  <c r="AE349" i="29"/>
  <c r="AF349" i="29"/>
  <c r="AG349" i="29"/>
  <c r="AH349" i="29"/>
  <c r="AI349" i="29"/>
  <c r="AJ349" i="29"/>
  <c r="AK349" i="29"/>
  <c r="AL349" i="29"/>
  <c r="AM349" i="29"/>
  <c r="AN349" i="29"/>
  <c r="AO349" i="29"/>
  <c r="AP349" i="29"/>
  <c r="AQ349" i="29"/>
  <c r="AR349" i="29"/>
  <c r="AS349" i="29"/>
  <c r="AT349" i="29"/>
  <c r="AU349" i="29"/>
  <c r="AV349" i="29"/>
  <c r="AW349" i="29"/>
  <c r="AX349" i="29"/>
  <c r="AY349" i="29"/>
  <c r="AZ349" i="29"/>
  <c r="BA349" i="29"/>
  <c r="BB349" i="29"/>
  <c r="BC349" i="29"/>
  <c r="BD349" i="29"/>
  <c r="BE349" i="29"/>
  <c r="BF349" i="29"/>
  <c r="BG349" i="29"/>
  <c r="BH349" i="29"/>
  <c r="BI349" i="29"/>
  <c r="BJ349" i="29"/>
  <c r="BK349" i="29"/>
  <c r="BL349" i="29"/>
  <c r="BM349" i="29"/>
  <c r="BN349" i="29"/>
  <c r="BO349" i="29"/>
  <c r="BP349" i="29"/>
  <c r="BQ349" i="29"/>
  <c r="BR349" i="29"/>
  <c r="BS349" i="29"/>
  <c r="BT349" i="29"/>
  <c r="BU349" i="29"/>
  <c r="BV349" i="29"/>
  <c r="BW349" i="29"/>
  <c r="BX349" i="29"/>
  <c r="BY349" i="29"/>
  <c r="BZ349" i="29"/>
  <c r="CA349" i="29"/>
  <c r="CB349" i="29"/>
  <c r="CC349" i="29"/>
  <c r="CD349" i="29"/>
  <c r="CE349" i="29"/>
  <c r="CF349" i="29"/>
  <c r="CG349" i="29"/>
  <c r="CH349" i="29"/>
  <c r="CI349" i="29"/>
  <c r="CJ349" i="29"/>
  <c r="CK349" i="29"/>
  <c r="CL349" i="29"/>
  <c r="CM349" i="29"/>
  <c r="CN349" i="29"/>
  <c r="CO349" i="29"/>
  <c r="CP349" i="29"/>
  <c r="CQ349" i="29"/>
  <c r="CR349" i="29"/>
  <c r="CS349" i="29"/>
  <c r="CT349" i="29"/>
  <c r="CU349" i="29"/>
  <c r="CV349" i="29"/>
  <c r="CW349" i="29"/>
  <c r="CX349" i="29"/>
  <c r="CY349" i="29"/>
  <c r="CZ349" i="29"/>
  <c r="DA349" i="29"/>
  <c r="DB349" i="29"/>
  <c r="DC349" i="29"/>
  <c r="DD349" i="29"/>
  <c r="DE349" i="29"/>
  <c r="DF349" i="29"/>
  <c r="DG349" i="29"/>
  <c r="DH349" i="29"/>
  <c r="DI349" i="29"/>
  <c r="DJ349" i="29"/>
  <c r="DK349" i="29"/>
  <c r="DL349" i="29"/>
  <c r="DM349" i="29"/>
  <c r="DN349" i="29"/>
  <c r="DO349" i="29"/>
  <c r="DP349" i="29"/>
  <c r="DQ349" i="29"/>
  <c r="DR349" i="29"/>
  <c r="DS349" i="29"/>
  <c r="DT349" i="29"/>
  <c r="DU349" i="29"/>
  <c r="DV349" i="29"/>
  <c r="DW349" i="29"/>
  <c r="DX349" i="29"/>
  <c r="DY349" i="29"/>
  <c r="DZ349" i="29"/>
  <c r="EA349" i="29"/>
  <c r="EB349" i="29"/>
  <c r="EC349" i="29"/>
  <c r="ED349" i="29"/>
  <c r="EE349" i="29"/>
  <c r="EF349" i="29"/>
  <c r="EG349" i="29"/>
  <c r="EH349" i="29"/>
  <c r="EI349" i="29"/>
  <c r="EJ349" i="29"/>
  <c r="EK349" i="29"/>
  <c r="EL349" i="29"/>
  <c r="EM349" i="29"/>
  <c r="EN349" i="29"/>
  <c r="EO349" i="29"/>
  <c r="EP349" i="29"/>
  <c r="EQ349" i="29"/>
  <c r="ER349" i="29"/>
  <c r="ES349" i="29"/>
  <c r="ET349" i="29"/>
  <c r="EU349" i="29"/>
  <c r="EV349" i="29"/>
  <c r="EW349" i="29"/>
  <c r="EX349" i="29"/>
  <c r="EY349" i="29"/>
  <c r="EZ349" i="29"/>
  <c r="FA349" i="29"/>
  <c r="FB349" i="29"/>
  <c r="FC349" i="29"/>
  <c r="FD349" i="29"/>
  <c r="FE349" i="29"/>
  <c r="FF349" i="29"/>
  <c r="FG349" i="29"/>
  <c r="FH349" i="29"/>
  <c r="FI349" i="29"/>
  <c r="FJ349" i="29"/>
  <c r="FK349" i="29"/>
  <c r="FL349" i="29"/>
  <c r="FM349" i="29"/>
  <c r="FN349" i="29"/>
  <c r="FO349" i="29"/>
  <c r="FP349" i="29"/>
  <c r="FQ349" i="29"/>
  <c r="FR349" i="29"/>
  <c r="FS349" i="29"/>
  <c r="FT349" i="29"/>
  <c r="FU349" i="29"/>
  <c r="FV349" i="29"/>
  <c r="FW349" i="29"/>
  <c r="FX349" i="29"/>
  <c r="FY349" i="29"/>
  <c r="FZ349" i="29"/>
  <c r="GA349" i="29"/>
  <c r="GB349" i="29"/>
  <c r="GC349" i="29"/>
  <c r="GD349" i="29"/>
  <c r="GE349" i="29"/>
  <c r="GF349" i="29"/>
  <c r="GG349" i="29"/>
  <c r="GH349" i="29"/>
  <c r="GI349" i="29"/>
  <c r="GJ349" i="29"/>
  <c r="GK349" i="29"/>
  <c r="GL349" i="29"/>
  <c r="GM349" i="29"/>
  <c r="GN349" i="29"/>
  <c r="GO349" i="29"/>
  <c r="GP349" i="29"/>
  <c r="GQ349" i="29"/>
  <c r="GR349" i="29"/>
  <c r="GS349" i="29"/>
  <c r="GT349" i="29"/>
  <c r="GU349" i="29"/>
  <c r="GV349" i="29"/>
  <c r="GW349" i="29"/>
  <c r="GX349" i="29"/>
  <c r="GY349" i="29"/>
  <c r="GZ349" i="29"/>
  <c r="HA349" i="29"/>
  <c r="HB349" i="29"/>
  <c r="HC349" i="29"/>
  <c r="HD349" i="29"/>
  <c r="HE349" i="29"/>
  <c r="HF349" i="29"/>
  <c r="HG349" i="29"/>
  <c r="HH349" i="29"/>
  <c r="HI349" i="29"/>
  <c r="HJ349" i="29"/>
  <c r="HK349" i="29"/>
  <c r="HL349" i="29"/>
  <c r="HM349" i="29"/>
  <c r="HN349" i="29"/>
  <c r="HO349" i="29"/>
  <c r="HP349" i="29"/>
  <c r="HQ349" i="29"/>
  <c r="HR349" i="29"/>
  <c r="HS349" i="29"/>
  <c r="HT349" i="29"/>
  <c r="HU349" i="29"/>
  <c r="HV349" i="29"/>
  <c r="HW349" i="29"/>
  <c r="HX349" i="29"/>
  <c r="HY349" i="29"/>
  <c r="HZ349" i="29"/>
  <c r="IA349" i="29"/>
  <c r="IB349" i="29"/>
  <c r="IC349" i="29"/>
  <c r="ID349" i="29"/>
  <c r="IE349" i="29"/>
  <c r="IF349" i="29"/>
  <c r="IG349" i="29"/>
  <c r="IH349" i="29"/>
  <c r="II349" i="29"/>
  <c r="IJ349" i="29"/>
  <c r="IK349" i="29"/>
  <c r="IL349" i="29"/>
  <c r="IM349" i="29"/>
  <c r="IN349" i="29"/>
  <c r="IO349" i="29"/>
  <c r="IP349" i="29"/>
  <c r="IQ349" i="29"/>
  <c r="IR349" i="29"/>
  <c r="IS349" i="29"/>
  <c r="IT349" i="29"/>
  <c r="IU349" i="29"/>
  <c r="IV349" i="29"/>
  <c r="IW349" i="29"/>
  <c r="IX349" i="29"/>
  <c r="IY349" i="29"/>
  <c r="IZ349" i="29"/>
  <c r="JA349" i="29"/>
  <c r="JB349" i="29"/>
  <c r="JC349" i="29"/>
  <c r="JD349" i="29"/>
  <c r="JE349" i="29"/>
  <c r="JF349" i="29"/>
  <c r="JG349" i="29"/>
  <c r="JH349" i="29"/>
  <c r="JI349" i="29"/>
  <c r="JJ349" i="29"/>
  <c r="JK349" i="29"/>
  <c r="JL349" i="29"/>
  <c r="JM349" i="29"/>
  <c r="JN349" i="29"/>
  <c r="JO349" i="29"/>
  <c r="JP349" i="29"/>
  <c r="JQ349" i="29"/>
  <c r="JR349" i="29"/>
  <c r="JS349" i="29"/>
  <c r="JT349" i="29"/>
  <c r="JU349" i="29"/>
  <c r="JV349" i="29"/>
  <c r="JW349" i="29"/>
  <c r="JX349" i="29"/>
  <c r="JY349" i="29"/>
  <c r="JZ349" i="29"/>
  <c r="KA349" i="29"/>
  <c r="KB349" i="29"/>
  <c r="KC349" i="29"/>
  <c r="KD349" i="29"/>
  <c r="KE349" i="29"/>
  <c r="KF349" i="29"/>
  <c r="KG349" i="29"/>
  <c r="KH349" i="29"/>
  <c r="KI349" i="29"/>
  <c r="KJ349" i="29"/>
  <c r="KK349" i="29"/>
  <c r="KL349" i="29"/>
  <c r="KM349" i="29"/>
  <c r="KN349" i="29"/>
  <c r="KO349" i="29"/>
  <c r="KP349" i="29"/>
  <c r="KQ349" i="29"/>
  <c r="KR349" i="29"/>
  <c r="KS349" i="29"/>
  <c r="KT349" i="29"/>
  <c r="KU349" i="29"/>
  <c r="KV349" i="29"/>
  <c r="KW349" i="29"/>
  <c r="KX349" i="29"/>
  <c r="KY349" i="29"/>
  <c r="KZ349" i="29"/>
  <c r="LA349" i="29"/>
  <c r="LB349" i="29"/>
  <c r="LC349" i="29"/>
  <c r="LD349" i="29"/>
  <c r="LE349" i="29"/>
  <c r="LF349" i="29"/>
  <c r="LG349" i="29"/>
  <c r="LH349" i="29"/>
  <c r="LI349" i="29"/>
  <c r="LJ349" i="29"/>
  <c r="LK349" i="29"/>
  <c r="LL349" i="29"/>
  <c r="LM349" i="29"/>
  <c r="LN349" i="29"/>
  <c r="LO349" i="29"/>
  <c r="LP349" i="29"/>
  <c r="LQ349" i="29"/>
  <c r="LR349" i="29"/>
  <c r="LS349" i="29"/>
  <c r="LT349" i="29"/>
  <c r="LU349" i="29"/>
  <c r="LV349" i="29"/>
  <c r="LW349" i="29"/>
  <c r="LX349" i="29"/>
  <c r="LY349" i="29"/>
  <c r="LZ349" i="29"/>
  <c r="MA349" i="29"/>
  <c r="MB349" i="29"/>
  <c r="MC349" i="29"/>
  <c r="MD349" i="29"/>
  <c r="ME349" i="29"/>
  <c r="MF349" i="29"/>
  <c r="MG349" i="29"/>
  <c r="MH349" i="29"/>
  <c r="MI349" i="29"/>
  <c r="MJ349" i="29"/>
  <c r="MK349" i="29"/>
  <c r="ML349" i="29"/>
  <c r="MM349" i="29"/>
  <c r="MN349" i="29"/>
  <c r="MO349" i="29"/>
  <c r="MP349" i="29"/>
  <c r="MQ349" i="29"/>
  <c r="MR349" i="29"/>
  <c r="MS349" i="29"/>
  <c r="MT349" i="29"/>
  <c r="MU349" i="29"/>
  <c r="MV349" i="29"/>
  <c r="MW349" i="29"/>
  <c r="MX349" i="29"/>
  <c r="MY349" i="29"/>
  <c r="MZ349" i="29"/>
  <c r="NA349" i="29"/>
  <c r="NB349" i="29"/>
  <c r="NC349" i="29"/>
  <c r="ND349" i="29"/>
  <c r="NE349" i="29"/>
  <c r="NF349" i="29"/>
  <c r="NG349" i="29"/>
  <c r="NH349" i="29"/>
  <c r="NI349" i="29"/>
  <c r="NJ349" i="29"/>
  <c r="NK349" i="29"/>
  <c r="NL349" i="29"/>
  <c r="NM349" i="29"/>
  <c r="NN349" i="29"/>
  <c r="NO349" i="29"/>
  <c r="NP349" i="29"/>
  <c r="NQ349" i="29"/>
  <c r="NR349" i="29"/>
  <c r="NS349" i="29"/>
  <c r="NT349" i="29"/>
  <c r="NU349" i="29"/>
  <c r="NV349" i="29"/>
  <c r="NW349" i="29"/>
  <c r="NX349" i="29"/>
  <c r="NY349" i="29"/>
  <c r="NZ349" i="29"/>
  <c r="OA349" i="29"/>
  <c r="OB349" i="29"/>
  <c r="OC349" i="29"/>
  <c r="OD349" i="29"/>
  <c r="OE349" i="29"/>
  <c r="OF349" i="29"/>
  <c r="OG349" i="29"/>
  <c r="OH349" i="29"/>
  <c r="OI349" i="29"/>
  <c r="OJ349" i="29"/>
  <c r="OK349" i="29"/>
  <c r="OL349" i="29"/>
  <c r="OM349" i="29"/>
  <c r="ON349" i="29"/>
  <c r="OO349" i="29"/>
  <c r="OP349" i="29"/>
  <c r="OQ349" i="29"/>
  <c r="OR349" i="29"/>
  <c r="OS349" i="29"/>
  <c r="OT349" i="29"/>
  <c r="OU349" i="29"/>
  <c r="OV349" i="29"/>
  <c r="OW349" i="29"/>
  <c r="OX349" i="29"/>
  <c r="OY349" i="29"/>
  <c r="OZ349" i="29"/>
  <c r="PA349" i="29"/>
  <c r="PB349" i="29"/>
  <c r="PC349" i="29"/>
  <c r="PD349" i="29"/>
  <c r="PE349" i="29"/>
  <c r="PF349" i="29"/>
  <c r="PG349" i="29"/>
  <c r="PH349" i="29"/>
  <c r="PI349" i="29"/>
  <c r="PJ349" i="29"/>
  <c r="PK349" i="29"/>
  <c r="PL349" i="29"/>
  <c r="PM349" i="29"/>
  <c r="PN349" i="29"/>
  <c r="PO349" i="29"/>
  <c r="PP349" i="29"/>
  <c r="PQ349" i="29"/>
  <c r="PR349" i="29"/>
  <c r="PS349" i="29"/>
  <c r="PT349" i="29"/>
  <c r="PU349" i="29"/>
  <c r="PV349" i="29"/>
  <c r="PW349" i="29"/>
  <c r="PX349" i="29"/>
  <c r="PY349" i="29"/>
  <c r="PZ349" i="29"/>
  <c r="QA349" i="29"/>
  <c r="QB349" i="29"/>
  <c r="QC349" i="29"/>
  <c r="QD349" i="29"/>
  <c r="QE349" i="29"/>
  <c r="QF349" i="29"/>
  <c r="QG349" i="29"/>
  <c r="QH349" i="29"/>
  <c r="QI349" i="29"/>
  <c r="QJ349" i="29"/>
  <c r="QK349" i="29"/>
  <c r="QL349" i="29"/>
  <c r="QM349" i="29"/>
  <c r="QN349" i="29"/>
  <c r="QO349" i="29"/>
  <c r="QP349" i="29"/>
  <c r="QQ349" i="29"/>
  <c r="QR349" i="29"/>
  <c r="QS349" i="29"/>
  <c r="QT349" i="29"/>
  <c r="QU349" i="29"/>
  <c r="QV349" i="29"/>
  <c r="QW349" i="29"/>
  <c r="QX349" i="29"/>
  <c r="QY349" i="29"/>
  <c r="QZ349" i="29"/>
  <c r="RA349" i="29"/>
  <c r="RB349" i="29"/>
  <c r="RC349" i="29"/>
  <c r="RD349" i="29"/>
  <c r="RE349" i="29"/>
  <c r="RF349" i="29"/>
  <c r="RG349" i="29"/>
  <c r="RH349" i="29"/>
  <c r="RI349" i="29"/>
  <c r="RJ349" i="29"/>
  <c r="RK349" i="29"/>
  <c r="RL349" i="29"/>
  <c r="RM349" i="29"/>
  <c r="RN349" i="29"/>
  <c r="RO349" i="29"/>
  <c r="RP349" i="29"/>
  <c r="RQ349" i="29"/>
  <c r="RR349" i="29"/>
  <c r="RS349" i="29"/>
  <c r="RT349" i="29"/>
  <c r="RU349" i="29"/>
  <c r="RV349" i="29"/>
  <c r="RW349" i="29"/>
  <c r="RX349" i="29"/>
  <c r="RY349" i="29"/>
  <c r="RZ349" i="29"/>
  <c r="SA349" i="29"/>
  <c r="SB349" i="29"/>
  <c r="SC349" i="29"/>
  <c r="SD349" i="29"/>
  <c r="SE349" i="29"/>
  <c r="SF349" i="29"/>
  <c r="SG349" i="29"/>
  <c r="SH349" i="29"/>
  <c r="SI349" i="29"/>
  <c r="SJ349" i="29"/>
  <c r="SK349" i="29"/>
  <c r="SL349" i="29"/>
  <c r="SM349" i="29"/>
  <c r="SN349" i="29"/>
  <c r="SO349" i="29"/>
  <c r="SP349" i="29"/>
  <c r="SQ349" i="29"/>
  <c r="SR349" i="29"/>
  <c r="SS349" i="29"/>
  <c r="B350" i="29"/>
  <c r="C350" i="29"/>
  <c r="D350" i="29"/>
  <c r="E350" i="29"/>
  <c r="F350" i="29"/>
  <c r="G350" i="29"/>
  <c r="H350" i="29"/>
  <c r="I350" i="29"/>
  <c r="J350" i="29"/>
  <c r="K350" i="29"/>
  <c r="L350" i="29"/>
  <c r="M350" i="29"/>
  <c r="N350" i="29"/>
  <c r="O350" i="29"/>
  <c r="P350" i="29"/>
  <c r="Q350" i="29"/>
  <c r="R350" i="29"/>
  <c r="S350" i="29"/>
  <c r="T350" i="29"/>
  <c r="U350" i="29"/>
  <c r="V350" i="29"/>
  <c r="W350" i="29"/>
  <c r="X350" i="29"/>
  <c r="Y350" i="29"/>
  <c r="Z350" i="29"/>
  <c r="AA350" i="29"/>
  <c r="AB350" i="29"/>
  <c r="AC350" i="29"/>
  <c r="AD350" i="29"/>
  <c r="AE350" i="29"/>
  <c r="AF350" i="29"/>
  <c r="AG350" i="29"/>
  <c r="AH350" i="29"/>
  <c r="AI350" i="29"/>
  <c r="AJ350" i="29"/>
  <c r="AK350" i="29"/>
  <c r="AL350" i="29"/>
  <c r="AM350" i="29"/>
  <c r="AN350" i="29"/>
  <c r="AO350" i="29"/>
  <c r="AP350" i="29"/>
  <c r="AQ350" i="29"/>
  <c r="AR350" i="29"/>
  <c r="AS350" i="29"/>
  <c r="AT350" i="29"/>
  <c r="AU350" i="29"/>
  <c r="AV350" i="29"/>
  <c r="AW350" i="29"/>
  <c r="AX350" i="29"/>
  <c r="AY350" i="29"/>
  <c r="AZ350" i="29"/>
  <c r="BA350" i="29"/>
  <c r="BB350" i="29"/>
  <c r="BC350" i="29"/>
  <c r="BD350" i="29"/>
  <c r="BE350" i="29"/>
  <c r="BF350" i="29"/>
  <c r="BG350" i="29"/>
  <c r="BH350" i="29"/>
  <c r="BI350" i="29"/>
  <c r="BJ350" i="29"/>
  <c r="BK350" i="29"/>
  <c r="BL350" i="29"/>
  <c r="BM350" i="29"/>
  <c r="BN350" i="29"/>
  <c r="BO350" i="29"/>
  <c r="BP350" i="29"/>
  <c r="BQ350" i="29"/>
  <c r="BR350" i="29"/>
  <c r="BS350" i="29"/>
  <c r="BT350" i="29"/>
  <c r="BU350" i="29"/>
  <c r="BV350" i="29"/>
  <c r="BW350" i="29"/>
  <c r="BX350" i="29"/>
  <c r="BY350" i="29"/>
  <c r="BZ350" i="29"/>
  <c r="CA350" i="29"/>
  <c r="CB350" i="29"/>
  <c r="CC350" i="29"/>
  <c r="CD350" i="29"/>
  <c r="CE350" i="29"/>
  <c r="CF350" i="29"/>
  <c r="CG350" i="29"/>
  <c r="CH350" i="29"/>
  <c r="CI350" i="29"/>
  <c r="CJ350" i="29"/>
  <c r="CK350" i="29"/>
  <c r="CL350" i="29"/>
  <c r="CM350" i="29"/>
  <c r="CN350" i="29"/>
  <c r="CO350" i="29"/>
  <c r="CP350" i="29"/>
  <c r="CQ350" i="29"/>
  <c r="CR350" i="29"/>
  <c r="CS350" i="29"/>
  <c r="CT350" i="29"/>
  <c r="CU350" i="29"/>
  <c r="CV350" i="29"/>
  <c r="CW350" i="29"/>
  <c r="CX350" i="29"/>
  <c r="CY350" i="29"/>
  <c r="CZ350" i="29"/>
  <c r="DA350" i="29"/>
  <c r="DB350" i="29"/>
  <c r="DC350" i="29"/>
  <c r="DD350" i="29"/>
  <c r="DE350" i="29"/>
  <c r="DF350" i="29"/>
  <c r="DG350" i="29"/>
  <c r="DH350" i="29"/>
  <c r="DI350" i="29"/>
  <c r="DJ350" i="29"/>
  <c r="DK350" i="29"/>
  <c r="DL350" i="29"/>
  <c r="DM350" i="29"/>
  <c r="DN350" i="29"/>
  <c r="DO350" i="29"/>
  <c r="DP350" i="29"/>
  <c r="DQ350" i="29"/>
  <c r="DR350" i="29"/>
  <c r="DS350" i="29"/>
  <c r="DT350" i="29"/>
  <c r="DU350" i="29"/>
  <c r="DV350" i="29"/>
  <c r="DW350" i="29"/>
  <c r="DX350" i="29"/>
  <c r="DY350" i="29"/>
  <c r="DZ350" i="29"/>
  <c r="EA350" i="29"/>
  <c r="EB350" i="29"/>
  <c r="EC350" i="29"/>
  <c r="ED350" i="29"/>
  <c r="EE350" i="29"/>
  <c r="EF350" i="29"/>
  <c r="EG350" i="29"/>
  <c r="EH350" i="29"/>
  <c r="EI350" i="29"/>
  <c r="EJ350" i="29"/>
  <c r="EK350" i="29"/>
  <c r="EL350" i="29"/>
  <c r="EM350" i="29"/>
  <c r="EN350" i="29"/>
  <c r="EO350" i="29"/>
  <c r="EP350" i="29"/>
  <c r="EQ350" i="29"/>
  <c r="ER350" i="29"/>
  <c r="ES350" i="29"/>
  <c r="ET350" i="29"/>
  <c r="EU350" i="29"/>
  <c r="EV350" i="29"/>
  <c r="EW350" i="29"/>
  <c r="EX350" i="29"/>
  <c r="EY350" i="29"/>
  <c r="EZ350" i="29"/>
  <c r="FA350" i="29"/>
  <c r="FB350" i="29"/>
  <c r="FC350" i="29"/>
  <c r="FD350" i="29"/>
  <c r="FE350" i="29"/>
  <c r="FF350" i="29"/>
  <c r="FG350" i="29"/>
  <c r="FH350" i="29"/>
  <c r="FI350" i="29"/>
  <c r="FJ350" i="29"/>
  <c r="FK350" i="29"/>
  <c r="FL350" i="29"/>
  <c r="FM350" i="29"/>
  <c r="FN350" i="29"/>
  <c r="FO350" i="29"/>
  <c r="FP350" i="29"/>
  <c r="FQ350" i="29"/>
  <c r="FR350" i="29"/>
  <c r="FS350" i="29"/>
  <c r="FT350" i="29"/>
  <c r="FU350" i="29"/>
  <c r="FV350" i="29"/>
  <c r="FW350" i="29"/>
  <c r="FX350" i="29"/>
  <c r="FY350" i="29"/>
  <c r="FZ350" i="29"/>
  <c r="GA350" i="29"/>
  <c r="GB350" i="29"/>
  <c r="GC350" i="29"/>
  <c r="GD350" i="29"/>
  <c r="GE350" i="29"/>
  <c r="GF350" i="29"/>
  <c r="GG350" i="29"/>
  <c r="GH350" i="29"/>
  <c r="GI350" i="29"/>
  <c r="GJ350" i="29"/>
  <c r="GK350" i="29"/>
  <c r="GL350" i="29"/>
  <c r="GM350" i="29"/>
  <c r="GN350" i="29"/>
  <c r="GO350" i="29"/>
  <c r="GP350" i="29"/>
  <c r="GQ350" i="29"/>
  <c r="GR350" i="29"/>
  <c r="GS350" i="29"/>
  <c r="GT350" i="29"/>
  <c r="GU350" i="29"/>
  <c r="GV350" i="29"/>
  <c r="GW350" i="29"/>
  <c r="GX350" i="29"/>
  <c r="GY350" i="29"/>
  <c r="GZ350" i="29"/>
  <c r="HA350" i="29"/>
  <c r="HB350" i="29"/>
  <c r="HC350" i="29"/>
  <c r="HD350" i="29"/>
  <c r="HE350" i="29"/>
  <c r="HF350" i="29"/>
  <c r="HG350" i="29"/>
  <c r="HH350" i="29"/>
  <c r="HI350" i="29"/>
  <c r="HJ350" i="29"/>
  <c r="HK350" i="29"/>
  <c r="HL350" i="29"/>
  <c r="HM350" i="29"/>
  <c r="HN350" i="29"/>
  <c r="HO350" i="29"/>
  <c r="HP350" i="29"/>
  <c r="HQ350" i="29"/>
  <c r="HR350" i="29"/>
  <c r="HS350" i="29"/>
  <c r="HT350" i="29"/>
  <c r="HU350" i="29"/>
  <c r="HV350" i="29"/>
  <c r="HW350" i="29"/>
  <c r="HX350" i="29"/>
  <c r="HY350" i="29"/>
  <c r="HZ350" i="29"/>
  <c r="IA350" i="29"/>
  <c r="IB350" i="29"/>
  <c r="IC350" i="29"/>
  <c r="ID350" i="29"/>
  <c r="IE350" i="29"/>
  <c r="IF350" i="29"/>
  <c r="IG350" i="29"/>
  <c r="IH350" i="29"/>
  <c r="II350" i="29"/>
  <c r="IJ350" i="29"/>
  <c r="IK350" i="29"/>
  <c r="IL350" i="29"/>
  <c r="IM350" i="29"/>
  <c r="IN350" i="29"/>
  <c r="IO350" i="29"/>
  <c r="IP350" i="29"/>
  <c r="IQ350" i="29"/>
  <c r="IR350" i="29"/>
  <c r="IS350" i="29"/>
  <c r="IT350" i="29"/>
  <c r="IU350" i="29"/>
  <c r="IV350" i="29"/>
  <c r="IW350" i="29"/>
  <c r="IX350" i="29"/>
  <c r="IY350" i="29"/>
  <c r="IZ350" i="29"/>
  <c r="JA350" i="29"/>
  <c r="JB350" i="29"/>
  <c r="JC350" i="29"/>
  <c r="JD350" i="29"/>
  <c r="JE350" i="29"/>
  <c r="JF350" i="29"/>
  <c r="JG350" i="29"/>
  <c r="JH350" i="29"/>
  <c r="JI350" i="29"/>
  <c r="JJ350" i="29"/>
  <c r="JK350" i="29"/>
  <c r="JL350" i="29"/>
  <c r="JM350" i="29"/>
  <c r="JN350" i="29"/>
  <c r="JO350" i="29"/>
  <c r="JP350" i="29"/>
  <c r="JQ350" i="29"/>
  <c r="JR350" i="29"/>
  <c r="JS350" i="29"/>
  <c r="JT350" i="29"/>
  <c r="JU350" i="29"/>
  <c r="JV350" i="29"/>
  <c r="JW350" i="29"/>
  <c r="JX350" i="29"/>
  <c r="JY350" i="29"/>
  <c r="JZ350" i="29"/>
  <c r="KA350" i="29"/>
  <c r="KB350" i="29"/>
  <c r="KC350" i="29"/>
  <c r="KD350" i="29"/>
  <c r="KE350" i="29"/>
  <c r="KF350" i="29"/>
  <c r="KG350" i="29"/>
  <c r="KH350" i="29"/>
  <c r="KI350" i="29"/>
  <c r="KJ350" i="29"/>
  <c r="KK350" i="29"/>
  <c r="KL350" i="29"/>
  <c r="KM350" i="29"/>
  <c r="KN350" i="29"/>
  <c r="KO350" i="29"/>
  <c r="KP350" i="29"/>
  <c r="KQ350" i="29"/>
  <c r="KR350" i="29"/>
  <c r="KS350" i="29"/>
  <c r="KT350" i="29"/>
  <c r="KU350" i="29"/>
  <c r="KV350" i="29"/>
  <c r="KW350" i="29"/>
  <c r="KX350" i="29"/>
  <c r="KY350" i="29"/>
  <c r="KZ350" i="29"/>
  <c r="LA350" i="29"/>
  <c r="LB350" i="29"/>
  <c r="LC350" i="29"/>
  <c r="LD350" i="29"/>
  <c r="LE350" i="29"/>
  <c r="LF350" i="29"/>
  <c r="LG350" i="29"/>
  <c r="LH350" i="29"/>
  <c r="LI350" i="29"/>
  <c r="LJ350" i="29"/>
  <c r="LK350" i="29"/>
  <c r="LL350" i="29"/>
  <c r="LM350" i="29"/>
  <c r="LN350" i="29"/>
  <c r="LO350" i="29"/>
  <c r="LP350" i="29"/>
  <c r="LQ350" i="29"/>
  <c r="LR350" i="29"/>
  <c r="LS350" i="29"/>
  <c r="LT350" i="29"/>
  <c r="LU350" i="29"/>
  <c r="LV350" i="29"/>
  <c r="LW350" i="29"/>
  <c r="LX350" i="29"/>
  <c r="LY350" i="29"/>
  <c r="LZ350" i="29"/>
  <c r="MA350" i="29"/>
  <c r="MB350" i="29"/>
  <c r="MC350" i="29"/>
  <c r="MD350" i="29"/>
  <c r="ME350" i="29"/>
  <c r="MF350" i="29"/>
  <c r="MG350" i="29"/>
  <c r="MH350" i="29"/>
  <c r="MI350" i="29"/>
  <c r="MJ350" i="29"/>
  <c r="MK350" i="29"/>
  <c r="ML350" i="29"/>
  <c r="MM350" i="29"/>
  <c r="MN350" i="29"/>
  <c r="MO350" i="29"/>
  <c r="MP350" i="29"/>
  <c r="MQ350" i="29"/>
  <c r="MR350" i="29"/>
  <c r="MS350" i="29"/>
  <c r="MT350" i="29"/>
  <c r="MU350" i="29"/>
  <c r="MV350" i="29"/>
  <c r="MW350" i="29"/>
  <c r="MX350" i="29"/>
  <c r="MY350" i="29"/>
  <c r="MZ350" i="29"/>
  <c r="NA350" i="29"/>
  <c r="NB350" i="29"/>
  <c r="NC350" i="29"/>
  <c r="ND350" i="29"/>
  <c r="NE350" i="29"/>
  <c r="NF350" i="29"/>
  <c r="NG350" i="29"/>
  <c r="NH350" i="29"/>
  <c r="NI350" i="29"/>
  <c r="NJ350" i="29"/>
  <c r="NK350" i="29"/>
  <c r="NL350" i="29"/>
  <c r="NM350" i="29"/>
  <c r="NN350" i="29"/>
  <c r="NO350" i="29"/>
  <c r="NP350" i="29"/>
  <c r="NQ350" i="29"/>
  <c r="NR350" i="29"/>
  <c r="NS350" i="29"/>
  <c r="NT350" i="29"/>
  <c r="NU350" i="29"/>
  <c r="NV350" i="29"/>
  <c r="NW350" i="29"/>
  <c r="NX350" i="29"/>
  <c r="NY350" i="29"/>
  <c r="NZ350" i="29"/>
  <c r="OA350" i="29"/>
  <c r="OB350" i="29"/>
  <c r="OC350" i="29"/>
  <c r="OD350" i="29"/>
  <c r="OE350" i="29"/>
  <c r="OF350" i="29"/>
  <c r="OG350" i="29"/>
  <c r="OH350" i="29"/>
  <c r="OI350" i="29"/>
  <c r="OJ350" i="29"/>
  <c r="OK350" i="29"/>
  <c r="OL350" i="29"/>
  <c r="OM350" i="29"/>
  <c r="ON350" i="29"/>
  <c r="OO350" i="29"/>
  <c r="OP350" i="29"/>
  <c r="OQ350" i="29"/>
  <c r="OR350" i="29"/>
  <c r="OS350" i="29"/>
  <c r="OT350" i="29"/>
  <c r="OU350" i="29"/>
  <c r="OV350" i="29"/>
  <c r="OW350" i="29"/>
  <c r="OX350" i="29"/>
  <c r="OY350" i="29"/>
  <c r="OZ350" i="29"/>
  <c r="PA350" i="29"/>
  <c r="PB350" i="29"/>
  <c r="PC350" i="29"/>
  <c r="PD350" i="29"/>
  <c r="PE350" i="29"/>
  <c r="PF350" i="29"/>
  <c r="PG350" i="29"/>
  <c r="PH350" i="29"/>
  <c r="PI350" i="29"/>
  <c r="PJ350" i="29"/>
  <c r="PK350" i="29"/>
  <c r="PL350" i="29"/>
  <c r="PM350" i="29"/>
  <c r="PN350" i="29"/>
  <c r="PO350" i="29"/>
  <c r="PP350" i="29"/>
  <c r="PQ350" i="29"/>
  <c r="PR350" i="29"/>
  <c r="PS350" i="29"/>
  <c r="PT350" i="29"/>
  <c r="PU350" i="29"/>
  <c r="PV350" i="29"/>
  <c r="PW350" i="29"/>
  <c r="PX350" i="29"/>
  <c r="PY350" i="29"/>
  <c r="PZ350" i="29"/>
  <c r="QA350" i="29"/>
  <c r="QB350" i="29"/>
  <c r="QC350" i="29"/>
  <c r="QD350" i="29"/>
  <c r="QE350" i="29"/>
  <c r="QF350" i="29"/>
  <c r="QG350" i="29"/>
  <c r="QH350" i="29"/>
  <c r="QI350" i="29"/>
  <c r="QJ350" i="29"/>
  <c r="QK350" i="29"/>
  <c r="QL350" i="29"/>
  <c r="QM350" i="29"/>
  <c r="QN350" i="29"/>
  <c r="QO350" i="29"/>
  <c r="QP350" i="29"/>
  <c r="QQ350" i="29"/>
  <c r="QR350" i="29"/>
  <c r="QS350" i="29"/>
  <c r="QT350" i="29"/>
  <c r="QU350" i="29"/>
  <c r="QV350" i="29"/>
  <c r="QW350" i="29"/>
  <c r="QX350" i="29"/>
  <c r="QY350" i="29"/>
  <c r="QZ350" i="29"/>
  <c r="RA350" i="29"/>
  <c r="RB350" i="29"/>
  <c r="RC350" i="29"/>
  <c r="RD350" i="29"/>
  <c r="RE350" i="29"/>
  <c r="RF350" i="29"/>
  <c r="RG350" i="29"/>
  <c r="RH350" i="29"/>
  <c r="RI350" i="29"/>
  <c r="RJ350" i="29"/>
  <c r="RK350" i="29"/>
  <c r="RL350" i="29"/>
  <c r="RM350" i="29"/>
  <c r="RN350" i="29"/>
  <c r="RO350" i="29"/>
  <c r="RP350" i="29"/>
  <c r="RQ350" i="29"/>
  <c r="RR350" i="29"/>
  <c r="RS350" i="29"/>
  <c r="RT350" i="29"/>
  <c r="RU350" i="29"/>
  <c r="RV350" i="29"/>
  <c r="RW350" i="29"/>
  <c r="RX350" i="29"/>
  <c r="RY350" i="29"/>
  <c r="RZ350" i="29"/>
  <c r="SA350" i="29"/>
  <c r="SB350" i="29"/>
  <c r="SC350" i="29"/>
  <c r="SD350" i="29"/>
  <c r="SE350" i="29"/>
  <c r="SF350" i="29"/>
  <c r="SG350" i="29"/>
  <c r="SH350" i="29"/>
  <c r="SI350" i="29"/>
  <c r="SJ350" i="29"/>
  <c r="SK350" i="29"/>
  <c r="SL350" i="29"/>
  <c r="SM350" i="29"/>
  <c r="SN350" i="29"/>
  <c r="SO350" i="29"/>
  <c r="SP350" i="29"/>
  <c r="SQ350" i="29"/>
  <c r="SR350" i="29"/>
  <c r="SS350" i="29"/>
  <c r="B351" i="29"/>
  <c r="C351" i="29"/>
  <c r="D351" i="29"/>
  <c r="E351" i="29"/>
  <c r="F351" i="29"/>
  <c r="G351" i="29"/>
  <c r="H351" i="29"/>
  <c r="I351" i="29"/>
  <c r="J351" i="29"/>
  <c r="K351" i="29"/>
  <c r="L351" i="29"/>
  <c r="M351" i="29"/>
  <c r="N351" i="29"/>
  <c r="O351" i="29"/>
  <c r="P351" i="29"/>
  <c r="Q351" i="29"/>
  <c r="R351" i="29"/>
  <c r="S351" i="29"/>
  <c r="T351" i="29"/>
  <c r="U351" i="29"/>
  <c r="V351" i="29"/>
  <c r="W351" i="29"/>
  <c r="X351" i="29"/>
  <c r="Y351" i="29"/>
  <c r="Z351" i="29"/>
  <c r="AA351" i="29"/>
  <c r="AB351" i="29"/>
  <c r="AC351" i="29"/>
  <c r="AD351" i="29"/>
  <c r="AE351" i="29"/>
  <c r="AF351" i="29"/>
  <c r="AG351" i="29"/>
  <c r="AH351" i="29"/>
  <c r="AI351" i="29"/>
  <c r="AJ351" i="29"/>
  <c r="AK351" i="29"/>
  <c r="AL351" i="29"/>
  <c r="AM351" i="29"/>
  <c r="AN351" i="29"/>
  <c r="AO351" i="29"/>
  <c r="AP351" i="29"/>
  <c r="AQ351" i="29"/>
  <c r="AR351" i="29"/>
  <c r="AS351" i="29"/>
  <c r="AT351" i="29"/>
  <c r="AU351" i="29"/>
  <c r="AV351" i="29"/>
  <c r="AW351" i="29"/>
  <c r="AX351" i="29"/>
  <c r="AY351" i="29"/>
  <c r="AZ351" i="29"/>
  <c r="BA351" i="29"/>
  <c r="BB351" i="29"/>
  <c r="BC351" i="29"/>
  <c r="BD351" i="29"/>
  <c r="BE351" i="29"/>
  <c r="BF351" i="29"/>
  <c r="BG351" i="29"/>
  <c r="BH351" i="29"/>
  <c r="BI351" i="29"/>
  <c r="BJ351" i="29"/>
  <c r="BK351" i="29"/>
  <c r="BL351" i="29"/>
  <c r="BM351" i="29"/>
  <c r="BN351" i="29"/>
  <c r="BO351" i="29"/>
  <c r="BP351" i="29"/>
  <c r="BQ351" i="29"/>
  <c r="BR351" i="29"/>
  <c r="BS351" i="29"/>
  <c r="BT351" i="29"/>
  <c r="BU351" i="29"/>
  <c r="BV351" i="29"/>
  <c r="BW351" i="29"/>
  <c r="BX351" i="29"/>
  <c r="BY351" i="29"/>
  <c r="BZ351" i="29"/>
  <c r="CA351" i="29"/>
  <c r="CB351" i="29"/>
  <c r="CC351" i="29"/>
  <c r="CD351" i="29"/>
  <c r="CE351" i="29"/>
  <c r="CF351" i="29"/>
  <c r="CG351" i="29"/>
  <c r="CH351" i="29"/>
  <c r="CI351" i="29"/>
  <c r="CJ351" i="29"/>
  <c r="CK351" i="29"/>
  <c r="CL351" i="29"/>
  <c r="CM351" i="29"/>
  <c r="CN351" i="29"/>
  <c r="CO351" i="29"/>
  <c r="CP351" i="29"/>
  <c r="CQ351" i="29"/>
  <c r="CR351" i="29"/>
  <c r="CS351" i="29"/>
  <c r="CT351" i="29"/>
  <c r="CU351" i="29"/>
  <c r="CV351" i="29"/>
  <c r="CW351" i="29"/>
  <c r="CX351" i="29"/>
  <c r="CY351" i="29"/>
  <c r="CZ351" i="29"/>
  <c r="DA351" i="29"/>
  <c r="DB351" i="29"/>
  <c r="DC351" i="29"/>
  <c r="DD351" i="29"/>
  <c r="DE351" i="29"/>
  <c r="DF351" i="29"/>
  <c r="DG351" i="29"/>
  <c r="DH351" i="29"/>
  <c r="DI351" i="29"/>
  <c r="DJ351" i="29"/>
  <c r="DK351" i="29"/>
  <c r="DL351" i="29"/>
  <c r="DM351" i="29"/>
  <c r="DN351" i="29"/>
  <c r="DO351" i="29"/>
  <c r="DP351" i="29"/>
  <c r="DQ351" i="29"/>
  <c r="DR351" i="29"/>
  <c r="DS351" i="29"/>
  <c r="DT351" i="29"/>
  <c r="DU351" i="29"/>
  <c r="DV351" i="29"/>
  <c r="DW351" i="29"/>
  <c r="DX351" i="29"/>
  <c r="DY351" i="29"/>
  <c r="DZ351" i="29"/>
  <c r="EA351" i="29"/>
  <c r="EB351" i="29"/>
  <c r="EC351" i="29"/>
  <c r="ED351" i="29"/>
  <c r="EE351" i="29"/>
  <c r="EF351" i="29"/>
  <c r="EG351" i="29"/>
  <c r="EH351" i="29"/>
  <c r="EI351" i="29"/>
  <c r="EJ351" i="29"/>
  <c r="EK351" i="29"/>
  <c r="EL351" i="29"/>
  <c r="EM351" i="29"/>
  <c r="EN351" i="29"/>
  <c r="EO351" i="29"/>
  <c r="EP351" i="29"/>
  <c r="EQ351" i="29"/>
  <c r="ER351" i="29"/>
  <c r="ES351" i="29"/>
  <c r="ET351" i="29"/>
  <c r="EU351" i="29"/>
  <c r="EV351" i="29"/>
  <c r="EW351" i="29"/>
  <c r="EX351" i="29"/>
  <c r="EY351" i="29"/>
  <c r="EZ351" i="29"/>
  <c r="FA351" i="29"/>
  <c r="FB351" i="29"/>
  <c r="FC351" i="29"/>
  <c r="FD351" i="29"/>
  <c r="FE351" i="29"/>
  <c r="FF351" i="29"/>
  <c r="FG351" i="29"/>
  <c r="FH351" i="29"/>
  <c r="FI351" i="29"/>
  <c r="FJ351" i="29"/>
  <c r="FK351" i="29"/>
  <c r="FL351" i="29"/>
  <c r="FM351" i="29"/>
  <c r="FN351" i="29"/>
  <c r="FO351" i="29"/>
  <c r="FP351" i="29"/>
  <c r="FQ351" i="29"/>
  <c r="FR351" i="29"/>
  <c r="FS351" i="29"/>
  <c r="FT351" i="29"/>
  <c r="FU351" i="29"/>
  <c r="FV351" i="29"/>
  <c r="FW351" i="29"/>
  <c r="FX351" i="29"/>
  <c r="FY351" i="29"/>
  <c r="FZ351" i="29"/>
  <c r="GA351" i="29"/>
  <c r="GB351" i="29"/>
  <c r="GC351" i="29"/>
  <c r="GD351" i="29"/>
  <c r="GE351" i="29"/>
  <c r="GF351" i="29"/>
  <c r="GG351" i="29"/>
  <c r="GH351" i="29"/>
  <c r="GI351" i="29"/>
  <c r="GJ351" i="29"/>
  <c r="GK351" i="29"/>
  <c r="GL351" i="29"/>
  <c r="GM351" i="29"/>
  <c r="GN351" i="29"/>
  <c r="GO351" i="29"/>
  <c r="GP351" i="29"/>
  <c r="GQ351" i="29"/>
  <c r="GR351" i="29"/>
  <c r="GS351" i="29"/>
  <c r="GT351" i="29"/>
  <c r="GU351" i="29"/>
  <c r="GV351" i="29"/>
  <c r="GW351" i="29"/>
  <c r="GX351" i="29"/>
  <c r="GY351" i="29"/>
  <c r="GZ351" i="29"/>
  <c r="HA351" i="29"/>
  <c r="HB351" i="29"/>
  <c r="HC351" i="29"/>
  <c r="HD351" i="29"/>
  <c r="HE351" i="29"/>
  <c r="HF351" i="29"/>
  <c r="HG351" i="29"/>
  <c r="HH351" i="29"/>
  <c r="HI351" i="29"/>
  <c r="HJ351" i="29"/>
  <c r="HK351" i="29"/>
  <c r="HL351" i="29"/>
  <c r="HM351" i="29"/>
  <c r="HN351" i="29"/>
  <c r="HO351" i="29"/>
  <c r="HP351" i="29"/>
  <c r="HQ351" i="29"/>
  <c r="HR351" i="29"/>
  <c r="HS351" i="29"/>
  <c r="HT351" i="29"/>
  <c r="HU351" i="29"/>
  <c r="HV351" i="29"/>
  <c r="HW351" i="29"/>
  <c r="HX351" i="29"/>
  <c r="HY351" i="29"/>
  <c r="HZ351" i="29"/>
  <c r="IA351" i="29"/>
  <c r="IB351" i="29"/>
  <c r="IC351" i="29"/>
  <c r="ID351" i="29"/>
  <c r="IE351" i="29"/>
  <c r="IF351" i="29"/>
  <c r="IG351" i="29"/>
  <c r="IH351" i="29"/>
  <c r="II351" i="29"/>
  <c r="IJ351" i="29"/>
  <c r="IK351" i="29"/>
  <c r="IL351" i="29"/>
  <c r="IM351" i="29"/>
  <c r="IN351" i="29"/>
  <c r="IO351" i="29"/>
  <c r="IP351" i="29"/>
  <c r="IQ351" i="29"/>
  <c r="IR351" i="29"/>
  <c r="IS351" i="29"/>
  <c r="IT351" i="29"/>
  <c r="IU351" i="29"/>
  <c r="IV351" i="29"/>
  <c r="IW351" i="29"/>
  <c r="IX351" i="29"/>
  <c r="IY351" i="29"/>
  <c r="IZ351" i="29"/>
  <c r="JA351" i="29"/>
  <c r="JB351" i="29"/>
  <c r="JC351" i="29"/>
  <c r="JD351" i="29"/>
  <c r="JE351" i="29"/>
  <c r="JF351" i="29"/>
  <c r="JG351" i="29"/>
  <c r="JH351" i="29"/>
  <c r="JI351" i="29"/>
  <c r="JJ351" i="29"/>
  <c r="JK351" i="29"/>
  <c r="JL351" i="29"/>
  <c r="JM351" i="29"/>
  <c r="JN351" i="29"/>
  <c r="JO351" i="29"/>
  <c r="JP351" i="29"/>
  <c r="JQ351" i="29"/>
  <c r="JR351" i="29"/>
  <c r="JS351" i="29"/>
  <c r="JT351" i="29"/>
  <c r="JU351" i="29"/>
  <c r="JV351" i="29"/>
  <c r="JW351" i="29"/>
  <c r="JX351" i="29"/>
  <c r="JY351" i="29"/>
  <c r="JZ351" i="29"/>
  <c r="KA351" i="29"/>
  <c r="KB351" i="29"/>
  <c r="KC351" i="29"/>
  <c r="KD351" i="29"/>
  <c r="KE351" i="29"/>
  <c r="KF351" i="29"/>
  <c r="KG351" i="29"/>
  <c r="KH351" i="29"/>
  <c r="KI351" i="29"/>
  <c r="KJ351" i="29"/>
  <c r="KK351" i="29"/>
  <c r="KL351" i="29"/>
  <c r="KM351" i="29"/>
  <c r="KN351" i="29"/>
  <c r="KO351" i="29"/>
  <c r="KP351" i="29"/>
  <c r="KQ351" i="29"/>
  <c r="KR351" i="29"/>
  <c r="KS351" i="29"/>
  <c r="KT351" i="29"/>
  <c r="KU351" i="29"/>
  <c r="KV351" i="29"/>
  <c r="KW351" i="29"/>
  <c r="KX351" i="29"/>
  <c r="KY351" i="29"/>
  <c r="KZ351" i="29"/>
  <c r="LA351" i="29"/>
  <c r="LB351" i="29"/>
  <c r="LC351" i="29"/>
  <c r="LD351" i="29"/>
  <c r="LE351" i="29"/>
  <c r="LF351" i="29"/>
  <c r="LG351" i="29"/>
  <c r="LH351" i="29"/>
  <c r="LI351" i="29"/>
  <c r="LJ351" i="29"/>
  <c r="LK351" i="29"/>
  <c r="LL351" i="29"/>
  <c r="LM351" i="29"/>
  <c r="LN351" i="29"/>
  <c r="LO351" i="29"/>
  <c r="LP351" i="29"/>
  <c r="LQ351" i="29"/>
  <c r="LR351" i="29"/>
  <c r="LS351" i="29"/>
  <c r="LT351" i="29"/>
  <c r="LU351" i="29"/>
  <c r="LV351" i="29"/>
  <c r="LW351" i="29"/>
  <c r="LX351" i="29"/>
  <c r="LY351" i="29"/>
  <c r="LZ351" i="29"/>
  <c r="MA351" i="29"/>
  <c r="MB351" i="29"/>
  <c r="MC351" i="29"/>
  <c r="MD351" i="29"/>
  <c r="ME351" i="29"/>
  <c r="MF351" i="29"/>
  <c r="MG351" i="29"/>
  <c r="MH351" i="29"/>
  <c r="MI351" i="29"/>
  <c r="MJ351" i="29"/>
  <c r="MK351" i="29"/>
  <c r="ML351" i="29"/>
  <c r="MM351" i="29"/>
  <c r="MN351" i="29"/>
  <c r="MO351" i="29"/>
  <c r="MP351" i="29"/>
  <c r="MQ351" i="29"/>
  <c r="MR351" i="29"/>
  <c r="MS351" i="29"/>
  <c r="MT351" i="29"/>
  <c r="MU351" i="29"/>
  <c r="MV351" i="29"/>
  <c r="MW351" i="29"/>
  <c r="MX351" i="29"/>
  <c r="MY351" i="29"/>
  <c r="MZ351" i="29"/>
  <c r="NA351" i="29"/>
  <c r="NB351" i="29"/>
  <c r="NC351" i="29"/>
  <c r="ND351" i="29"/>
  <c r="NE351" i="29"/>
  <c r="NF351" i="29"/>
  <c r="NG351" i="29"/>
  <c r="NH351" i="29"/>
  <c r="NI351" i="29"/>
  <c r="NJ351" i="29"/>
  <c r="NK351" i="29"/>
  <c r="NL351" i="29"/>
  <c r="NM351" i="29"/>
  <c r="NN351" i="29"/>
  <c r="NO351" i="29"/>
  <c r="NP351" i="29"/>
  <c r="NQ351" i="29"/>
  <c r="NR351" i="29"/>
  <c r="NS351" i="29"/>
  <c r="NT351" i="29"/>
  <c r="NU351" i="29"/>
  <c r="NV351" i="29"/>
  <c r="NW351" i="29"/>
  <c r="NX351" i="29"/>
  <c r="NY351" i="29"/>
  <c r="NZ351" i="29"/>
  <c r="OA351" i="29"/>
  <c r="OB351" i="29"/>
  <c r="OC351" i="29"/>
  <c r="OD351" i="29"/>
  <c r="OE351" i="29"/>
  <c r="OF351" i="29"/>
  <c r="OG351" i="29"/>
  <c r="OH351" i="29"/>
  <c r="OI351" i="29"/>
  <c r="OJ351" i="29"/>
  <c r="OK351" i="29"/>
  <c r="OL351" i="29"/>
  <c r="OM351" i="29"/>
  <c r="ON351" i="29"/>
  <c r="OO351" i="29"/>
  <c r="OP351" i="29"/>
  <c r="OQ351" i="29"/>
  <c r="OR351" i="29"/>
  <c r="OS351" i="29"/>
  <c r="OT351" i="29"/>
  <c r="OU351" i="29"/>
  <c r="OV351" i="29"/>
  <c r="OW351" i="29"/>
  <c r="OX351" i="29"/>
  <c r="OY351" i="29"/>
  <c r="OZ351" i="29"/>
  <c r="PA351" i="29"/>
  <c r="PB351" i="29"/>
  <c r="PC351" i="29"/>
  <c r="PD351" i="29"/>
  <c r="PE351" i="29"/>
  <c r="PF351" i="29"/>
  <c r="PG351" i="29"/>
  <c r="PH351" i="29"/>
  <c r="PI351" i="29"/>
  <c r="PJ351" i="29"/>
  <c r="PK351" i="29"/>
  <c r="PL351" i="29"/>
  <c r="PM351" i="29"/>
  <c r="PN351" i="29"/>
  <c r="PO351" i="29"/>
  <c r="PP351" i="29"/>
  <c r="PQ351" i="29"/>
  <c r="PR351" i="29"/>
  <c r="PS351" i="29"/>
  <c r="PT351" i="29"/>
  <c r="PU351" i="29"/>
  <c r="PV351" i="29"/>
  <c r="PW351" i="29"/>
  <c r="PX351" i="29"/>
  <c r="PY351" i="29"/>
  <c r="PZ351" i="29"/>
  <c r="QA351" i="29"/>
  <c r="QB351" i="29"/>
  <c r="QC351" i="29"/>
  <c r="QD351" i="29"/>
  <c r="QE351" i="29"/>
  <c r="QF351" i="29"/>
  <c r="QG351" i="29"/>
  <c r="QH351" i="29"/>
  <c r="QI351" i="29"/>
  <c r="QJ351" i="29"/>
  <c r="QK351" i="29"/>
  <c r="QL351" i="29"/>
  <c r="QM351" i="29"/>
  <c r="QN351" i="29"/>
  <c r="QO351" i="29"/>
  <c r="QP351" i="29"/>
  <c r="QQ351" i="29"/>
  <c r="QR351" i="29"/>
  <c r="QS351" i="29"/>
  <c r="QT351" i="29"/>
  <c r="QU351" i="29"/>
  <c r="QV351" i="29"/>
  <c r="QW351" i="29"/>
  <c r="QX351" i="29"/>
  <c r="QY351" i="29"/>
  <c r="QZ351" i="29"/>
  <c r="RA351" i="29"/>
  <c r="RB351" i="29"/>
  <c r="RC351" i="29"/>
  <c r="RD351" i="29"/>
  <c r="RE351" i="29"/>
  <c r="RF351" i="29"/>
  <c r="RG351" i="29"/>
  <c r="RH351" i="29"/>
  <c r="RI351" i="29"/>
  <c r="RJ351" i="29"/>
  <c r="RK351" i="29"/>
  <c r="RL351" i="29"/>
  <c r="RM351" i="29"/>
  <c r="RN351" i="29"/>
  <c r="RO351" i="29"/>
  <c r="RP351" i="29"/>
  <c r="RQ351" i="29"/>
  <c r="RR351" i="29"/>
  <c r="RS351" i="29"/>
  <c r="RT351" i="29"/>
  <c r="RU351" i="29"/>
  <c r="RV351" i="29"/>
  <c r="RW351" i="29"/>
  <c r="RX351" i="29"/>
  <c r="RY351" i="29"/>
  <c r="RZ351" i="29"/>
  <c r="SA351" i="29"/>
  <c r="SB351" i="29"/>
  <c r="SC351" i="29"/>
  <c r="SD351" i="29"/>
  <c r="SE351" i="29"/>
  <c r="SF351" i="29"/>
  <c r="SG351" i="29"/>
  <c r="SH351" i="29"/>
  <c r="SI351" i="29"/>
  <c r="SJ351" i="29"/>
  <c r="SK351" i="29"/>
  <c r="SL351" i="29"/>
  <c r="SM351" i="29"/>
  <c r="SN351" i="29"/>
  <c r="SO351" i="29"/>
  <c r="SP351" i="29"/>
  <c r="SQ351" i="29"/>
  <c r="SR351" i="29"/>
  <c r="SS351" i="29"/>
  <c r="B352" i="29"/>
  <c r="C352" i="29"/>
  <c r="D352" i="29"/>
  <c r="E352" i="29"/>
  <c r="F352" i="29"/>
  <c r="G352" i="29"/>
  <c r="H352" i="29"/>
  <c r="I352" i="29"/>
  <c r="J352" i="29"/>
  <c r="K352" i="29"/>
  <c r="L352" i="29"/>
  <c r="M352" i="29"/>
  <c r="N352" i="29"/>
  <c r="O352" i="29"/>
  <c r="P352" i="29"/>
  <c r="Q352" i="29"/>
  <c r="R352" i="29"/>
  <c r="S352" i="29"/>
  <c r="T352" i="29"/>
  <c r="U352" i="29"/>
  <c r="V352" i="29"/>
  <c r="W352" i="29"/>
  <c r="X352" i="29"/>
  <c r="Y352" i="29"/>
  <c r="Z352" i="29"/>
  <c r="AA352" i="29"/>
  <c r="AB352" i="29"/>
  <c r="AC352" i="29"/>
  <c r="AD352" i="29"/>
  <c r="AE352" i="29"/>
  <c r="AF352" i="29"/>
  <c r="AG352" i="29"/>
  <c r="AH352" i="29"/>
  <c r="AI352" i="29"/>
  <c r="AJ352" i="29"/>
  <c r="AK352" i="29"/>
  <c r="AL352" i="29"/>
  <c r="AM352" i="29"/>
  <c r="AN352" i="29"/>
  <c r="AO352" i="29"/>
  <c r="AP352" i="29"/>
  <c r="AQ352" i="29"/>
  <c r="AR352" i="29"/>
  <c r="AS352" i="29"/>
  <c r="AT352" i="29"/>
  <c r="AU352" i="29"/>
  <c r="AV352" i="29"/>
  <c r="AW352" i="29"/>
  <c r="AX352" i="29"/>
  <c r="AY352" i="29"/>
  <c r="AZ352" i="29"/>
  <c r="BA352" i="29"/>
  <c r="BB352" i="29"/>
  <c r="BC352" i="29"/>
  <c r="BD352" i="29"/>
  <c r="BE352" i="29"/>
  <c r="BF352" i="29"/>
  <c r="BG352" i="29"/>
  <c r="BH352" i="29"/>
  <c r="BI352" i="29"/>
  <c r="BJ352" i="29"/>
  <c r="BK352" i="29"/>
  <c r="BL352" i="29"/>
  <c r="BM352" i="29"/>
  <c r="BN352" i="29"/>
  <c r="BO352" i="29"/>
  <c r="BP352" i="29"/>
  <c r="BQ352" i="29"/>
  <c r="BR352" i="29"/>
  <c r="BS352" i="29"/>
  <c r="BT352" i="29"/>
  <c r="BU352" i="29"/>
  <c r="BV352" i="29"/>
  <c r="BW352" i="29"/>
  <c r="BX352" i="29"/>
  <c r="BY352" i="29"/>
  <c r="BZ352" i="29"/>
  <c r="CA352" i="29"/>
  <c r="CB352" i="29"/>
  <c r="CC352" i="29"/>
  <c r="CD352" i="29"/>
  <c r="CE352" i="29"/>
  <c r="CF352" i="29"/>
  <c r="CG352" i="29"/>
  <c r="CH352" i="29"/>
  <c r="CI352" i="29"/>
  <c r="CJ352" i="29"/>
  <c r="CK352" i="29"/>
  <c r="CL352" i="29"/>
  <c r="CM352" i="29"/>
  <c r="CN352" i="29"/>
  <c r="CO352" i="29"/>
  <c r="CP352" i="29"/>
  <c r="CQ352" i="29"/>
  <c r="CR352" i="29"/>
  <c r="CS352" i="29"/>
  <c r="CT352" i="29"/>
  <c r="CU352" i="29"/>
  <c r="CV352" i="29"/>
  <c r="CW352" i="29"/>
  <c r="CX352" i="29"/>
  <c r="CY352" i="29"/>
  <c r="CZ352" i="29"/>
  <c r="DA352" i="29"/>
  <c r="DB352" i="29"/>
  <c r="DC352" i="29"/>
  <c r="DD352" i="29"/>
  <c r="DE352" i="29"/>
  <c r="DF352" i="29"/>
  <c r="DG352" i="29"/>
  <c r="DH352" i="29"/>
  <c r="DI352" i="29"/>
  <c r="DJ352" i="29"/>
  <c r="DK352" i="29"/>
  <c r="DL352" i="29"/>
  <c r="DM352" i="29"/>
  <c r="DN352" i="29"/>
  <c r="DO352" i="29"/>
  <c r="DP352" i="29"/>
  <c r="DQ352" i="29"/>
  <c r="DR352" i="29"/>
  <c r="DS352" i="29"/>
  <c r="DT352" i="29"/>
  <c r="DU352" i="29"/>
  <c r="DV352" i="29"/>
  <c r="DW352" i="29"/>
  <c r="DX352" i="29"/>
  <c r="DY352" i="29"/>
  <c r="DZ352" i="29"/>
  <c r="EA352" i="29"/>
  <c r="EB352" i="29"/>
  <c r="EC352" i="29"/>
  <c r="ED352" i="29"/>
  <c r="EE352" i="29"/>
  <c r="EF352" i="29"/>
  <c r="EG352" i="29"/>
  <c r="EH352" i="29"/>
  <c r="EI352" i="29"/>
  <c r="EJ352" i="29"/>
  <c r="EK352" i="29"/>
  <c r="EL352" i="29"/>
  <c r="EM352" i="29"/>
  <c r="EN352" i="29"/>
  <c r="EO352" i="29"/>
  <c r="EP352" i="29"/>
  <c r="EQ352" i="29"/>
  <c r="ER352" i="29"/>
  <c r="ES352" i="29"/>
  <c r="ET352" i="29"/>
  <c r="EU352" i="29"/>
  <c r="EV352" i="29"/>
  <c r="EW352" i="29"/>
  <c r="EX352" i="29"/>
  <c r="EY352" i="29"/>
  <c r="EZ352" i="29"/>
  <c r="FA352" i="29"/>
  <c r="FB352" i="29"/>
  <c r="FC352" i="29"/>
  <c r="FD352" i="29"/>
  <c r="FE352" i="29"/>
  <c r="FF352" i="29"/>
  <c r="FG352" i="29"/>
  <c r="FH352" i="29"/>
  <c r="FI352" i="29"/>
  <c r="FJ352" i="29"/>
  <c r="FK352" i="29"/>
  <c r="FL352" i="29"/>
  <c r="FM352" i="29"/>
  <c r="FN352" i="29"/>
  <c r="FO352" i="29"/>
  <c r="FP352" i="29"/>
  <c r="FQ352" i="29"/>
  <c r="FR352" i="29"/>
  <c r="FS352" i="29"/>
  <c r="FT352" i="29"/>
  <c r="FU352" i="29"/>
  <c r="FV352" i="29"/>
  <c r="FW352" i="29"/>
  <c r="FX352" i="29"/>
  <c r="FY352" i="29"/>
  <c r="FZ352" i="29"/>
  <c r="GA352" i="29"/>
  <c r="GB352" i="29"/>
  <c r="GC352" i="29"/>
  <c r="GD352" i="29"/>
  <c r="GE352" i="29"/>
  <c r="GF352" i="29"/>
  <c r="GG352" i="29"/>
  <c r="GH352" i="29"/>
  <c r="GI352" i="29"/>
  <c r="GJ352" i="29"/>
  <c r="GK352" i="29"/>
  <c r="GL352" i="29"/>
  <c r="GM352" i="29"/>
  <c r="GN352" i="29"/>
  <c r="GO352" i="29"/>
  <c r="GP352" i="29"/>
  <c r="GQ352" i="29"/>
  <c r="GR352" i="29"/>
  <c r="GS352" i="29"/>
  <c r="GT352" i="29"/>
  <c r="GU352" i="29"/>
  <c r="GV352" i="29"/>
  <c r="GW352" i="29"/>
  <c r="GX352" i="29"/>
  <c r="GY352" i="29"/>
  <c r="GZ352" i="29"/>
  <c r="HA352" i="29"/>
  <c r="HB352" i="29"/>
  <c r="HC352" i="29"/>
  <c r="HD352" i="29"/>
  <c r="HE352" i="29"/>
  <c r="HF352" i="29"/>
  <c r="HG352" i="29"/>
  <c r="HH352" i="29"/>
  <c r="HI352" i="29"/>
  <c r="HJ352" i="29"/>
  <c r="HK352" i="29"/>
  <c r="HL352" i="29"/>
  <c r="HM352" i="29"/>
  <c r="HN352" i="29"/>
  <c r="HO352" i="29"/>
  <c r="HP352" i="29"/>
  <c r="HQ352" i="29"/>
  <c r="HR352" i="29"/>
  <c r="HS352" i="29"/>
  <c r="HT352" i="29"/>
  <c r="HU352" i="29"/>
  <c r="HV352" i="29"/>
  <c r="HW352" i="29"/>
  <c r="HX352" i="29"/>
  <c r="HY352" i="29"/>
  <c r="HZ352" i="29"/>
  <c r="IA352" i="29"/>
  <c r="IB352" i="29"/>
  <c r="IC352" i="29"/>
  <c r="ID352" i="29"/>
  <c r="IE352" i="29"/>
  <c r="IF352" i="29"/>
  <c r="IG352" i="29"/>
  <c r="IH352" i="29"/>
  <c r="II352" i="29"/>
  <c r="IJ352" i="29"/>
  <c r="IK352" i="29"/>
  <c r="IL352" i="29"/>
  <c r="IM352" i="29"/>
  <c r="IN352" i="29"/>
  <c r="IO352" i="29"/>
  <c r="IP352" i="29"/>
  <c r="IQ352" i="29"/>
  <c r="IR352" i="29"/>
  <c r="IS352" i="29"/>
  <c r="IT352" i="29"/>
  <c r="IU352" i="29"/>
  <c r="IV352" i="29"/>
  <c r="IW352" i="29"/>
  <c r="IX352" i="29"/>
  <c r="IY352" i="29"/>
  <c r="IZ352" i="29"/>
  <c r="JA352" i="29"/>
  <c r="JB352" i="29"/>
  <c r="JC352" i="29"/>
  <c r="JD352" i="29"/>
  <c r="JE352" i="29"/>
  <c r="JF352" i="29"/>
  <c r="JG352" i="29"/>
  <c r="JH352" i="29"/>
  <c r="JI352" i="29"/>
  <c r="JJ352" i="29"/>
  <c r="JK352" i="29"/>
  <c r="JL352" i="29"/>
  <c r="JM352" i="29"/>
  <c r="JN352" i="29"/>
  <c r="JO352" i="29"/>
  <c r="JP352" i="29"/>
  <c r="JQ352" i="29"/>
  <c r="JR352" i="29"/>
  <c r="JS352" i="29"/>
  <c r="JT352" i="29"/>
  <c r="JU352" i="29"/>
  <c r="JV352" i="29"/>
  <c r="JW352" i="29"/>
  <c r="JX352" i="29"/>
  <c r="JY352" i="29"/>
  <c r="JZ352" i="29"/>
  <c r="KA352" i="29"/>
  <c r="KB352" i="29"/>
  <c r="KC352" i="29"/>
  <c r="KD352" i="29"/>
  <c r="KE352" i="29"/>
  <c r="KF352" i="29"/>
  <c r="KG352" i="29"/>
  <c r="KH352" i="29"/>
  <c r="KI352" i="29"/>
  <c r="KJ352" i="29"/>
  <c r="KK352" i="29"/>
  <c r="KL352" i="29"/>
  <c r="KM352" i="29"/>
  <c r="KN352" i="29"/>
  <c r="KO352" i="29"/>
  <c r="KP352" i="29"/>
  <c r="KQ352" i="29"/>
  <c r="KR352" i="29"/>
  <c r="KS352" i="29"/>
  <c r="KT352" i="29"/>
  <c r="KU352" i="29"/>
  <c r="KV352" i="29"/>
  <c r="KW352" i="29"/>
  <c r="KX352" i="29"/>
  <c r="KY352" i="29"/>
  <c r="KZ352" i="29"/>
  <c r="LA352" i="29"/>
  <c r="LB352" i="29"/>
  <c r="LC352" i="29"/>
  <c r="LD352" i="29"/>
  <c r="LE352" i="29"/>
  <c r="LF352" i="29"/>
  <c r="LG352" i="29"/>
  <c r="LH352" i="29"/>
  <c r="LI352" i="29"/>
  <c r="LJ352" i="29"/>
  <c r="LK352" i="29"/>
  <c r="LL352" i="29"/>
  <c r="LM352" i="29"/>
  <c r="LN352" i="29"/>
  <c r="LO352" i="29"/>
  <c r="LP352" i="29"/>
  <c r="LQ352" i="29"/>
  <c r="LR352" i="29"/>
  <c r="LS352" i="29"/>
  <c r="LT352" i="29"/>
  <c r="LU352" i="29"/>
  <c r="LV352" i="29"/>
  <c r="LW352" i="29"/>
  <c r="LX352" i="29"/>
  <c r="LY352" i="29"/>
  <c r="LZ352" i="29"/>
  <c r="MA352" i="29"/>
  <c r="MB352" i="29"/>
  <c r="MC352" i="29"/>
  <c r="MD352" i="29"/>
  <c r="ME352" i="29"/>
  <c r="MF352" i="29"/>
  <c r="MG352" i="29"/>
  <c r="MH352" i="29"/>
  <c r="MI352" i="29"/>
  <c r="MJ352" i="29"/>
  <c r="MK352" i="29"/>
  <c r="ML352" i="29"/>
  <c r="MM352" i="29"/>
  <c r="MN352" i="29"/>
  <c r="MO352" i="29"/>
  <c r="MP352" i="29"/>
  <c r="MQ352" i="29"/>
  <c r="MR352" i="29"/>
  <c r="MS352" i="29"/>
  <c r="MT352" i="29"/>
  <c r="MU352" i="29"/>
  <c r="MV352" i="29"/>
  <c r="MW352" i="29"/>
  <c r="MX352" i="29"/>
  <c r="MY352" i="29"/>
  <c r="MZ352" i="29"/>
  <c r="NA352" i="29"/>
  <c r="NB352" i="29"/>
  <c r="NC352" i="29"/>
  <c r="ND352" i="29"/>
  <c r="NE352" i="29"/>
  <c r="NF352" i="29"/>
  <c r="NG352" i="29"/>
  <c r="NH352" i="29"/>
  <c r="NI352" i="29"/>
  <c r="NJ352" i="29"/>
  <c r="NK352" i="29"/>
  <c r="NL352" i="29"/>
  <c r="NM352" i="29"/>
  <c r="NN352" i="29"/>
  <c r="NO352" i="29"/>
  <c r="NP352" i="29"/>
  <c r="NQ352" i="29"/>
  <c r="NR352" i="29"/>
  <c r="NS352" i="29"/>
  <c r="NT352" i="29"/>
  <c r="NU352" i="29"/>
  <c r="NV352" i="29"/>
  <c r="NW352" i="29"/>
  <c r="NX352" i="29"/>
  <c r="NY352" i="29"/>
  <c r="NZ352" i="29"/>
  <c r="OA352" i="29"/>
  <c r="OB352" i="29"/>
  <c r="OC352" i="29"/>
  <c r="OD352" i="29"/>
  <c r="OE352" i="29"/>
  <c r="OF352" i="29"/>
  <c r="OG352" i="29"/>
  <c r="OH352" i="29"/>
  <c r="OI352" i="29"/>
  <c r="OJ352" i="29"/>
  <c r="OK352" i="29"/>
  <c r="OL352" i="29"/>
  <c r="OM352" i="29"/>
  <c r="ON352" i="29"/>
  <c r="OO352" i="29"/>
  <c r="OP352" i="29"/>
  <c r="OQ352" i="29"/>
  <c r="OR352" i="29"/>
  <c r="OS352" i="29"/>
  <c r="OT352" i="29"/>
  <c r="OU352" i="29"/>
  <c r="OV352" i="29"/>
  <c r="OW352" i="29"/>
  <c r="OX352" i="29"/>
  <c r="OY352" i="29"/>
  <c r="OZ352" i="29"/>
  <c r="PA352" i="29"/>
  <c r="PB352" i="29"/>
  <c r="PC352" i="29"/>
  <c r="PD352" i="29"/>
  <c r="PE352" i="29"/>
  <c r="PF352" i="29"/>
  <c r="PG352" i="29"/>
  <c r="PH352" i="29"/>
  <c r="PI352" i="29"/>
  <c r="PJ352" i="29"/>
  <c r="PK352" i="29"/>
  <c r="PL352" i="29"/>
  <c r="PM352" i="29"/>
  <c r="PN352" i="29"/>
  <c r="PO352" i="29"/>
  <c r="PP352" i="29"/>
  <c r="PQ352" i="29"/>
  <c r="PR352" i="29"/>
  <c r="PS352" i="29"/>
  <c r="PT352" i="29"/>
  <c r="PU352" i="29"/>
  <c r="PV352" i="29"/>
  <c r="PW352" i="29"/>
  <c r="PX352" i="29"/>
  <c r="PY352" i="29"/>
  <c r="PZ352" i="29"/>
  <c r="QA352" i="29"/>
  <c r="QB352" i="29"/>
  <c r="QC352" i="29"/>
  <c r="QD352" i="29"/>
  <c r="QE352" i="29"/>
  <c r="QF352" i="29"/>
  <c r="QG352" i="29"/>
  <c r="QH352" i="29"/>
  <c r="QI352" i="29"/>
  <c r="QJ352" i="29"/>
  <c r="QK352" i="29"/>
  <c r="QL352" i="29"/>
  <c r="QM352" i="29"/>
  <c r="QN352" i="29"/>
  <c r="QO352" i="29"/>
  <c r="QP352" i="29"/>
  <c r="QQ352" i="29"/>
  <c r="QR352" i="29"/>
  <c r="QS352" i="29"/>
  <c r="QT352" i="29"/>
  <c r="QU352" i="29"/>
  <c r="QV352" i="29"/>
  <c r="QW352" i="29"/>
  <c r="QX352" i="29"/>
  <c r="QY352" i="29"/>
  <c r="QZ352" i="29"/>
  <c r="RA352" i="29"/>
  <c r="RB352" i="29"/>
  <c r="RC352" i="29"/>
  <c r="RD352" i="29"/>
  <c r="RE352" i="29"/>
  <c r="RF352" i="29"/>
  <c r="RG352" i="29"/>
  <c r="RH352" i="29"/>
  <c r="RI352" i="29"/>
  <c r="RJ352" i="29"/>
  <c r="RK352" i="29"/>
  <c r="RL352" i="29"/>
  <c r="RM352" i="29"/>
  <c r="RN352" i="29"/>
  <c r="RO352" i="29"/>
  <c r="RP352" i="29"/>
  <c r="RQ352" i="29"/>
  <c r="RR352" i="29"/>
  <c r="RS352" i="29"/>
  <c r="RT352" i="29"/>
  <c r="RU352" i="29"/>
  <c r="RV352" i="29"/>
  <c r="RW352" i="29"/>
  <c r="RX352" i="29"/>
  <c r="RY352" i="29"/>
  <c r="RZ352" i="29"/>
  <c r="SA352" i="29"/>
  <c r="SB352" i="29"/>
  <c r="SC352" i="29"/>
  <c r="SD352" i="29"/>
  <c r="SE352" i="29"/>
  <c r="SF352" i="29"/>
  <c r="SG352" i="29"/>
  <c r="SH352" i="29"/>
  <c r="SI352" i="29"/>
  <c r="SJ352" i="29"/>
  <c r="SK352" i="29"/>
  <c r="SL352" i="29"/>
  <c r="SM352" i="29"/>
  <c r="SN352" i="29"/>
  <c r="SO352" i="29"/>
  <c r="SP352" i="29"/>
  <c r="SQ352" i="29"/>
  <c r="SR352" i="29"/>
  <c r="SS352" i="29"/>
  <c r="B353" i="29"/>
  <c r="C353" i="29"/>
  <c r="D353" i="29"/>
  <c r="E353" i="29"/>
  <c r="F353" i="29"/>
  <c r="G353" i="29"/>
  <c r="H353" i="29"/>
  <c r="I353" i="29"/>
  <c r="J353" i="29"/>
  <c r="K353" i="29"/>
  <c r="L353" i="29"/>
  <c r="M353" i="29"/>
  <c r="N353" i="29"/>
  <c r="O353" i="29"/>
  <c r="P353" i="29"/>
  <c r="Q353" i="29"/>
  <c r="R353" i="29"/>
  <c r="S353" i="29"/>
  <c r="T353" i="29"/>
  <c r="U353" i="29"/>
  <c r="V353" i="29"/>
  <c r="W353" i="29"/>
  <c r="X353" i="29"/>
  <c r="Y353" i="29"/>
  <c r="Z353" i="29"/>
  <c r="AA353" i="29"/>
  <c r="AB353" i="29"/>
  <c r="AC353" i="29"/>
  <c r="AD353" i="29"/>
  <c r="AE353" i="29"/>
  <c r="AF353" i="29"/>
  <c r="AG353" i="29"/>
  <c r="AH353" i="29"/>
  <c r="AI353" i="29"/>
  <c r="AJ353" i="29"/>
  <c r="AK353" i="29"/>
  <c r="AL353" i="29"/>
  <c r="AM353" i="29"/>
  <c r="AN353" i="29"/>
  <c r="AO353" i="29"/>
  <c r="AP353" i="29"/>
  <c r="AQ353" i="29"/>
  <c r="AR353" i="29"/>
  <c r="AS353" i="29"/>
  <c r="AT353" i="29"/>
  <c r="AU353" i="29"/>
  <c r="AV353" i="29"/>
  <c r="AW353" i="29"/>
  <c r="AX353" i="29"/>
  <c r="AY353" i="29"/>
  <c r="AZ353" i="29"/>
  <c r="BA353" i="29"/>
  <c r="BB353" i="29"/>
  <c r="BC353" i="29"/>
  <c r="BD353" i="29"/>
  <c r="BE353" i="29"/>
  <c r="BF353" i="29"/>
  <c r="BG353" i="29"/>
  <c r="BH353" i="29"/>
  <c r="BI353" i="29"/>
  <c r="BJ353" i="29"/>
  <c r="BK353" i="29"/>
  <c r="BL353" i="29"/>
  <c r="BM353" i="29"/>
  <c r="BN353" i="29"/>
  <c r="BO353" i="29"/>
  <c r="BP353" i="29"/>
  <c r="BQ353" i="29"/>
  <c r="BR353" i="29"/>
  <c r="BS353" i="29"/>
  <c r="BT353" i="29"/>
  <c r="BU353" i="29"/>
  <c r="BV353" i="29"/>
  <c r="BW353" i="29"/>
  <c r="BX353" i="29"/>
  <c r="BY353" i="29"/>
  <c r="BZ353" i="29"/>
  <c r="CA353" i="29"/>
  <c r="CB353" i="29"/>
  <c r="CC353" i="29"/>
  <c r="CD353" i="29"/>
  <c r="CE353" i="29"/>
  <c r="CF353" i="29"/>
  <c r="CG353" i="29"/>
  <c r="CH353" i="29"/>
  <c r="CI353" i="29"/>
  <c r="CJ353" i="29"/>
  <c r="CK353" i="29"/>
  <c r="CL353" i="29"/>
  <c r="CM353" i="29"/>
  <c r="CN353" i="29"/>
  <c r="CO353" i="29"/>
  <c r="CP353" i="29"/>
  <c r="CQ353" i="29"/>
  <c r="CR353" i="29"/>
  <c r="CS353" i="29"/>
  <c r="CT353" i="29"/>
  <c r="CU353" i="29"/>
  <c r="CV353" i="29"/>
  <c r="CW353" i="29"/>
  <c r="CX353" i="29"/>
  <c r="CY353" i="29"/>
  <c r="CZ353" i="29"/>
  <c r="DA353" i="29"/>
  <c r="DB353" i="29"/>
  <c r="DC353" i="29"/>
  <c r="DD353" i="29"/>
  <c r="DE353" i="29"/>
  <c r="DF353" i="29"/>
  <c r="DG353" i="29"/>
  <c r="DH353" i="29"/>
  <c r="DI353" i="29"/>
  <c r="DJ353" i="29"/>
  <c r="DK353" i="29"/>
  <c r="DL353" i="29"/>
  <c r="DM353" i="29"/>
  <c r="DN353" i="29"/>
  <c r="DO353" i="29"/>
  <c r="DP353" i="29"/>
  <c r="DQ353" i="29"/>
  <c r="DR353" i="29"/>
  <c r="DS353" i="29"/>
  <c r="DT353" i="29"/>
  <c r="DU353" i="29"/>
  <c r="DV353" i="29"/>
  <c r="DW353" i="29"/>
  <c r="DX353" i="29"/>
  <c r="DY353" i="29"/>
  <c r="DZ353" i="29"/>
  <c r="EA353" i="29"/>
  <c r="EB353" i="29"/>
  <c r="EC353" i="29"/>
  <c r="ED353" i="29"/>
  <c r="EE353" i="29"/>
  <c r="EF353" i="29"/>
  <c r="EG353" i="29"/>
  <c r="EH353" i="29"/>
  <c r="EI353" i="29"/>
  <c r="EJ353" i="29"/>
  <c r="EK353" i="29"/>
  <c r="EL353" i="29"/>
  <c r="EM353" i="29"/>
  <c r="EN353" i="29"/>
  <c r="EO353" i="29"/>
  <c r="EP353" i="29"/>
  <c r="EQ353" i="29"/>
  <c r="ER353" i="29"/>
  <c r="ES353" i="29"/>
  <c r="ET353" i="29"/>
  <c r="EU353" i="29"/>
  <c r="EV353" i="29"/>
  <c r="EW353" i="29"/>
  <c r="EX353" i="29"/>
  <c r="EY353" i="29"/>
  <c r="EZ353" i="29"/>
  <c r="FA353" i="29"/>
  <c r="FB353" i="29"/>
  <c r="FC353" i="29"/>
  <c r="FD353" i="29"/>
  <c r="FE353" i="29"/>
  <c r="FF353" i="29"/>
  <c r="FG353" i="29"/>
  <c r="FH353" i="29"/>
  <c r="FI353" i="29"/>
  <c r="FJ353" i="29"/>
  <c r="FK353" i="29"/>
  <c r="FL353" i="29"/>
  <c r="FM353" i="29"/>
  <c r="FN353" i="29"/>
  <c r="FO353" i="29"/>
  <c r="FP353" i="29"/>
  <c r="FQ353" i="29"/>
  <c r="FR353" i="29"/>
  <c r="FS353" i="29"/>
  <c r="FT353" i="29"/>
  <c r="FU353" i="29"/>
  <c r="FV353" i="29"/>
  <c r="FW353" i="29"/>
  <c r="FX353" i="29"/>
  <c r="FY353" i="29"/>
  <c r="FZ353" i="29"/>
  <c r="GA353" i="29"/>
  <c r="GB353" i="29"/>
  <c r="GC353" i="29"/>
  <c r="GD353" i="29"/>
  <c r="GE353" i="29"/>
  <c r="GF353" i="29"/>
  <c r="GG353" i="29"/>
  <c r="GH353" i="29"/>
  <c r="GI353" i="29"/>
  <c r="GJ353" i="29"/>
  <c r="GK353" i="29"/>
  <c r="GL353" i="29"/>
  <c r="GM353" i="29"/>
  <c r="GN353" i="29"/>
  <c r="GO353" i="29"/>
  <c r="GP353" i="29"/>
  <c r="GQ353" i="29"/>
  <c r="GR353" i="29"/>
  <c r="GS353" i="29"/>
  <c r="GT353" i="29"/>
  <c r="GU353" i="29"/>
  <c r="GV353" i="29"/>
  <c r="GW353" i="29"/>
  <c r="GX353" i="29"/>
  <c r="GY353" i="29"/>
  <c r="GZ353" i="29"/>
  <c r="HA353" i="29"/>
  <c r="HB353" i="29"/>
  <c r="HC353" i="29"/>
  <c r="HD353" i="29"/>
  <c r="HE353" i="29"/>
  <c r="HF353" i="29"/>
  <c r="HG353" i="29"/>
  <c r="HH353" i="29"/>
  <c r="HI353" i="29"/>
  <c r="HJ353" i="29"/>
  <c r="HK353" i="29"/>
  <c r="HL353" i="29"/>
  <c r="HM353" i="29"/>
  <c r="HN353" i="29"/>
  <c r="HO353" i="29"/>
  <c r="HP353" i="29"/>
  <c r="HQ353" i="29"/>
  <c r="HR353" i="29"/>
  <c r="HS353" i="29"/>
  <c r="HT353" i="29"/>
  <c r="HU353" i="29"/>
  <c r="HV353" i="29"/>
  <c r="HW353" i="29"/>
  <c r="HX353" i="29"/>
  <c r="HY353" i="29"/>
  <c r="HZ353" i="29"/>
  <c r="IA353" i="29"/>
  <c r="IB353" i="29"/>
  <c r="IC353" i="29"/>
  <c r="ID353" i="29"/>
  <c r="IE353" i="29"/>
  <c r="IF353" i="29"/>
  <c r="IG353" i="29"/>
  <c r="IH353" i="29"/>
  <c r="II353" i="29"/>
  <c r="IJ353" i="29"/>
  <c r="IK353" i="29"/>
  <c r="IL353" i="29"/>
  <c r="IM353" i="29"/>
  <c r="IN353" i="29"/>
  <c r="IO353" i="29"/>
  <c r="IP353" i="29"/>
  <c r="IQ353" i="29"/>
  <c r="IR353" i="29"/>
  <c r="IS353" i="29"/>
  <c r="IT353" i="29"/>
  <c r="IU353" i="29"/>
  <c r="IV353" i="29"/>
  <c r="IW353" i="29"/>
  <c r="IX353" i="29"/>
  <c r="IY353" i="29"/>
  <c r="IZ353" i="29"/>
  <c r="JA353" i="29"/>
  <c r="JB353" i="29"/>
  <c r="JC353" i="29"/>
  <c r="JD353" i="29"/>
  <c r="JE353" i="29"/>
  <c r="JF353" i="29"/>
  <c r="JG353" i="29"/>
  <c r="JH353" i="29"/>
  <c r="JI353" i="29"/>
  <c r="JJ353" i="29"/>
  <c r="JK353" i="29"/>
  <c r="JL353" i="29"/>
  <c r="JM353" i="29"/>
  <c r="JN353" i="29"/>
  <c r="JO353" i="29"/>
  <c r="JP353" i="29"/>
  <c r="JQ353" i="29"/>
  <c r="JR353" i="29"/>
  <c r="JS353" i="29"/>
  <c r="JT353" i="29"/>
  <c r="JU353" i="29"/>
  <c r="JV353" i="29"/>
  <c r="JW353" i="29"/>
  <c r="JX353" i="29"/>
  <c r="JY353" i="29"/>
  <c r="JZ353" i="29"/>
  <c r="KA353" i="29"/>
  <c r="KB353" i="29"/>
  <c r="KC353" i="29"/>
  <c r="KD353" i="29"/>
  <c r="KE353" i="29"/>
  <c r="KF353" i="29"/>
  <c r="KG353" i="29"/>
  <c r="KH353" i="29"/>
  <c r="KI353" i="29"/>
  <c r="KJ353" i="29"/>
  <c r="KK353" i="29"/>
  <c r="KL353" i="29"/>
  <c r="KM353" i="29"/>
  <c r="KN353" i="29"/>
  <c r="KO353" i="29"/>
  <c r="KP353" i="29"/>
  <c r="KQ353" i="29"/>
  <c r="KR353" i="29"/>
  <c r="KS353" i="29"/>
  <c r="KT353" i="29"/>
  <c r="KU353" i="29"/>
  <c r="KV353" i="29"/>
  <c r="KW353" i="29"/>
  <c r="KX353" i="29"/>
  <c r="KY353" i="29"/>
  <c r="KZ353" i="29"/>
  <c r="LA353" i="29"/>
  <c r="LB353" i="29"/>
  <c r="LC353" i="29"/>
  <c r="LD353" i="29"/>
  <c r="LE353" i="29"/>
  <c r="LF353" i="29"/>
  <c r="LG353" i="29"/>
  <c r="LH353" i="29"/>
  <c r="LI353" i="29"/>
  <c r="LJ353" i="29"/>
  <c r="LK353" i="29"/>
  <c r="LL353" i="29"/>
  <c r="LM353" i="29"/>
  <c r="LN353" i="29"/>
  <c r="LO353" i="29"/>
  <c r="LP353" i="29"/>
  <c r="LQ353" i="29"/>
  <c r="LR353" i="29"/>
  <c r="LS353" i="29"/>
  <c r="LT353" i="29"/>
  <c r="LU353" i="29"/>
  <c r="LV353" i="29"/>
  <c r="LW353" i="29"/>
  <c r="LX353" i="29"/>
  <c r="LY353" i="29"/>
  <c r="LZ353" i="29"/>
  <c r="MA353" i="29"/>
  <c r="MB353" i="29"/>
  <c r="MC353" i="29"/>
  <c r="MD353" i="29"/>
  <c r="ME353" i="29"/>
  <c r="MF353" i="29"/>
  <c r="MG353" i="29"/>
  <c r="MH353" i="29"/>
  <c r="MI353" i="29"/>
  <c r="MJ353" i="29"/>
  <c r="MK353" i="29"/>
  <c r="ML353" i="29"/>
  <c r="MM353" i="29"/>
  <c r="MN353" i="29"/>
  <c r="MO353" i="29"/>
  <c r="MP353" i="29"/>
  <c r="MQ353" i="29"/>
  <c r="MR353" i="29"/>
  <c r="MS353" i="29"/>
  <c r="MT353" i="29"/>
  <c r="MU353" i="29"/>
  <c r="MV353" i="29"/>
  <c r="MW353" i="29"/>
  <c r="MX353" i="29"/>
  <c r="MY353" i="29"/>
  <c r="MZ353" i="29"/>
  <c r="NA353" i="29"/>
  <c r="NB353" i="29"/>
  <c r="NC353" i="29"/>
  <c r="ND353" i="29"/>
  <c r="NE353" i="29"/>
  <c r="NF353" i="29"/>
  <c r="NG353" i="29"/>
  <c r="NH353" i="29"/>
  <c r="NI353" i="29"/>
  <c r="NJ353" i="29"/>
  <c r="NK353" i="29"/>
  <c r="NL353" i="29"/>
  <c r="NM353" i="29"/>
  <c r="NN353" i="29"/>
  <c r="NO353" i="29"/>
  <c r="NP353" i="29"/>
  <c r="NQ353" i="29"/>
  <c r="NR353" i="29"/>
  <c r="NS353" i="29"/>
  <c r="NT353" i="29"/>
  <c r="NU353" i="29"/>
  <c r="NV353" i="29"/>
  <c r="NW353" i="29"/>
  <c r="NX353" i="29"/>
  <c r="NY353" i="29"/>
  <c r="NZ353" i="29"/>
  <c r="OA353" i="29"/>
  <c r="OB353" i="29"/>
  <c r="OC353" i="29"/>
  <c r="OD353" i="29"/>
  <c r="OE353" i="29"/>
  <c r="OF353" i="29"/>
  <c r="OG353" i="29"/>
  <c r="OH353" i="29"/>
  <c r="OI353" i="29"/>
  <c r="OJ353" i="29"/>
  <c r="OK353" i="29"/>
  <c r="OL353" i="29"/>
  <c r="OM353" i="29"/>
  <c r="ON353" i="29"/>
  <c r="OO353" i="29"/>
  <c r="OP353" i="29"/>
  <c r="OQ353" i="29"/>
  <c r="OR353" i="29"/>
  <c r="OS353" i="29"/>
  <c r="OT353" i="29"/>
  <c r="OU353" i="29"/>
  <c r="OV353" i="29"/>
  <c r="OW353" i="29"/>
  <c r="OX353" i="29"/>
  <c r="OY353" i="29"/>
  <c r="OZ353" i="29"/>
  <c r="PA353" i="29"/>
  <c r="PB353" i="29"/>
  <c r="PC353" i="29"/>
  <c r="PD353" i="29"/>
  <c r="PE353" i="29"/>
  <c r="PF353" i="29"/>
  <c r="PG353" i="29"/>
  <c r="PH353" i="29"/>
  <c r="PI353" i="29"/>
  <c r="PJ353" i="29"/>
  <c r="PK353" i="29"/>
  <c r="PL353" i="29"/>
  <c r="PM353" i="29"/>
  <c r="PN353" i="29"/>
  <c r="PO353" i="29"/>
  <c r="PP353" i="29"/>
  <c r="PQ353" i="29"/>
  <c r="PR353" i="29"/>
  <c r="PS353" i="29"/>
  <c r="PT353" i="29"/>
  <c r="PU353" i="29"/>
  <c r="PV353" i="29"/>
  <c r="PW353" i="29"/>
  <c r="PX353" i="29"/>
  <c r="PY353" i="29"/>
  <c r="PZ353" i="29"/>
  <c r="QA353" i="29"/>
  <c r="QB353" i="29"/>
  <c r="QC353" i="29"/>
  <c r="QD353" i="29"/>
  <c r="QE353" i="29"/>
  <c r="QF353" i="29"/>
  <c r="QG353" i="29"/>
  <c r="QH353" i="29"/>
  <c r="QI353" i="29"/>
  <c r="QJ353" i="29"/>
  <c r="QK353" i="29"/>
  <c r="QL353" i="29"/>
  <c r="QM353" i="29"/>
  <c r="QN353" i="29"/>
  <c r="QO353" i="29"/>
  <c r="QP353" i="29"/>
  <c r="QQ353" i="29"/>
  <c r="QR353" i="29"/>
  <c r="QS353" i="29"/>
  <c r="QT353" i="29"/>
  <c r="QU353" i="29"/>
  <c r="QV353" i="29"/>
  <c r="QW353" i="29"/>
  <c r="QX353" i="29"/>
  <c r="QY353" i="29"/>
  <c r="QZ353" i="29"/>
  <c r="RA353" i="29"/>
  <c r="RB353" i="29"/>
  <c r="RC353" i="29"/>
  <c r="RD353" i="29"/>
  <c r="RE353" i="29"/>
  <c r="RF353" i="29"/>
  <c r="RG353" i="29"/>
  <c r="RH353" i="29"/>
  <c r="RI353" i="29"/>
  <c r="RJ353" i="29"/>
  <c r="RK353" i="29"/>
  <c r="RL353" i="29"/>
  <c r="RM353" i="29"/>
  <c r="RN353" i="29"/>
  <c r="RO353" i="29"/>
  <c r="RP353" i="29"/>
  <c r="RQ353" i="29"/>
  <c r="RR353" i="29"/>
  <c r="RS353" i="29"/>
  <c r="RT353" i="29"/>
  <c r="RU353" i="29"/>
  <c r="RV353" i="29"/>
  <c r="RW353" i="29"/>
  <c r="RX353" i="29"/>
  <c r="RY353" i="29"/>
  <c r="RZ353" i="29"/>
  <c r="SA353" i="29"/>
  <c r="SB353" i="29"/>
  <c r="SC353" i="29"/>
  <c r="SD353" i="29"/>
  <c r="SE353" i="29"/>
  <c r="SF353" i="29"/>
  <c r="SG353" i="29"/>
  <c r="SH353" i="29"/>
  <c r="SI353" i="29"/>
  <c r="SJ353" i="29"/>
  <c r="SK353" i="29"/>
  <c r="SL353" i="29"/>
  <c r="SM353" i="29"/>
  <c r="SN353" i="29"/>
  <c r="SO353" i="29"/>
  <c r="SP353" i="29"/>
  <c r="SQ353" i="29"/>
  <c r="SR353" i="29"/>
  <c r="SS353" i="29"/>
  <c r="B354" i="29"/>
  <c r="C354" i="29"/>
  <c r="D354" i="29"/>
  <c r="E354" i="29"/>
  <c r="F354" i="29"/>
  <c r="G354" i="29"/>
  <c r="H354" i="29"/>
  <c r="I354" i="29"/>
  <c r="J354" i="29"/>
  <c r="K354" i="29"/>
  <c r="L354" i="29"/>
  <c r="M354" i="29"/>
  <c r="N354" i="29"/>
  <c r="O354" i="29"/>
  <c r="P354" i="29"/>
  <c r="Q354" i="29"/>
  <c r="R354" i="29"/>
  <c r="S354" i="29"/>
  <c r="T354" i="29"/>
  <c r="U354" i="29"/>
  <c r="V354" i="29"/>
  <c r="W354" i="29"/>
  <c r="X354" i="29"/>
  <c r="Y354" i="29"/>
  <c r="Z354" i="29"/>
  <c r="AA354" i="29"/>
  <c r="AB354" i="29"/>
  <c r="AC354" i="29"/>
  <c r="AD354" i="29"/>
  <c r="AE354" i="29"/>
  <c r="AF354" i="29"/>
  <c r="AG354" i="29"/>
  <c r="AH354" i="29"/>
  <c r="AI354" i="29"/>
  <c r="AJ354" i="29"/>
  <c r="AK354" i="29"/>
  <c r="AL354" i="29"/>
  <c r="AM354" i="29"/>
  <c r="AN354" i="29"/>
  <c r="AO354" i="29"/>
  <c r="AP354" i="29"/>
  <c r="AQ354" i="29"/>
  <c r="AR354" i="29"/>
  <c r="AS354" i="29"/>
  <c r="AT354" i="29"/>
  <c r="AU354" i="29"/>
  <c r="AV354" i="29"/>
  <c r="AW354" i="29"/>
  <c r="AX354" i="29"/>
  <c r="AY354" i="29"/>
  <c r="AZ354" i="29"/>
  <c r="BA354" i="29"/>
  <c r="BB354" i="29"/>
  <c r="BC354" i="29"/>
  <c r="BD354" i="29"/>
  <c r="BE354" i="29"/>
  <c r="BF354" i="29"/>
  <c r="BG354" i="29"/>
  <c r="BH354" i="29"/>
  <c r="BI354" i="29"/>
  <c r="BJ354" i="29"/>
  <c r="BK354" i="29"/>
  <c r="BL354" i="29"/>
  <c r="BM354" i="29"/>
  <c r="BN354" i="29"/>
  <c r="BO354" i="29"/>
  <c r="BP354" i="29"/>
  <c r="BQ354" i="29"/>
  <c r="BR354" i="29"/>
  <c r="BS354" i="29"/>
  <c r="BT354" i="29"/>
  <c r="BU354" i="29"/>
  <c r="BV354" i="29"/>
  <c r="BW354" i="29"/>
  <c r="BX354" i="29"/>
  <c r="BY354" i="29"/>
  <c r="BZ354" i="29"/>
  <c r="CA354" i="29"/>
  <c r="CB354" i="29"/>
  <c r="CC354" i="29"/>
  <c r="CD354" i="29"/>
  <c r="CE354" i="29"/>
  <c r="CF354" i="29"/>
  <c r="CG354" i="29"/>
  <c r="CH354" i="29"/>
  <c r="CI354" i="29"/>
  <c r="CJ354" i="29"/>
  <c r="CK354" i="29"/>
  <c r="CL354" i="29"/>
  <c r="CM354" i="29"/>
  <c r="CN354" i="29"/>
  <c r="CO354" i="29"/>
  <c r="CP354" i="29"/>
  <c r="CQ354" i="29"/>
  <c r="CR354" i="29"/>
  <c r="CS354" i="29"/>
  <c r="CT354" i="29"/>
  <c r="CU354" i="29"/>
  <c r="CV354" i="29"/>
  <c r="CW354" i="29"/>
  <c r="CX354" i="29"/>
  <c r="CY354" i="29"/>
  <c r="CZ354" i="29"/>
  <c r="DA354" i="29"/>
  <c r="DB354" i="29"/>
  <c r="DC354" i="29"/>
  <c r="DD354" i="29"/>
  <c r="DE354" i="29"/>
  <c r="DF354" i="29"/>
  <c r="DG354" i="29"/>
  <c r="DH354" i="29"/>
  <c r="DI354" i="29"/>
  <c r="DJ354" i="29"/>
  <c r="DK354" i="29"/>
  <c r="DL354" i="29"/>
  <c r="DM354" i="29"/>
  <c r="DN354" i="29"/>
  <c r="DO354" i="29"/>
  <c r="DP354" i="29"/>
  <c r="DQ354" i="29"/>
  <c r="DR354" i="29"/>
  <c r="DS354" i="29"/>
  <c r="DT354" i="29"/>
  <c r="DU354" i="29"/>
  <c r="DV354" i="29"/>
  <c r="DW354" i="29"/>
  <c r="DX354" i="29"/>
  <c r="DY354" i="29"/>
  <c r="DZ354" i="29"/>
  <c r="EA354" i="29"/>
  <c r="EB354" i="29"/>
  <c r="EC354" i="29"/>
  <c r="ED354" i="29"/>
  <c r="EE354" i="29"/>
  <c r="EF354" i="29"/>
  <c r="EG354" i="29"/>
  <c r="EH354" i="29"/>
  <c r="EI354" i="29"/>
  <c r="EJ354" i="29"/>
  <c r="EK354" i="29"/>
  <c r="EL354" i="29"/>
  <c r="EM354" i="29"/>
  <c r="EN354" i="29"/>
  <c r="EO354" i="29"/>
  <c r="EP354" i="29"/>
  <c r="EQ354" i="29"/>
  <c r="ER354" i="29"/>
  <c r="ES354" i="29"/>
  <c r="ET354" i="29"/>
  <c r="EU354" i="29"/>
  <c r="EV354" i="29"/>
  <c r="EW354" i="29"/>
  <c r="EX354" i="29"/>
  <c r="EY354" i="29"/>
  <c r="EZ354" i="29"/>
  <c r="FA354" i="29"/>
  <c r="FB354" i="29"/>
  <c r="FC354" i="29"/>
  <c r="FD354" i="29"/>
  <c r="FE354" i="29"/>
  <c r="FF354" i="29"/>
  <c r="FG354" i="29"/>
  <c r="FH354" i="29"/>
  <c r="FI354" i="29"/>
  <c r="FJ354" i="29"/>
  <c r="FK354" i="29"/>
  <c r="FL354" i="29"/>
  <c r="FM354" i="29"/>
  <c r="FN354" i="29"/>
  <c r="FO354" i="29"/>
  <c r="FP354" i="29"/>
  <c r="FQ354" i="29"/>
  <c r="FR354" i="29"/>
  <c r="FS354" i="29"/>
  <c r="FT354" i="29"/>
  <c r="FU354" i="29"/>
  <c r="FV354" i="29"/>
  <c r="FW354" i="29"/>
  <c r="FX354" i="29"/>
  <c r="FY354" i="29"/>
  <c r="FZ354" i="29"/>
  <c r="GA354" i="29"/>
  <c r="GB354" i="29"/>
  <c r="GC354" i="29"/>
  <c r="GD354" i="29"/>
  <c r="GE354" i="29"/>
  <c r="GF354" i="29"/>
  <c r="GG354" i="29"/>
  <c r="GH354" i="29"/>
  <c r="GI354" i="29"/>
  <c r="GJ354" i="29"/>
  <c r="GK354" i="29"/>
  <c r="GL354" i="29"/>
  <c r="GM354" i="29"/>
  <c r="GN354" i="29"/>
  <c r="GO354" i="29"/>
  <c r="GP354" i="29"/>
  <c r="GQ354" i="29"/>
  <c r="GR354" i="29"/>
  <c r="GS354" i="29"/>
  <c r="GT354" i="29"/>
  <c r="GU354" i="29"/>
  <c r="GV354" i="29"/>
  <c r="GW354" i="29"/>
  <c r="GX354" i="29"/>
  <c r="GY354" i="29"/>
  <c r="GZ354" i="29"/>
  <c r="HA354" i="29"/>
  <c r="HB354" i="29"/>
  <c r="HC354" i="29"/>
  <c r="HD354" i="29"/>
  <c r="HE354" i="29"/>
  <c r="HF354" i="29"/>
  <c r="HG354" i="29"/>
  <c r="HH354" i="29"/>
  <c r="HI354" i="29"/>
  <c r="HJ354" i="29"/>
  <c r="HK354" i="29"/>
  <c r="HL354" i="29"/>
  <c r="HM354" i="29"/>
  <c r="HN354" i="29"/>
  <c r="HO354" i="29"/>
  <c r="HP354" i="29"/>
  <c r="HQ354" i="29"/>
  <c r="HR354" i="29"/>
  <c r="HS354" i="29"/>
  <c r="HT354" i="29"/>
  <c r="HU354" i="29"/>
  <c r="HV354" i="29"/>
  <c r="HW354" i="29"/>
  <c r="HX354" i="29"/>
  <c r="HY354" i="29"/>
  <c r="HZ354" i="29"/>
  <c r="IA354" i="29"/>
  <c r="IB354" i="29"/>
  <c r="IC354" i="29"/>
  <c r="ID354" i="29"/>
  <c r="IE354" i="29"/>
  <c r="IF354" i="29"/>
  <c r="IG354" i="29"/>
  <c r="IH354" i="29"/>
  <c r="II354" i="29"/>
  <c r="IJ354" i="29"/>
  <c r="IK354" i="29"/>
  <c r="IL354" i="29"/>
  <c r="IM354" i="29"/>
  <c r="IN354" i="29"/>
  <c r="IO354" i="29"/>
  <c r="IP354" i="29"/>
  <c r="IQ354" i="29"/>
  <c r="IR354" i="29"/>
  <c r="IS354" i="29"/>
  <c r="IT354" i="29"/>
  <c r="IU354" i="29"/>
  <c r="IV354" i="29"/>
  <c r="IW354" i="29"/>
  <c r="IX354" i="29"/>
  <c r="IY354" i="29"/>
  <c r="IZ354" i="29"/>
  <c r="JA354" i="29"/>
  <c r="JB354" i="29"/>
  <c r="JC354" i="29"/>
  <c r="JD354" i="29"/>
  <c r="JE354" i="29"/>
  <c r="JF354" i="29"/>
  <c r="JG354" i="29"/>
  <c r="JH354" i="29"/>
  <c r="JI354" i="29"/>
  <c r="JJ354" i="29"/>
  <c r="JK354" i="29"/>
  <c r="JL354" i="29"/>
  <c r="JM354" i="29"/>
  <c r="JN354" i="29"/>
  <c r="JO354" i="29"/>
  <c r="JP354" i="29"/>
  <c r="JQ354" i="29"/>
  <c r="JR354" i="29"/>
  <c r="JS354" i="29"/>
  <c r="JT354" i="29"/>
  <c r="JU354" i="29"/>
  <c r="JV354" i="29"/>
  <c r="JW354" i="29"/>
  <c r="JX354" i="29"/>
  <c r="JY354" i="29"/>
  <c r="JZ354" i="29"/>
  <c r="KA354" i="29"/>
  <c r="KB354" i="29"/>
  <c r="KC354" i="29"/>
  <c r="KD354" i="29"/>
  <c r="KE354" i="29"/>
  <c r="KF354" i="29"/>
  <c r="KG354" i="29"/>
  <c r="KH354" i="29"/>
  <c r="KI354" i="29"/>
  <c r="KJ354" i="29"/>
  <c r="KK354" i="29"/>
  <c r="KL354" i="29"/>
  <c r="KM354" i="29"/>
  <c r="KN354" i="29"/>
  <c r="KO354" i="29"/>
  <c r="KP354" i="29"/>
  <c r="KQ354" i="29"/>
  <c r="KR354" i="29"/>
  <c r="KS354" i="29"/>
  <c r="KT354" i="29"/>
  <c r="KU354" i="29"/>
  <c r="KV354" i="29"/>
  <c r="KW354" i="29"/>
  <c r="KX354" i="29"/>
  <c r="KY354" i="29"/>
  <c r="KZ354" i="29"/>
  <c r="LA354" i="29"/>
  <c r="LB354" i="29"/>
  <c r="LC354" i="29"/>
  <c r="LD354" i="29"/>
  <c r="LE354" i="29"/>
  <c r="LF354" i="29"/>
  <c r="LG354" i="29"/>
  <c r="LH354" i="29"/>
  <c r="LI354" i="29"/>
  <c r="LJ354" i="29"/>
  <c r="LK354" i="29"/>
  <c r="LL354" i="29"/>
  <c r="LM354" i="29"/>
  <c r="LN354" i="29"/>
  <c r="LO354" i="29"/>
  <c r="LP354" i="29"/>
  <c r="LQ354" i="29"/>
  <c r="LR354" i="29"/>
  <c r="LS354" i="29"/>
  <c r="LT354" i="29"/>
  <c r="LU354" i="29"/>
  <c r="LV354" i="29"/>
  <c r="LW354" i="29"/>
  <c r="LX354" i="29"/>
  <c r="LY354" i="29"/>
  <c r="LZ354" i="29"/>
  <c r="MA354" i="29"/>
  <c r="MB354" i="29"/>
  <c r="MC354" i="29"/>
  <c r="MD354" i="29"/>
  <c r="ME354" i="29"/>
  <c r="MF354" i="29"/>
  <c r="MG354" i="29"/>
  <c r="MH354" i="29"/>
  <c r="MI354" i="29"/>
  <c r="MJ354" i="29"/>
  <c r="MK354" i="29"/>
  <c r="ML354" i="29"/>
  <c r="MM354" i="29"/>
  <c r="MN354" i="29"/>
  <c r="MO354" i="29"/>
  <c r="MP354" i="29"/>
  <c r="MQ354" i="29"/>
  <c r="MR354" i="29"/>
  <c r="MS354" i="29"/>
  <c r="MT354" i="29"/>
  <c r="MU354" i="29"/>
  <c r="MV354" i="29"/>
  <c r="MW354" i="29"/>
  <c r="MX354" i="29"/>
  <c r="MY354" i="29"/>
  <c r="MZ354" i="29"/>
  <c r="NA354" i="29"/>
  <c r="NB354" i="29"/>
  <c r="NC354" i="29"/>
  <c r="ND354" i="29"/>
  <c r="NE354" i="29"/>
  <c r="NF354" i="29"/>
  <c r="NG354" i="29"/>
  <c r="NH354" i="29"/>
  <c r="NI354" i="29"/>
  <c r="NJ354" i="29"/>
  <c r="NK354" i="29"/>
  <c r="NL354" i="29"/>
  <c r="NM354" i="29"/>
  <c r="NN354" i="29"/>
  <c r="NO354" i="29"/>
  <c r="NP354" i="29"/>
  <c r="NQ354" i="29"/>
  <c r="NR354" i="29"/>
  <c r="NS354" i="29"/>
  <c r="NT354" i="29"/>
  <c r="NU354" i="29"/>
  <c r="NV354" i="29"/>
  <c r="NW354" i="29"/>
  <c r="NX354" i="29"/>
  <c r="NY354" i="29"/>
  <c r="NZ354" i="29"/>
  <c r="OA354" i="29"/>
  <c r="OB354" i="29"/>
  <c r="OC354" i="29"/>
  <c r="OD354" i="29"/>
  <c r="OE354" i="29"/>
  <c r="OF354" i="29"/>
  <c r="OG354" i="29"/>
  <c r="OH354" i="29"/>
  <c r="OI354" i="29"/>
  <c r="OJ354" i="29"/>
  <c r="OK354" i="29"/>
  <c r="OL354" i="29"/>
  <c r="OM354" i="29"/>
  <c r="ON354" i="29"/>
  <c r="OO354" i="29"/>
  <c r="OP354" i="29"/>
  <c r="OQ354" i="29"/>
  <c r="OR354" i="29"/>
  <c r="OS354" i="29"/>
  <c r="OT354" i="29"/>
  <c r="OU354" i="29"/>
  <c r="OV354" i="29"/>
  <c r="OW354" i="29"/>
  <c r="OX354" i="29"/>
  <c r="OY354" i="29"/>
  <c r="OZ354" i="29"/>
  <c r="PA354" i="29"/>
  <c r="PB354" i="29"/>
  <c r="PC354" i="29"/>
  <c r="PD354" i="29"/>
  <c r="PE354" i="29"/>
  <c r="PF354" i="29"/>
  <c r="PG354" i="29"/>
  <c r="PH354" i="29"/>
  <c r="PI354" i="29"/>
  <c r="PJ354" i="29"/>
  <c r="PK354" i="29"/>
  <c r="PL354" i="29"/>
  <c r="PM354" i="29"/>
  <c r="PN354" i="29"/>
  <c r="PO354" i="29"/>
  <c r="PP354" i="29"/>
  <c r="PQ354" i="29"/>
  <c r="PR354" i="29"/>
  <c r="PS354" i="29"/>
  <c r="PT354" i="29"/>
  <c r="PU354" i="29"/>
  <c r="PV354" i="29"/>
  <c r="PW354" i="29"/>
  <c r="PX354" i="29"/>
  <c r="PY354" i="29"/>
  <c r="PZ354" i="29"/>
  <c r="QA354" i="29"/>
  <c r="QB354" i="29"/>
  <c r="QC354" i="29"/>
  <c r="QD354" i="29"/>
  <c r="QE354" i="29"/>
  <c r="QF354" i="29"/>
  <c r="QG354" i="29"/>
  <c r="QH354" i="29"/>
  <c r="QI354" i="29"/>
  <c r="QJ354" i="29"/>
  <c r="QK354" i="29"/>
  <c r="QL354" i="29"/>
  <c r="QM354" i="29"/>
  <c r="QN354" i="29"/>
  <c r="QO354" i="29"/>
  <c r="QP354" i="29"/>
  <c r="QQ354" i="29"/>
  <c r="QR354" i="29"/>
  <c r="QS354" i="29"/>
  <c r="QT354" i="29"/>
  <c r="QU354" i="29"/>
  <c r="QV354" i="29"/>
  <c r="QW354" i="29"/>
  <c r="QX354" i="29"/>
  <c r="QY354" i="29"/>
  <c r="QZ354" i="29"/>
  <c r="RA354" i="29"/>
  <c r="RB354" i="29"/>
  <c r="RC354" i="29"/>
  <c r="RD354" i="29"/>
  <c r="RE354" i="29"/>
  <c r="RF354" i="29"/>
  <c r="RG354" i="29"/>
  <c r="RH354" i="29"/>
  <c r="RI354" i="29"/>
  <c r="RJ354" i="29"/>
  <c r="RK354" i="29"/>
  <c r="RL354" i="29"/>
  <c r="RM354" i="29"/>
  <c r="RN354" i="29"/>
  <c r="RO354" i="29"/>
  <c r="RP354" i="29"/>
  <c r="RQ354" i="29"/>
  <c r="RR354" i="29"/>
  <c r="RS354" i="29"/>
  <c r="RT354" i="29"/>
  <c r="RU354" i="29"/>
  <c r="RV354" i="29"/>
  <c r="RW354" i="29"/>
  <c r="RX354" i="29"/>
  <c r="RY354" i="29"/>
  <c r="RZ354" i="29"/>
  <c r="SA354" i="29"/>
  <c r="SB354" i="29"/>
  <c r="SC354" i="29"/>
  <c r="SD354" i="29"/>
  <c r="SE354" i="29"/>
  <c r="SF354" i="29"/>
  <c r="SG354" i="29"/>
  <c r="SH354" i="29"/>
  <c r="SI354" i="29"/>
  <c r="SJ354" i="29"/>
  <c r="SK354" i="29"/>
  <c r="SL354" i="29"/>
  <c r="SM354" i="29"/>
  <c r="SN354" i="29"/>
  <c r="SO354" i="29"/>
  <c r="SP354" i="29"/>
  <c r="SQ354" i="29"/>
  <c r="SR354" i="29"/>
  <c r="SS354" i="29"/>
  <c r="B355" i="29"/>
  <c r="C355" i="29"/>
  <c r="D355" i="29"/>
  <c r="E355" i="29"/>
  <c r="F355" i="29"/>
  <c r="G355" i="29"/>
  <c r="H355" i="29"/>
  <c r="I355" i="29"/>
  <c r="J355" i="29"/>
  <c r="K355" i="29"/>
  <c r="L355" i="29"/>
  <c r="M355" i="29"/>
  <c r="N355" i="29"/>
  <c r="O355" i="29"/>
  <c r="P355" i="29"/>
  <c r="Q355" i="29"/>
  <c r="R355" i="29"/>
  <c r="S355" i="29"/>
  <c r="T355" i="29"/>
  <c r="U355" i="29"/>
  <c r="V355" i="29"/>
  <c r="W355" i="29"/>
  <c r="X355" i="29"/>
  <c r="Y355" i="29"/>
  <c r="Z355" i="29"/>
  <c r="AA355" i="29"/>
  <c r="AB355" i="29"/>
  <c r="AC355" i="29"/>
  <c r="AD355" i="29"/>
  <c r="AE355" i="29"/>
  <c r="AF355" i="29"/>
  <c r="AG355" i="29"/>
  <c r="AH355" i="29"/>
  <c r="AI355" i="29"/>
  <c r="AJ355" i="29"/>
  <c r="AK355" i="29"/>
  <c r="AL355" i="29"/>
  <c r="AM355" i="29"/>
  <c r="AN355" i="29"/>
  <c r="AO355" i="29"/>
  <c r="AP355" i="29"/>
  <c r="AQ355" i="29"/>
  <c r="AR355" i="29"/>
  <c r="AS355" i="29"/>
  <c r="AT355" i="29"/>
  <c r="AU355" i="29"/>
  <c r="AV355" i="29"/>
  <c r="AW355" i="29"/>
  <c r="AX355" i="29"/>
  <c r="AY355" i="29"/>
  <c r="AZ355" i="29"/>
  <c r="BA355" i="29"/>
  <c r="BB355" i="29"/>
  <c r="BC355" i="29"/>
  <c r="BD355" i="29"/>
  <c r="BE355" i="29"/>
  <c r="BF355" i="29"/>
  <c r="BG355" i="29"/>
  <c r="BH355" i="29"/>
  <c r="BI355" i="29"/>
  <c r="BJ355" i="29"/>
  <c r="BK355" i="29"/>
  <c r="BL355" i="29"/>
  <c r="BM355" i="29"/>
  <c r="BN355" i="29"/>
  <c r="BO355" i="29"/>
  <c r="BP355" i="29"/>
  <c r="BQ355" i="29"/>
  <c r="BR355" i="29"/>
  <c r="BS355" i="29"/>
  <c r="BT355" i="29"/>
  <c r="BU355" i="29"/>
  <c r="BV355" i="29"/>
  <c r="BW355" i="29"/>
  <c r="BX355" i="29"/>
  <c r="BY355" i="29"/>
  <c r="BZ355" i="29"/>
  <c r="CA355" i="29"/>
  <c r="CB355" i="29"/>
  <c r="CC355" i="29"/>
  <c r="CD355" i="29"/>
  <c r="CE355" i="29"/>
  <c r="CF355" i="29"/>
  <c r="CG355" i="29"/>
  <c r="CH355" i="29"/>
  <c r="CI355" i="29"/>
  <c r="CJ355" i="29"/>
  <c r="CK355" i="29"/>
  <c r="CL355" i="29"/>
  <c r="CM355" i="29"/>
  <c r="CN355" i="29"/>
  <c r="CO355" i="29"/>
  <c r="CP355" i="29"/>
  <c r="CQ355" i="29"/>
  <c r="CR355" i="29"/>
  <c r="CS355" i="29"/>
  <c r="CT355" i="29"/>
  <c r="CU355" i="29"/>
  <c r="CV355" i="29"/>
  <c r="CW355" i="29"/>
  <c r="CX355" i="29"/>
  <c r="CY355" i="29"/>
  <c r="CZ355" i="29"/>
  <c r="DA355" i="29"/>
  <c r="DB355" i="29"/>
  <c r="DC355" i="29"/>
  <c r="DD355" i="29"/>
  <c r="DE355" i="29"/>
  <c r="DF355" i="29"/>
  <c r="DG355" i="29"/>
  <c r="DH355" i="29"/>
  <c r="DI355" i="29"/>
  <c r="DJ355" i="29"/>
  <c r="DK355" i="29"/>
  <c r="DL355" i="29"/>
  <c r="DM355" i="29"/>
  <c r="DN355" i="29"/>
  <c r="DO355" i="29"/>
  <c r="DP355" i="29"/>
  <c r="DQ355" i="29"/>
  <c r="DR355" i="29"/>
  <c r="DS355" i="29"/>
  <c r="DT355" i="29"/>
  <c r="DU355" i="29"/>
  <c r="DV355" i="29"/>
  <c r="DW355" i="29"/>
  <c r="DX355" i="29"/>
  <c r="DY355" i="29"/>
  <c r="DZ355" i="29"/>
  <c r="EA355" i="29"/>
  <c r="EB355" i="29"/>
  <c r="EC355" i="29"/>
  <c r="ED355" i="29"/>
  <c r="EE355" i="29"/>
  <c r="EF355" i="29"/>
  <c r="EG355" i="29"/>
  <c r="EH355" i="29"/>
  <c r="EI355" i="29"/>
  <c r="EJ355" i="29"/>
  <c r="EK355" i="29"/>
  <c r="EL355" i="29"/>
  <c r="EM355" i="29"/>
  <c r="EN355" i="29"/>
  <c r="EO355" i="29"/>
  <c r="EP355" i="29"/>
  <c r="EQ355" i="29"/>
  <c r="ER355" i="29"/>
  <c r="ES355" i="29"/>
  <c r="ET355" i="29"/>
  <c r="EU355" i="29"/>
  <c r="EV355" i="29"/>
  <c r="EW355" i="29"/>
  <c r="EX355" i="29"/>
  <c r="EY355" i="29"/>
  <c r="EZ355" i="29"/>
  <c r="FA355" i="29"/>
  <c r="FB355" i="29"/>
  <c r="FC355" i="29"/>
  <c r="FD355" i="29"/>
  <c r="FE355" i="29"/>
  <c r="FF355" i="29"/>
  <c r="FG355" i="29"/>
  <c r="FH355" i="29"/>
  <c r="FI355" i="29"/>
  <c r="FJ355" i="29"/>
  <c r="FK355" i="29"/>
  <c r="FL355" i="29"/>
  <c r="FM355" i="29"/>
  <c r="FN355" i="29"/>
  <c r="FO355" i="29"/>
  <c r="FP355" i="29"/>
  <c r="FQ355" i="29"/>
  <c r="FR355" i="29"/>
  <c r="FS355" i="29"/>
  <c r="FT355" i="29"/>
  <c r="FU355" i="29"/>
  <c r="FV355" i="29"/>
  <c r="FW355" i="29"/>
  <c r="FX355" i="29"/>
  <c r="FY355" i="29"/>
  <c r="FZ355" i="29"/>
  <c r="GA355" i="29"/>
  <c r="GB355" i="29"/>
  <c r="GC355" i="29"/>
  <c r="GD355" i="29"/>
  <c r="GE355" i="29"/>
  <c r="GF355" i="29"/>
  <c r="GG355" i="29"/>
  <c r="GH355" i="29"/>
  <c r="GI355" i="29"/>
  <c r="GJ355" i="29"/>
  <c r="GK355" i="29"/>
  <c r="GL355" i="29"/>
  <c r="GM355" i="29"/>
  <c r="GN355" i="29"/>
  <c r="GO355" i="29"/>
  <c r="GP355" i="29"/>
  <c r="GQ355" i="29"/>
  <c r="GR355" i="29"/>
  <c r="GS355" i="29"/>
  <c r="GT355" i="29"/>
  <c r="GU355" i="29"/>
  <c r="GV355" i="29"/>
  <c r="GW355" i="29"/>
  <c r="GX355" i="29"/>
  <c r="GY355" i="29"/>
  <c r="GZ355" i="29"/>
  <c r="HA355" i="29"/>
  <c r="HB355" i="29"/>
  <c r="HC355" i="29"/>
  <c r="HD355" i="29"/>
  <c r="HE355" i="29"/>
  <c r="HF355" i="29"/>
  <c r="HG355" i="29"/>
  <c r="HH355" i="29"/>
  <c r="HI355" i="29"/>
  <c r="HJ355" i="29"/>
  <c r="HK355" i="29"/>
  <c r="HL355" i="29"/>
  <c r="HM355" i="29"/>
  <c r="HN355" i="29"/>
  <c r="HO355" i="29"/>
  <c r="HP355" i="29"/>
  <c r="HQ355" i="29"/>
  <c r="HR355" i="29"/>
  <c r="HS355" i="29"/>
  <c r="HT355" i="29"/>
  <c r="HU355" i="29"/>
  <c r="HV355" i="29"/>
  <c r="HW355" i="29"/>
  <c r="HX355" i="29"/>
  <c r="HY355" i="29"/>
  <c r="HZ355" i="29"/>
  <c r="IA355" i="29"/>
  <c r="IB355" i="29"/>
  <c r="IC355" i="29"/>
  <c r="ID355" i="29"/>
  <c r="IE355" i="29"/>
  <c r="IF355" i="29"/>
  <c r="IG355" i="29"/>
  <c r="IH355" i="29"/>
  <c r="II355" i="29"/>
  <c r="IJ355" i="29"/>
  <c r="IK355" i="29"/>
  <c r="IL355" i="29"/>
  <c r="IM355" i="29"/>
  <c r="IN355" i="29"/>
  <c r="IO355" i="29"/>
  <c r="IP355" i="29"/>
  <c r="IQ355" i="29"/>
  <c r="IR355" i="29"/>
  <c r="IS355" i="29"/>
  <c r="IT355" i="29"/>
  <c r="IU355" i="29"/>
  <c r="IV355" i="29"/>
  <c r="IW355" i="29"/>
  <c r="IX355" i="29"/>
  <c r="IY355" i="29"/>
  <c r="IZ355" i="29"/>
  <c r="JA355" i="29"/>
  <c r="JB355" i="29"/>
  <c r="JC355" i="29"/>
  <c r="JD355" i="29"/>
  <c r="JE355" i="29"/>
  <c r="JF355" i="29"/>
  <c r="JG355" i="29"/>
  <c r="JH355" i="29"/>
  <c r="JI355" i="29"/>
  <c r="JJ355" i="29"/>
  <c r="JK355" i="29"/>
  <c r="JL355" i="29"/>
  <c r="JM355" i="29"/>
  <c r="JN355" i="29"/>
  <c r="JO355" i="29"/>
  <c r="JP355" i="29"/>
  <c r="JQ355" i="29"/>
  <c r="JR355" i="29"/>
  <c r="JS355" i="29"/>
  <c r="JT355" i="29"/>
  <c r="JU355" i="29"/>
  <c r="JV355" i="29"/>
  <c r="JW355" i="29"/>
  <c r="JX355" i="29"/>
  <c r="JY355" i="29"/>
  <c r="JZ355" i="29"/>
  <c r="KA355" i="29"/>
  <c r="KB355" i="29"/>
  <c r="KC355" i="29"/>
  <c r="KD355" i="29"/>
  <c r="KE355" i="29"/>
  <c r="KF355" i="29"/>
  <c r="KG355" i="29"/>
  <c r="KH355" i="29"/>
  <c r="KI355" i="29"/>
  <c r="KJ355" i="29"/>
  <c r="KK355" i="29"/>
  <c r="KL355" i="29"/>
  <c r="KM355" i="29"/>
  <c r="KN355" i="29"/>
  <c r="KO355" i="29"/>
  <c r="KP355" i="29"/>
  <c r="KQ355" i="29"/>
  <c r="KR355" i="29"/>
  <c r="KS355" i="29"/>
  <c r="KT355" i="29"/>
  <c r="KU355" i="29"/>
  <c r="KV355" i="29"/>
  <c r="KW355" i="29"/>
  <c r="KX355" i="29"/>
  <c r="KY355" i="29"/>
  <c r="KZ355" i="29"/>
  <c r="LA355" i="29"/>
  <c r="LB355" i="29"/>
  <c r="LC355" i="29"/>
  <c r="LD355" i="29"/>
  <c r="LE355" i="29"/>
  <c r="LF355" i="29"/>
  <c r="LG355" i="29"/>
  <c r="LH355" i="29"/>
  <c r="LI355" i="29"/>
  <c r="LJ355" i="29"/>
  <c r="LK355" i="29"/>
  <c r="LL355" i="29"/>
  <c r="LM355" i="29"/>
  <c r="LN355" i="29"/>
  <c r="LO355" i="29"/>
  <c r="LP355" i="29"/>
  <c r="LQ355" i="29"/>
  <c r="LR355" i="29"/>
  <c r="LS355" i="29"/>
  <c r="LT355" i="29"/>
  <c r="LU355" i="29"/>
  <c r="LV355" i="29"/>
  <c r="LW355" i="29"/>
  <c r="LX355" i="29"/>
  <c r="LY355" i="29"/>
  <c r="LZ355" i="29"/>
  <c r="MA355" i="29"/>
  <c r="MB355" i="29"/>
  <c r="MC355" i="29"/>
  <c r="MD355" i="29"/>
  <c r="ME355" i="29"/>
  <c r="MF355" i="29"/>
  <c r="MG355" i="29"/>
  <c r="MH355" i="29"/>
  <c r="MI355" i="29"/>
  <c r="MJ355" i="29"/>
  <c r="MK355" i="29"/>
  <c r="ML355" i="29"/>
  <c r="MM355" i="29"/>
  <c r="MN355" i="29"/>
  <c r="MO355" i="29"/>
  <c r="MP355" i="29"/>
  <c r="MQ355" i="29"/>
  <c r="MR355" i="29"/>
  <c r="MS355" i="29"/>
  <c r="MT355" i="29"/>
  <c r="MU355" i="29"/>
  <c r="MV355" i="29"/>
  <c r="MW355" i="29"/>
  <c r="MX355" i="29"/>
  <c r="MY355" i="29"/>
  <c r="MZ355" i="29"/>
  <c r="NA355" i="29"/>
  <c r="NB355" i="29"/>
  <c r="NC355" i="29"/>
  <c r="ND355" i="29"/>
  <c r="NE355" i="29"/>
  <c r="NF355" i="29"/>
  <c r="NG355" i="29"/>
  <c r="NH355" i="29"/>
  <c r="NI355" i="29"/>
  <c r="NJ355" i="29"/>
  <c r="NK355" i="29"/>
  <c r="NL355" i="29"/>
  <c r="NM355" i="29"/>
  <c r="NN355" i="29"/>
  <c r="NO355" i="29"/>
  <c r="NP355" i="29"/>
  <c r="NQ355" i="29"/>
  <c r="NR355" i="29"/>
  <c r="NS355" i="29"/>
  <c r="NT355" i="29"/>
  <c r="NU355" i="29"/>
  <c r="NV355" i="29"/>
  <c r="NW355" i="29"/>
  <c r="NX355" i="29"/>
  <c r="NY355" i="29"/>
  <c r="NZ355" i="29"/>
  <c r="OA355" i="29"/>
  <c r="OB355" i="29"/>
  <c r="OC355" i="29"/>
  <c r="OD355" i="29"/>
  <c r="OE355" i="29"/>
  <c r="OF355" i="29"/>
  <c r="OG355" i="29"/>
  <c r="OH355" i="29"/>
  <c r="OI355" i="29"/>
  <c r="OJ355" i="29"/>
  <c r="OK355" i="29"/>
  <c r="OL355" i="29"/>
  <c r="OM355" i="29"/>
  <c r="ON355" i="29"/>
  <c r="OO355" i="29"/>
  <c r="OP355" i="29"/>
  <c r="OQ355" i="29"/>
  <c r="OR355" i="29"/>
  <c r="OS355" i="29"/>
  <c r="OT355" i="29"/>
  <c r="OU355" i="29"/>
  <c r="OV355" i="29"/>
  <c r="OW355" i="29"/>
  <c r="OX355" i="29"/>
  <c r="OY355" i="29"/>
  <c r="OZ355" i="29"/>
  <c r="PA355" i="29"/>
  <c r="PB355" i="29"/>
  <c r="PC355" i="29"/>
  <c r="PD355" i="29"/>
  <c r="PE355" i="29"/>
  <c r="PF355" i="29"/>
  <c r="PG355" i="29"/>
  <c r="PH355" i="29"/>
  <c r="PI355" i="29"/>
  <c r="PJ355" i="29"/>
  <c r="PK355" i="29"/>
  <c r="PL355" i="29"/>
  <c r="PM355" i="29"/>
  <c r="PN355" i="29"/>
  <c r="PO355" i="29"/>
  <c r="PP355" i="29"/>
  <c r="PQ355" i="29"/>
  <c r="PR355" i="29"/>
  <c r="PS355" i="29"/>
  <c r="PT355" i="29"/>
  <c r="PU355" i="29"/>
  <c r="PV355" i="29"/>
  <c r="PW355" i="29"/>
  <c r="PX355" i="29"/>
  <c r="PY355" i="29"/>
  <c r="PZ355" i="29"/>
  <c r="QA355" i="29"/>
  <c r="QB355" i="29"/>
  <c r="QC355" i="29"/>
  <c r="QD355" i="29"/>
  <c r="QE355" i="29"/>
  <c r="QF355" i="29"/>
  <c r="QG355" i="29"/>
  <c r="QH355" i="29"/>
  <c r="QI355" i="29"/>
  <c r="QJ355" i="29"/>
  <c r="QK355" i="29"/>
  <c r="QL355" i="29"/>
  <c r="QM355" i="29"/>
  <c r="QN355" i="29"/>
  <c r="QO355" i="29"/>
  <c r="QP355" i="29"/>
  <c r="QQ355" i="29"/>
  <c r="QR355" i="29"/>
  <c r="QS355" i="29"/>
  <c r="QT355" i="29"/>
  <c r="QU355" i="29"/>
  <c r="QV355" i="29"/>
  <c r="QW355" i="29"/>
  <c r="QX355" i="29"/>
  <c r="QY355" i="29"/>
  <c r="QZ355" i="29"/>
  <c r="RA355" i="29"/>
  <c r="RB355" i="29"/>
  <c r="RC355" i="29"/>
  <c r="RD355" i="29"/>
  <c r="RE355" i="29"/>
  <c r="RF355" i="29"/>
  <c r="RG355" i="29"/>
  <c r="RH355" i="29"/>
  <c r="RI355" i="29"/>
  <c r="RJ355" i="29"/>
  <c r="RK355" i="29"/>
  <c r="RL355" i="29"/>
  <c r="RM355" i="29"/>
  <c r="RN355" i="29"/>
  <c r="RO355" i="29"/>
  <c r="RP355" i="29"/>
  <c r="RQ355" i="29"/>
  <c r="RR355" i="29"/>
  <c r="RS355" i="29"/>
  <c r="RT355" i="29"/>
  <c r="RU355" i="29"/>
  <c r="RV355" i="29"/>
  <c r="RW355" i="29"/>
  <c r="RX355" i="29"/>
  <c r="RY355" i="29"/>
  <c r="RZ355" i="29"/>
  <c r="SA355" i="29"/>
  <c r="SB355" i="29"/>
  <c r="SC355" i="29"/>
  <c r="SD355" i="29"/>
  <c r="SE355" i="29"/>
  <c r="SF355" i="29"/>
  <c r="SG355" i="29"/>
  <c r="SH355" i="29"/>
  <c r="SI355" i="29"/>
  <c r="SJ355" i="29"/>
  <c r="SK355" i="29"/>
  <c r="SL355" i="29"/>
  <c r="SM355" i="29"/>
  <c r="SN355" i="29"/>
  <c r="SO355" i="29"/>
  <c r="SP355" i="29"/>
  <c r="SQ355" i="29"/>
  <c r="SR355" i="29"/>
  <c r="SS355" i="29"/>
  <c r="B356" i="29"/>
  <c r="C356" i="29"/>
  <c r="D356" i="29"/>
  <c r="E356" i="29"/>
  <c r="F356" i="29"/>
  <c r="G356" i="29"/>
  <c r="H356" i="29"/>
  <c r="I356" i="29"/>
  <c r="J356" i="29"/>
  <c r="K356" i="29"/>
  <c r="L356" i="29"/>
  <c r="M356" i="29"/>
  <c r="N356" i="29"/>
  <c r="O356" i="29"/>
  <c r="P356" i="29"/>
  <c r="Q356" i="29"/>
  <c r="R356" i="29"/>
  <c r="S356" i="29"/>
  <c r="T356" i="29"/>
  <c r="U356" i="29"/>
  <c r="V356" i="29"/>
  <c r="W356" i="29"/>
  <c r="X356" i="29"/>
  <c r="Y356" i="29"/>
  <c r="Z356" i="29"/>
  <c r="AA356" i="29"/>
  <c r="AB356" i="29"/>
  <c r="AC356" i="29"/>
  <c r="AD356" i="29"/>
  <c r="AE356" i="29"/>
  <c r="AF356" i="29"/>
  <c r="AG356" i="29"/>
  <c r="AH356" i="29"/>
  <c r="AI356" i="29"/>
  <c r="AJ356" i="29"/>
  <c r="AK356" i="29"/>
  <c r="AL356" i="29"/>
  <c r="AM356" i="29"/>
  <c r="AN356" i="29"/>
  <c r="AO356" i="29"/>
  <c r="AP356" i="29"/>
  <c r="AQ356" i="29"/>
  <c r="AR356" i="29"/>
  <c r="AS356" i="29"/>
  <c r="AT356" i="29"/>
  <c r="AU356" i="29"/>
  <c r="AV356" i="29"/>
  <c r="AW356" i="29"/>
  <c r="AX356" i="29"/>
  <c r="AY356" i="29"/>
  <c r="AZ356" i="29"/>
  <c r="BA356" i="29"/>
  <c r="BB356" i="29"/>
  <c r="BC356" i="29"/>
  <c r="BD356" i="29"/>
  <c r="BE356" i="29"/>
  <c r="BF356" i="29"/>
  <c r="BG356" i="29"/>
  <c r="BH356" i="29"/>
  <c r="BI356" i="29"/>
  <c r="BJ356" i="29"/>
  <c r="BK356" i="29"/>
  <c r="BL356" i="29"/>
  <c r="BM356" i="29"/>
  <c r="BN356" i="29"/>
  <c r="BO356" i="29"/>
  <c r="BP356" i="29"/>
  <c r="BQ356" i="29"/>
  <c r="BR356" i="29"/>
  <c r="BS356" i="29"/>
  <c r="BT356" i="29"/>
  <c r="BU356" i="29"/>
  <c r="BV356" i="29"/>
  <c r="BW356" i="29"/>
  <c r="BX356" i="29"/>
  <c r="BY356" i="29"/>
  <c r="BZ356" i="29"/>
  <c r="CA356" i="29"/>
  <c r="CB356" i="29"/>
  <c r="CC356" i="29"/>
  <c r="CD356" i="29"/>
  <c r="CE356" i="29"/>
  <c r="CF356" i="29"/>
  <c r="CG356" i="29"/>
  <c r="CH356" i="29"/>
  <c r="CI356" i="29"/>
  <c r="CJ356" i="29"/>
  <c r="CK356" i="29"/>
  <c r="CL356" i="29"/>
  <c r="CM356" i="29"/>
  <c r="CN356" i="29"/>
  <c r="CO356" i="29"/>
  <c r="CP356" i="29"/>
  <c r="CQ356" i="29"/>
  <c r="CR356" i="29"/>
  <c r="CS356" i="29"/>
  <c r="CT356" i="29"/>
  <c r="CU356" i="29"/>
  <c r="CV356" i="29"/>
  <c r="CW356" i="29"/>
  <c r="CX356" i="29"/>
  <c r="CY356" i="29"/>
  <c r="CZ356" i="29"/>
  <c r="DA356" i="29"/>
  <c r="DB356" i="29"/>
  <c r="DC356" i="29"/>
  <c r="DD356" i="29"/>
  <c r="DE356" i="29"/>
  <c r="DF356" i="29"/>
  <c r="DG356" i="29"/>
  <c r="DH356" i="29"/>
  <c r="DI356" i="29"/>
  <c r="DJ356" i="29"/>
  <c r="DK356" i="29"/>
  <c r="DL356" i="29"/>
  <c r="DM356" i="29"/>
  <c r="DN356" i="29"/>
  <c r="DO356" i="29"/>
  <c r="DP356" i="29"/>
  <c r="DQ356" i="29"/>
  <c r="DR356" i="29"/>
  <c r="DS356" i="29"/>
  <c r="DT356" i="29"/>
  <c r="DU356" i="29"/>
  <c r="DV356" i="29"/>
  <c r="DW356" i="29"/>
  <c r="DX356" i="29"/>
  <c r="DY356" i="29"/>
  <c r="DZ356" i="29"/>
  <c r="EA356" i="29"/>
  <c r="EB356" i="29"/>
  <c r="EC356" i="29"/>
  <c r="ED356" i="29"/>
  <c r="EE356" i="29"/>
  <c r="EF356" i="29"/>
  <c r="EG356" i="29"/>
  <c r="EH356" i="29"/>
  <c r="EI356" i="29"/>
  <c r="EJ356" i="29"/>
  <c r="EK356" i="29"/>
  <c r="EL356" i="29"/>
  <c r="EM356" i="29"/>
  <c r="EN356" i="29"/>
  <c r="EO356" i="29"/>
  <c r="EP356" i="29"/>
  <c r="EQ356" i="29"/>
  <c r="ER356" i="29"/>
  <c r="ES356" i="29"/>
  <c r="ET356" i="29"/>
  <c r="EU356" i="29"/>
  <c r="EV356" i="29"/>
  <c r="EW356" i="29"/>
  <c r="EX356" i="29"/>
  <c r="EY356" i="29"/>
  <c r="EZ356" i="29"/>
  <c r="FA356" i="29"/>
  <c r="FB356" i="29"/>
  <c r="FC356" i="29"/>
  <c r="FD356" i="29"/>
  <c r="FE356" i="29"/>
  <c r="FF356" i="29"/>
  <c r="FG356" i="29"/>
  <c r="FH356" i="29"/>
  <c r="FI356" i="29"/>
  <c r="FJ356" i="29"/>
  <c r="FK356" i="29"/>
  <c r="FL356" i="29"/>
  <c r="FM356" i="29"/>
  <c r="FN356" i="29"/>
  <c r="FO356" i="29"/>
  <c r="FP356" i="29"/>
  <c r="FQ356" i="29"/>
  <c r="FR356" i="29"/>
  <c r="FS356" i="29"/>
  <c r="FT356" i="29"/>
  <c r="FU356" i="29"/>
  <c r="FV356" i="29"/>
  <c r="FW356" i="29"/>
  <c r="FX356" i="29"/>
  <c r="FY356" i="29"/>
  <c r="FZ356" i="29"/>
  <c r="GA356" i="29"/>
  <c r="GB356" i="29"/>
  <c r="GC356" i="29"/>
  <c r="GD356" i="29"/>
  <c r="GE356" i="29"/>
  <c r="GF356" i="29"/>
  <c r="GG356" i="29"/>
  <c r="GH356" i="29"/>
  <c r="GI356" i="29"/>
  <c r="GJ356" i="29"/>
  <c r="GK356" i="29"/>
  <c r="GL356" i="29"/>
  <c r="GM356" i="29"/>
  <c r="GN356" i="29"/>
  <c r="GO356" i="29"/>
  <c r="GP356" i="29"/>
  <c r="GQ356" i="29"/>
  <c r="GR356" i="29"/>
  <c r="GS356" i="29"/>
  <c r="GT356" i="29"/>
  <c r="GU356" i="29"/>
  <c r="GV356" i="29"/>
  <c r="GW356" i="29"/>
  <c r="GX356" i="29"/>
  <c r="GY356" i="29"/>
  <c r="GZ356" i="29"/>
  <c r="HA356" i="29"/>
  <c r="HB356" i="29"/>
  <c r="HC356" i="29"/>
  <c r="HD356" i="29"/>
  <c r="HE356" i="29"/>
  <c r="HF356" i="29"/>
  <c r="HG356" i="29"/>
  <c r="HH356" i="29"/>
  <c r="HI356" i="29"/>
  <c r="HJ356" i="29"/>
  <c r="HK356" i="29"/>
  <c r="HL356" i="29"/>
  <c r="HM356" i="29"/>
  <c r="HN356" i="29"/>
  <c r="HO356" i="29"/>
  <c r="HP356" i="29"/>
  <c r="HQ356" i="29"/>
  <c r="HR356" i="29"/>
  <c r="HS356" i="29"/>
  <c r="HT356" i="29"/>
  <c r="HU356" i="29"/>
  <c r="HV356" i="29"/>
  <c r="HW356" i="29"/>
  <c r="HX356" i="29"/>
  <c r="HY356" i="29"/>
  <c r="HZ356" i="29"/>
  <c r="IA356" i="29"/>
  <c r="IB356" i="29"/>
  <c r="IC356" i="29"/>
  <c r="ID356" i="29"/>
  <c r="IE356" i="29"/>
  <c r="IF356" i="29"/>
  <c r="IG356" i="29"/>
  <c r="IH356" i="29"/>
  <c r="II356" i="29"/>
  <c r="IJ356" i="29"/>
  <c r="IK356" i="29"/>
  <c r="IL356" i="29"/>
  <c r="IM356" i="29"/>
  <c r="IN356" i="29"/>
  <c r="IO356" i="29"/>
  <c r="IP356" i="29"/>
  <c r="IQ356" i="29"/>
  <c r="IR356" i="29"/>
  <c r="IS356" i="29"/>
  <c r="IT356" i="29"/>
  <c r="IU356" i="29"/>
  <c r="IV356" i="29"/>
  <c r="IW356" i="29"/>
  <c r="IX356" i="29"/>
  <c r="IY356" i="29"/>
  <c r="IZ356" i="29"/>
  <c r="JA356" i="29"/>
  <c r="JB356" i="29"/>
  <c r="JC356" i="29"/>
  <c r="JD356" i="29"/>
  <c r="JE356" i="29"/>
  <c r="JF356" i="29"/>
  <c r="JG356" i="29"/>
  <c r="JH356" i="29"/>
  <c r="JI356" i="29"/>
  <c r="JJ356" i="29"/>
  <c r="JK356" i="29"/>
  <c r="JL356" i="29"/>
  <c r="JM356" i="29"/>
  <c r="JN356" i="29"/>
  <c r="JO356" i="29"/>
  <c r="JP356" i="29"/>
  <c r="JQ356" i="29"/>
  <c r="JR356" i="29"/>
  <c r="JS356" i="29"/>
  <c r="JT356" i="29"/>
  <c r="JU356" i="29"/>
  <c r="JV356" i="29"/>
  <c r="JW356" i="29"/>
  <c r="JX356" i="29"/>
  <c r="JY356" i="29"/>
  <c r="JZ356" i="29"/>
  <c r="KA356" i="29"/>
  <c r="KB356" i="29"/>
  <c r="KC356" i="29"/>
  <c r="KD356" i="29"/>
  <c r="KE356" i="29"/>
  <c r="KF356" i="29"/>
  <c r="KG356" i="29"/>
  <c r="KH356" i="29"/>
  <c r="KI356" i="29"/>
  <c r="KJ356" i="29"/>
  <c r="KK356" i="29"/>
  <c r="KL356" i="29"/>
  <c r="KM356" i="29"/>
  <c r="KN356" i="29"/>
  <c r="KO356" i="29"/>
  <c r="KP356" i="29"/>
  <c r="KQ356" i="29"/>
  <c r="KR356" i="29"/>
  <c r="KS356" i="29"/>
  <c r="KT356" i="29"/>
  <c r="KU356" i="29"/>
  <c r="KV356" i="29"/>
  <c r="KW356" i="29"/>
  <c r="KX356" i="29"/>
  <c r="KY356" i="29"/>
  <c r="KZ356" i="29"/>
  <c r="LA356" i="29"/>
  <c r="LB356" i="29"/>
  <c r="LC356" i="29"/>
  <c r="LD356" i="29"/>
  <c r="LE356" i="29"/>
  <c r="LF356" i="29"/>
  <c r="LG356" i="29"/>
  <c r="LH356" i="29"/>
  <c r="LI356" i="29"/>
  <c r="LJ356" i="29"/>
  <c r="LK356" i="29"/>
  <c r="LL356" i="29"/>
  <c r="LM356" i="29"/>
  <c r="LN356" i="29"/>
  <c r="LO356" i="29"/>
  <c r="LP356" i="29"/>
  <c r="LQ356" i="29"/>
  <c r="LR356" i="29"/>
  <c r="LS356" i="29"/>
  <c r="LT356" i="29"/>
  <c r="LU356" i="29"/>
  <c r="LV356" i="29"/>
  <c r="LW356" i="29"/>
  <c r="LX356" i="29"/>
  <c r="LY356" i="29"/>
  <c r="LZ356" i="29"/>
  <c r="MA356" i="29"/>
  <c r="MB356" i="29"/>
  <c r="MC356" i="29"/>
  <c r="MD356" i="29"/>
  <c r="ME356" i="29"/>
  <c r="MF356" i="29"/>
  <c r="MG356" i="29"/>
  <c r="MH356" i="29"/>
  <c r="MI356" i="29"/>
  <c r="MJ356" i="29"/>
  <c r="MK356" i="29"/>
  <c r="ML356" i="29"/>
  <c r="MM356" i="29"/>
  <c r="MN356" i="29"/>
  <c r="MO356" i="29"/>
  <c r="MP356" i="29"/>
  <c r="MQ356" i="29"/>
  <c r="MR356" i="29"/>
  <c r="MS356" i="29"/>
  <c r="MT356" i="29"/>
  <c r="MU356" i="29"/>
  <c r="MV356" i="29"/>
  <c r="MW356" i="29"/>
  <c r="MX356" i="29"/>
  <c r="MY356" i="29"/>
  <c r="MZ356" i="29"/>
  <c r="NA356" i="29"/>
  <c r="NB356" i="29"/>
  <c r="NC356" i="29"/>
  <c r="ND356" i="29"/>
  <c r="NE356" i="29"/>
  <c r="NF356" i="29"/>
  <c r="NG356" i="29"/>
  <c r="NH356" i="29"/>
  <c r="NI356" i="29"/>
  <c r="NJ356" i="29"/>
  <c r="NK356" i="29"/>
  <c r="NL356" i="29"/>
  <c r="NM356" i="29"/>
  <c r="NN356" i="29"/>
  <c r="NO356" i="29"/>
  <c r="NP356" i="29"/>
  <c r="NQ356" i="29"/>
  <c r="NR356" i="29"/>
  <c r="NS356" i="29"/>
  <c r="NT356" i="29"/>
  <c r="NU356" i="29"/>
  <c r="NV356" i="29"/>
  <c r="NW356" i="29"/>
  <c r="NX356" i="29"/>
  <c r="NY356" i="29"/>
  <c r="NZ356" i="29"/>
  <c r="OA356" i="29"/>
  <c r="OB356" i="29"/>
  <c r="OC356" i="29"/>
  <c r="OD356" i="29"/>
  <c r="OE356" i="29"/>
  <c r="OF356" i="29"/>
  <c r="OG356" i="29"/>
  <c r="OH356" i="29"/>
  <c r="OI356" i="29"/>
  <c r="OJ356" i="29"/>
  <c r="OK356" i="29"/>
  <c r="OL356" i="29"/>
  <c r="OM356" i="29"/>
  <c r="ON356" i="29"/>
  <c r="OO356" i="29"/>
  <c r="OP356" i="29"/>
  <c r="OQ356" i="29"/>
  <c r="OR356" i="29"/>
  <c r="OS356" i="29"/>
  <c r="OT356" i="29"/>
  <c r="OU356" i="29"/>
  <c r="OV356" i="29"/>
  <c r="OW356" i="29"/>
  <c r="OX356" i="29"/>
  <c r="OY356" i="29"/>
  <c r="OZ356" i="29"/>
  <c r="PA356" i="29"/>
  <c r="PB356" i="29"/>
  <c r="PC356" i="29"/>
  <c r="PD356" i="29"/>
  <c r="PE356" i="29"/>
  <c r="PF356" i="29"/>
  <c r="PG356" i="29"/>
  <c r="PH356" i="29"/>
  <c r="PI356" i="29"/>
  <c r="PJ356" i="29"/>
  <c r="PK356" i="29"/>
  <c r="PL356" i="29"/>
  <c r="PM356" i="29"/>
  <c r="PN356" i="29"/>
  <c r="PO356" i="29"/>
  <c r="PP356" i="29"/>
  <c r="PQ356" i="29"/>
  <c r="PR356" i="29"/>
  <c r="PS356" i="29"/>
  <c r="PT356" i="29"/>
  <c r="PU356" i="29"/>
  <c r="PV356" i="29"/>
  <c r="PW356" i="29"/>
  <c r="PX356" i="29"/>
  <c r="PY356" i="29"/>
  <c r="PZ356" i="29"/>
  <c r="QA356" i="29"/>
  <c r="QB356" i="29"/>
  <c r="QC356" i="29"/>
  <c r="QD356" i="29"/>
  <c r="QE356" i="29"/>
  <c r="QF356" i="29"/>
  <c r="QG356" i="29"/>
  <c r="QH356" i="29"/>
  <c r="QI356" i="29"/>
  <c r="QJ356" i="29"/>
  <c r="QK356" i="29"/>
  <c r="QL356" i="29"/>
  <c r="QM356" i="29"/>
  <c r="QN356" i="29"/>
  <c r="QO356" i="29"/>
  <c r="QP356" i="29"/>
  <c r="QQ356" i="29"/>
  <c r="QR356" i="29"/>
  <c r="QS356" i="29"/>
  <c r="QT356" i="29"/>
  <c r="QU356" i="29"/>
  <c r="QV356" i="29"/>
  <c r="QW356" i="29"/>
  <c r="QX356" i="29"/>
  <c r="QY356" i="29"/>
  <c r="QZ356" i="29"/>
  <c r="RA356" i="29"/>
  <c r="RB356" i="29"/>
  <c r="RC356" i="29"/>
  <c r="RD356" i="29"/>
  <c r="RE356" i="29"/>
  <c r="RF356" i="29"/>
  <c r="RG356" i="29"/>
  <c r="RH356" i="29"/>
  <c r="RI356" i="29"/>
  <c r="RJ356" i="29"/>
  <c r="RK356" i="29"/>
  <c r="RL356" i="29"/>
  <c r="RM356" i="29"/>
  <c r="RN356" i="29"/>
  <c r="RO356" i="29"/>
  <c r="RP356" i="29"/>
  <c r="RQ356" i="29"/>
  <c r="RR356" i="29"/>
  <c r="RS356" i="29"/>
  <c r="RT356" i="29"/>
  <c r="RU356" i="29"/>
  <c r="RV356" i="29"/>
  <c r="RW356" i="29"/>
  <c r="RX356" i="29"/>
  <c r="RY356" i="29"/>
  <c r="RZ356" i="29"/>
  <c r="SA356" i="29"/>
  <c r="SB356" i="29"/>
  <c r="SC356" i="29"/>
  <c r="SD356" i="29"/>
  <c r="SE356" i="29"/>
  <c r="SF356" i="29"/>
  <c r="SG356" i="29"/>
  <c r="SH356" i="29"/>
  <c r="SI356" i="29"/>
  <c r="SJ356" i="29"/>
  <c r="SK356" i="29"/>
  <c r="SL356" i="29"/>
  <c r="SM356" i="29"/>
  <c r="SN356" i="29"/>
  <c r="SO356" i="29"/>
  <c r="SP356" i="29"/>
  <c r="SQ356" i="29"/>
  <c r="SR356" i="29"/>
  <c r="SS356" i="29"/>
  <c r="B357" i="29"/>
  <c r="C357" i="29"/>
  <c r="D357" i="29"/>
  <c r="E357" i="29"/>
  <c r="F357" i="29"/>
  <c r="G357" i="29"/>
  <c r="H357" i="29"/>
  <c r="I357" i="29"/>
  <c r="J357" i="29"/>
  <c r="K357" i="29"/>
  <c r="L357" i="29"/>
  <c r="M357" i="29"/>
  <c r="N357" i="29"/>
  <c r="O357" i="29"/>
  <c r="P357" i="29"/>
  <c r="Q357" i="29"/>
  <c r="R357" i="29"/>
  <c r="S357" i="29"/>
  <c r="T357" i="29"/>
  <c r="U357" i="29"/>
  <c r="V357" i="29"/>
  <c r="W357" i="29"/>
  <c r="X357" i="29"/>
  <c r="Y357" i="29"/>
  <c r="Z357" i="29"/>
  <c r="AA357" i="29"/>
  <c r="AB357" i="29"/>
  <c r="AC357" i="29"/>
  <c r="AD357" i="29"/>
  <c r="AE357" i="29"/>
  <c r="AF357" i="29"/>
  <c r="AG357" i="29"/>
  <c r="AH357" i="29"/>
  <c r="AI357" i="29"/>
  <c r="AJ357" i="29"/>
  <c r="AK357" i="29"/>
  <c r="AL357" i="29"/>
  <c r="AM357" i="29"/>
  <c r="AN357" i="29"/>
  <c r="AO357" i="29"/>
  <c r="AP357" i="29"/>
  <c r="AQ357" i="29"/>
  <c r="AR357" i="29"/>
  <c r="AS357" i="29"/>
  <c r="AT357" i="29"/>
  <c r="AU357" i="29"/>
  <c r="AV357" i="29"/>
  <c r="AW357" i="29"/>
  <c r="AX357" i="29"/>
  <c r="AY357" i="29"/>
  <c r="AZ357" i="29"/>
  <c r="BA357" i="29"/>
  <c r="BB357" i="29"/>
  <c r="BC357" i="29"/>
  <c r="BD357" i="29"/>
  <c r="BE357" i="29"/>
  <c r="BF357" i="29"/>
  <c r="BG357" i="29"/>
  <c r="BH357" i="29"/>
  <c r="BI357" i="29"/>
  <c r="BJ357" i="29"/>
  <c r="BK357" i="29"/>
  <c r="BL357" i="29"/>
  <c r="BM357" i="29"/>
  <c r="BN357" i="29"/>
  <c r="BO357" i="29"/>
  <c r="BP357" i="29"/>
  <c r="BQ357" i="29"/>
  <c r="BR357" i="29"/>
  <c r="BS357" i="29"/>
  <c r="BT357" i="29"/>
  <c r="BU357" i="29"/>
  <c r="BV357" i="29"/>
  <c r="BW357" i="29"/>
  <c r="BX357" i="29"/>
  <c r="BY357" i="29"/>
  <c r="BZ357" i="29"/>
  <c r="CA357" i="29"/>
  <c r="CB357" i="29"/>
  <c r="CC357" i="29"/>
  <c r="CD357" i="29"/>
  <c r="CE357" i="29"/>
  <c r="CF357" i="29"/>
  <c r="CG357" i="29"/>
  <c r="CH357" i="29"/>
  <c r="CI357" i="29"/>
  <c r="CJ357" i="29"/>
  <c r="CK357" i="29"/>
  <c r="CL357" i="29"/>
  <c r="CM357" i="29"/>
  <c r="CN357" i="29"/>
  <c r="CO357" i="29"/>
  <c r="CP357" i="29"/>
  <c r="CQ357" i="29"/>
  <c r="CR357" i="29"/>
  <c r="CS357" i="29"/>
  <c r="CT357" i="29"/>
  <c r="CU357" i="29"/>
  <c r="CV357" i="29"/>
  <c r="CW357" i="29"/>
  <c r="CX357" i="29"/>
  <c r="CY357" i="29"/>
  <c r="CZ357" i="29"/>
  <c r="DA357" i="29"/>
  <c r="DB357" i="29"/>
  <c r="DC357" i="29"/>
  <c r="DD357" i="29"/>
  <c r="DE357" i="29"/>
  <c r="DF357" i="29"/>
  <c r="DG357" i="29"/>
  <c r="DH357" i="29"/>
  <c r="DI357" i="29"/>
  <c r="DJ357" i="29"/>
  <c r="DK357" i="29"/>
  <c r="DL357" i="29"/>
  <c r="DM357" i="29"/>
  <c r="DN357" i="29"/>
  <c r="DO357" i="29"/>
  <c r="DP357" i="29"/>
  <c r="DQ357" i="29"/>
  <c r="DR357" i="29"/>
  <c r="DS357" i="29"/>
  <c r="DT357" i="29"/>
  <c r="DU357" i="29"/>
  <c r="DV357" i="29"/>
  <c r="DW357" i="29"/>
  <c r="DX357" i="29"/>
  <c r="DY357" i="29"/>
  <c r="DZ357" i="29"/>
  <c r="EA357" i="29"/>
  <c r="EB357" i="29"/>
  <c r="EC357" i="29"/>
  <c r="ED357" i="29"/>
  <c r="EE357" i="29"/>
  <c r="EF357" i="29"/>
  <c r="EG357" i="29"/>
  <c r="EH357" i="29"/>
  <c r="EI357" i="29"/>
  <c r="EJ357" i="29"/>
  <c r="EK357" i="29"/>
  <c r="EL357" i="29"/>
  <c r="EM357" i="29"/>
  <c r="EN357" i="29"/>
  <c r="EO357" i="29"/>
  <c r="EP357" i="29"/>
  <c r="EQ357" i="29"/>
  <c r="ER357" i="29"/>
  <c r="ES357" i="29"/>
  <c r="ET357" i="29"/>
  <c r="EU357" i="29"/>
  <c r="EV357" i="29"/>
  <c r="EW357" i="29"/>
  <c r="EX357" i="29"/>
  <c r="EY357" i="29"/>
  <c r="EZ357" i="29"/>
  <c r="FA357" i="29"/>
  <c r="FB357" i="29"/>
  <c r="FC357" i="29"/>
  <c r="FD357" i="29"/>
  <c r="FE357" i="29"/>
  <c r="FF357" i="29"/>
  <c r="FG357" i="29"/>
  <c r="FH357" i="29"/>
  <c r="FI357" i="29"/>
  <c r="FJ357" i="29"/>
  <c r="FK357" i="29"/>
  <c r="FL357" i="29"/>
  <c r="FM357" i="29"/>
  <c r="FN357" i="29"/>
  <c r="FO357" i="29"/>
  <c r="FP357" i="29"/>
  <c r="FQ357" i="29"/>
  <c r="FR357" i="29"/>
  <c r="FS357" i="29"/>
  <c r="FT357" i="29"/>
  <c r="FU357" i="29"/>
  <c r="FV357" i="29"/>
  <c r="FW357" i="29"/>
  <c r="FX357" i="29"/>
  <c r="FY357" i="29"/>
  <c r="FZ357" i="29"/>
  <c r="GA357" i="29"/>
  <c r="GB357" i="29"/>
  <c r="GC357" i="29"/>
  <c r="GD357" i="29"/>
  <c r="GE357" i="29"/>
  <c r="GF357" i="29"/>
  <c r="GG357" i="29"/>
  <c r="GH357" i="29"/>
  <c r="GI357" i="29"/>
  <c r="GJ357" i="29"/>
  <c r="GK357" i="29"/>
  <c r="GL357" i="29"/>
  <c r="GM357" i="29"/>
  <c r="GN357" i="29"/>
  <c r="GO357" i="29"/>
  <c r="GP357" i="29"/>
  <c r="GQ357" i="29"/>
  <c r="GR357" i="29"/>
  <c r="GS357" i="29"/>
  <c r="GT357" i="29"/>
  <c r="GU357" i="29"/>
  <c r="GV357" i="29"/>
  <c r="GW357" i="29"/>
  <c r="GX357" i="29"/>
  <c r="GY357" i="29"/>
  <c r="GZ357" i="29"/>
  <c r="HA357" i="29"/>
  <c r="HB357" i="29"/>
  <c r="HC357" i="29"/>
  <c r="HD357" i="29"/>
  <c r="HE357" i="29"/>
  <c r="HF357" i="29"/>
  <c r="HG357" i="29"/>
  <c r="HH357" i="29"/>
  <c r="HI357" i="29"/>
  <c r="HJ357" i="29"/>
  <c r="HK357" i="29"/>
  <c r="HL357" i="29"/>
  <c r="HM357" i="29"/>
  <c r="HN357" i="29"/>
  <c r="HO357" i="29"/>
  <c r="HP357" i="29"/>
  <c r="HQ357" i="29"/>
  <c r="HR357" i="29"/>
  <c r="HS357" i="29"/>
  <c r="HT357" i="29"/>
  <c r="HU357" i="29"/>
  <c r="HV357" i="29"/>
  <c r="HW357" i="29"/>
  <c r="HX357" i="29"/>
  <c r="HY357" i="29"/>
  <c r="HZ357" i="29"/>
  <c r="IA357" i="29"/>
  <c r="IB357" i="29"/>
  <c r="IC357" i="29"/>
  <c r="ID357" i="29"/>
  <c r="IE357" i="29"/>
  <c r="IF357" i="29"/>
  <c r="IG357" i="29"/>
  <c r="IH357" i="29"/>
  <c r="II357" i="29"/>
  <c r="IJ357" i="29"/>
  <c r="IK357" i="29"/>
  <c r="IL357" i="29"/>
  <c r="IM357" i="29"/>
  <c r="IN357" i="29"/>
  <c r="IO357" i="29"/>
  <c r="IP357" i="29"/>
  <c r="IQ357" i="29"/>
  <c r="IR357" i="29"/>
  <c r="IS357" i="29"/>
  <c r="IT357" i="29"/>
  <c r="IU357" i="29"/>
  <c r="IV357" i="29"/>
  <c r="IW357" i="29"/>
  <c r="IX357" i="29"/>
  <c r="IY357" i="29"/>
  <c r="IZ357" i="29"/>
  <c r="JA357" i="29"/>
  <c r="JB357" i="29"/>
  <c r="JC357" i="29"/>
  <c r="JD357" i="29"/>
  <c r="JE357" i="29"/>
  <c r="JF357" i="29"/>
  <c r="JG357" i="29"/>
  <c r="JH357" i="29"/>
  <c r="JI357" i="29"/>
  <c r="JJ357" i="29"/>
  <c r="JK357" i="29"/>
  <c r="JL357" i="29"/>
  <c r="JM357" i="29"/>
  <c r="JN357" i="29"/>
  <c r="JO357" i="29"/>
  <c r="JP357" i="29"/>
  <c r="JQ357" i="29"/>
  <c r="JR357" i="29"/>
  <c r="JS357" i="29"/>
  <c r="JT357" i="29"/>
  <c r="JU357" i="29"/>
  <c r="JV357" i="29"/>
  <c r="JW357" i="29"/>
  <c r="JX357" i="29"/>
  <c r="JY357" i="29"/>
  <c r="JZ357" i="29"/>
  <c r="KA357" i="29"/>
  <c r="KB357" i="29"/>
  <c r="KC357" i="29"/>
  <c r="KD357" i="29"/>
  <c r="KE357" i="29"/>
  <c r="KF357" i="29"/>
  <c r="KG357" i="29"/>
  <c r="KH357" i="29"/>
  <c r="KI357" i="29"/>
  <c r="KJ357" i="29"/>
  <c r="KK357" i="29"/>
  <c r="KL357" i="29"/>
  <c r="KM357" i="29"/>
  <c r="KN357" i="29"/>
  <c r="KO357" i="29"/>
  <c r="KP357" i="29"/>
  <c r="KQ357" i="29"/>
  <c r="KR357" i="29"/>
  <c r="KS357" i="29"/>
  <c r="KT357" i="29"/>
  <c r="KU357" i="29"/>
  <c r="KV357" i="29"/>
  <c r="KW357" i="29"/>
  <c r="KX357" i="29"/>
  <c r="KY357" i="29"/>
  <c r="KZ357" i="29"/>
  <c r="LA357" i="29"/>
  <c r="LB357" i="29"/>
  <c r="LC357" i="29"/>
  <c r="LD357" i="29"/>
  <c r="LE357" i="29"/>
  <c r="LF357" i="29"/>
  <c r="LG357" i="29"/>
  <c r="LH357" i="29"/>
  <c r="LI357" i="29"/>
  <c r="LJ357" i="29"/>
  <c r="LK357" i="29"/>
  <c r="LL357" i="29"/>
  <c r="LM357" i="29"/>
  <c r="LN357" i="29"/>
  <c r="LO357" i="29"/>
  <c r="LP357" i="29"/>
  <c r="LQ357" i="29"/>
  <c r="LR357" i="29"/>
  <c r="LS357" i="29"/>
  <c r="LT357" i="29"/>
  <c r="LU357" i="29"/>
  <c r="LV357" i="29"/>
  <c r="LW357" i="29"/>
  <c r="LX357" i="29"/>
  <c r="LY357" i="29"/>
  <c r="LZ357" i="29"/>
  <c r="MA357" i="29"/>
  <c r="MB357" i="29"/>
  <c r="MC357" i="29"/>
  <c r="MD357" i="29"/>
  <c r="ME357" i="29"/>
  <c r="MF357" i="29"/>
  <c r="MG357" i="29"/>
  <c r="MH357" i="29"/>
  <c r="MI357" i="29"/>
  <c r="MJ357" i="29"/>
  <c r="MK357" i="29"/>
  <c r="ML357" i="29"/>
  <c r="MM357" i="29"/>
  <c r="MN357" i="29"/>
  <c r="MO357" i="29"/>
  <c r="MP357" i="29"/>
  <c r="MQ357" i="29"/>
  <c r="MR357" i="29"/>
  <c r="MS357" i="29"/>
  <c r="MT357" i="29"/>
  <c r="MU357" i="29"/>
  <c r="MV357" i="29"/>
  <c r="MW357" i="29"/>
  <c r="MX357" i="29"/>
  <c r="MY357" i="29"/>
  <c r="MZ357" i="29"/>
  <c r="NA357" i="29"/>
  <c r="NB357" i="29"/>
  <c r="NC357" i="29"/>
  <c r="ND357" i="29"/>
  <c r="NE357" i="29"/>
  <c r="NF357" i="29"/>
  <c r="NG357" i="29"/>
  <c r="NH357" i="29"/>
  <c r="NI357" i="29"/>
  <c r="NJ357" i="29"/>
  <c r="NK357" i="29"/>
  <c r="NL357" i="29"/>
  <c r="NM357" i="29"/>
  <c r="NN357" i="29"/>
  <c r="NO357" i="29"/>
  <c r="NP357" i="29"/>
  <c r="NQ357" i="29"/>
  <c r="NR357" i="29"/>
  <c r="NS357" i="29"/>
  <c r="NT357" i="29"/>
  <c r="NU357" i="29"/>
  <c r="NV357" i="29"/>
  <c r="NW357" i="29"/>
  <c r="NX357" i="29"/>
  <c r="NY357" i="29"/>
  <c r="NZ357" i="29"/>
  <c r="OA357" i="29"/>
  <c r="OB357" i="29"/>
  <c r="OC357" i="29"/>
  <c r="OD357" i="29"/>
  <c r="OE357" i="29"/>
  <c r="OF357" i="29"/>
  <c r="OG357" i="29"/>
  <c r="OH357" i="29"/>
  <c r="OI357" i="29"/>
  <c r="OJ357" i="29"/>
  <c r="OK357" i="29"/>
  <c r="OL357" i="29"/>
  <c r="OM357" i="29"/>
  <c r="ON357" i="29"/>
  <c r="OO357" i="29"/>
  <c r="OP357" i="29"/>
  <c r="OQ357" i="29"/>
  <c r="OR357" i="29"/>
  <c r="OS357" i="29"/>
  <c r="OT357" i="29"/>
  <c r="OU357" i="29"/>
  <c r="OV357" i="29"/>
  <c r="OW357" i="29"/>
  <c r="OX357" i="29"/>
  <c r="OY357" i="29"/>
  <c r="OZ357" i="29"/>
  <c r="PA357" i="29"/>
  <c r="PB357" i="29"/>
  <c r="PC357" i="29"/>
  <c r="PD357" i="29"/>
  <c r="PE357" i="29"/>
  <c r="PF357" i="29"/>
  <c r="PG357" i="29"/>
  <c r="PH357" i="29"/>
  <c r="PI357" i="29"/>
  <c r="PJ357" i="29"/>
  <c r="PK357" i="29"/>
  <c r="PL357" i="29"/>
  <c r="PM357" i="29"/>
  <c r="PN357" i="29"/>
  <c r="PO357" i="29"/>
  <c r="PP357" i="29"/>
  <c r="PQ357" i="29"/>
  <c r="PR357" i="29"/>
  <c r="PS357" i="29"/>
  <c r="PT357" i="29"/>
  <c r="PU357" i="29"/>
  <c r="PV357" i="29"/>
  <c r="PW357" i="29"/>
  <c r="PX357" i="29"/>
  <c r="PY357" i="29"/>
  <c r="PZ357" i="29"/>
  <c r="QA357" i="29"/>
  <c r="QB357" i="29"/>
  <c r="QC357" i="29"/>
  <c r="QD357" i="29"/>
  <c r="QE357" i="29"/>
  <c r="QF357" i="29"/>
  <c r="QG357" i="29"/>
  <c r="QH357" i="29"/>
  <c r="QI357" i="29"/>
  <c r="QJ357" i="29"/>
  <c r="QK357" i="29"/>
  <c r="QL357" i="29"/>
  <c r="QM357" i="29"/>
  <c r="QN357" i="29"/>
  <c r="QO357" i="29"/>
  <c r="QP357" i="29"/>
  <c r="QQ357" i="29"/>
  <c r="QR357" i="29"/>
  <c r="QS357" i="29"/>
  <c r="QT357" i="29"/>
  <c r="QU357" i="29"/>
  <c r="QV357" i="29"/>
  <c r="QW357" i="29"/>
  <c r="QX357" i="29"/>
  <c r="QY357" i="29"/>
  <c r="QZ357" i="29"/>
  <c r="RA357" i="29"/>
  <c r="RB357" i="29"/>
  <c r="RC357" i="29"/>
  <c r="RD357" i="29"/>
  <c r="RE357" i="29"/>
  <c r="RF357" i="29"/>
  <c r="RG357" i="29"/>
  <c r="RH357" i="29"/>
  <c r="RI357" i="29"/>
  <c r="RJ357" i="29"/>
  <c r="RK357" i="29"/>
  <c r="RL357" i="29"/>
  <c r="RM357" i="29"/>
  <c r="RN357" i="29"/>
  <c r="RO357" i="29"/>
  <c r="RP357" i="29"/>
  <c r="RQ357" i="29"/>
  <c r="RR357" i="29"/>
  <c r="RS357" i="29"/>
  <c r="RT357" i="29"/>
  <c r="RU357" i="29"/>
  <c r="RV357" i="29"/>
  <c r="RW357" i="29"/>
  <c r="RX357" i="29"/>
  <c r="RY357" i="29"/>
  <c r="RZ357" i="29"/>
  <c r="SA357" i="29"/>
  <c r="SB357" i="29"/>
  <c r="SC357" i="29"/>
  <c r="SD357" i="29"/>
  <c r="SE357" i="29"/>
  <c r="SF357" i="29"/>
  <c r="SG357" i="29"/>
  <c r="SH357" i="29"/>
  <c r="SI357" i="29"/>
  <c r="SJ357" i="29"/>
  <c r="SK357" i="29"/>
  <c r="SL357" i="29"/>
  <c r="SM357" i="29"/>
  <c r="SN357" i="29"/>
  <c r="SO357" i="29"/>
  <c r="SP357" i="29"/>
  <c r="SQ357" i="29"/>
  <c r="SR357" i="29"/>
  <c r="SS357" i="29"/>
  <c r="B358" i="29"/>
  <c r="C358" i="29"/>
  <c r="D358" i="29"/>
  <c r="E358" i="29"/>
  <c r="F358" i="29"/>
  <c r="G358" i="29"/>
  <c r="H358" i="29"/>
  <c r="I358" i="29"/>
  <c r="J358" i="29"/>
  <c r="K358" i="29"/>
  <c r="L358" i="29"/>
  <c r="M358" i="29"/>
  <c r="N358" i="29"/>
  <c r="O358" i="29"/>
  <c r="P358" i="29"/>
  <c r="Q358" i="29"/>
  <c r="R358" i="29"/>
  <c r="S358" i="29"/>
  <c r="T358" i="29"/>
  <c r="U358" i="29"/>
  <c r="V358" i="29"/>
  <c r="W358" i="29"/>
  <c r="X358" i="29"/>
  <c r="Y358" i="29"/>
  <c r="Z358" i="29"/>
  <c r="AA358" i="29"/>
  <c r="AB358" i="29"/>
  <c r="AC358" i="29"/>
  <c r="AD358" i="29"/>
  <c r="AE358" i="29"/>
  <c r="AF358" i="29"/>
  <c r="AG358" i="29"/>
  <c r="AH358" i="29"/>
  <c r="AI358" i="29"/>
  <c r="AJ358" i="29"/>
  <c r="AK358" i="29"/>
  <c r="AL358" i="29"/>
  <c r="AM358" i="29"/>
  <c r="AN358" i="29"/>
  <c r="AO358" i="29"/>
  <c r="AP358" i="29"/>
  <c r="AQ358" i="29"/>
  <c r="AR358" i="29"/>
  <c r="AS358" i="29"/>
  <c r="AT358" i="29"/>
  <c r="AU358" i="29"/>
  <c r="AV358" i="29"/>
  <c r="AW358" i="29"/>
  <c r="AX358" i="29"/>
  <c r="AY358" i="29"/>
  <c r="AZ358" i="29"/>
  <c r="BA358" i="29"/>
  <c r="BB358" i="29"/>
  <c r="BC358" i="29"/>
  <c r="BD358" i="29"/>
  <c r="BE358" i="29"/>
  <c r="BF358" i="29"/>
  <c r="BG358" i="29"/>
  <c r="BH358" i="29"/>
  <c r="BI358" i="29"/>
  <c r="BJ358" i="29"/>
  <c r="BK358" i="29"/>
  <c r="BL358" i="29"/>
  <c r="BM358" i="29"/>
  <c r="BN358" i="29"/>
  <c r="BO358" i="29"/>
  <c r="BP358" i="29"/>
  <c r="BQ358" i="29"/>
  <c r="BR358" i="29"/>
  <c r="BS358" i="29"/>
  <c r="BT358" i="29"/>
  <c r="BU358" i="29"/>
  <c r="BV358" i="29"/>
  <c r="BW358" i="29"/>
  <c r="BX358" i="29"/>
  <c r="BY358" i="29"/>
  <c r="BZ358" i="29"/>
  <c r="CA358" i="29"/>
  <c r="CB358" i="29"/>
  <c r="CC358" i="29"/>
  <c r="CD358" i="29"/>
  <c r="CE358" i="29"/>
  <c r="CF358" i="29"/>
  <c r="CG358" i="29"/>
  <c r="CH358" i="29"/>
  <c r="CI358" i="29"/>
  <c r="CJ358" i="29"/>
  <c r="CK358" i="29"/>
  <c r="CL358" i="29"/>
  <c r="CM358" i="29"/>
  <c r="CN358" i="29"/>
  <c r="CO358" i="29"/>
  <c r="CP358" i="29"/>
  <c r="CQ358" i="29"/>
  <c r="CR358" i="29"/>
  <c r="CS358" i="29"/>
  <c r="CT358" i="29"/>
  <c r="CU358" i="29"/>
  <c r="CV358" i="29"/>
  <c r="CW358" i="29"/>
  <c r="CX358" i="29"/>
  <c r="CY358" i="29"/>
  <c r="CZ358" i="29"/>
  <c r="DA358" i="29"/>
  <c r="DB358" i="29"/>
  <c r="DC358" i="29"/>
  <c r="DD358" i="29"/>
  <c r="DE358" i="29"/>
  <c r="DF358" i="29"/>
  <c r="DG358" i="29"/>
  <c r="DH358" i="29"/>
  <c r="DI358" i="29"/>
  <c r="DJ358" i="29"/>
  <c r="DK358" i="29"/>
  <c r="DL358" i="29"/>
  <c r="DM358" i="29"/>
  <c r="DN358" i="29"/>
  <c r="DO358" i="29"/>
  <c r="DP358" i="29"/>
  <c r="DQ358" i="29"/>
  <c r="DR358" i="29"/>
  <c r="DS358" i="29"/>
  <c r="DT358" i="29"/>
  <c r="DU358" i="29"/>
  <c r="DV358" i="29"/>
  <c r="DW358" i="29"/>
  <c r="DX358" i="29"/>
  <c r="DY358" i="29"/>
  <c r="DZ358" i="29"/>
  <c r="EA358" i="29"/>
  <c r="EB358" i="29"/>
  <c r="EC358" i="29"/>
  <c r="ED358" i="29"/>
  <c r="EE358" i="29"/>
  <c r="EF358" i="29"/>
  <c r="EG358" i="29"/>
  <c r="EH358" i="29"/>
  <c r="EI358" i="29"/>
  <c r="EJ358" i="29"/>
  <c r="EK358" i="29"/>
  <c r="EL358" i="29"/>
  <c r="EM358" i="29"/>
  <c r="EN358" i="29"/>
  <c r="EO358" i="29"/>
  <c r="EP358" i="29"/>
  <c r="EQ358" i="29"/>
  <c r="ER358" i="29"/>
  <c r="ES358" i="29"/>
  <c r="ET358" i="29"/>
  <c r="EU358" i="29"/>
  <c r="EV358" i="29"/>
  <c r="EW358" i="29"/>
  <c r="EX358" i="29"/>
  <c r="EY358" i="29"/>
  <c r="EZ358" i="29"/>
  <c r="FA358" i="29"/>
  <c r="FB358" i="29"/>
  <c r="FC358" i="29"/>
  <c r="FD358" i="29"/>
  <c r="FE358" i="29"/>
  <c r="FF358" i="29"/>
  <c r="FG358" i="29"/>
  <c r="FH358" i="29"/>
  <c r="FI358" i="29"/>
  <c r="FJ358" i="29"/>
  <c r="FK358" i="29"/>
  <c r="FL358" i="29"/>
  <c r="FM358" i="29"/>
  <c r="FN358" i="29"/>
  <c r="FO358" i="29"/>
  <c r="FP358" i="29"/>
  <c r="FQ358" i="29"/>
  <c r="FR358" i="29"/>
  <c r="FS358" i="29"/>
  <c r="FT358" i="29"/>
  <c r="FU358" i="29"/>
  <c r="FV358" i="29"/>
  <c r="FW358" i="29"/>
  <c r="FX358" i="29"/>
  <c r="FY358" i="29"/>
  <c r="FZ358" i="29"/>
  <c r="GA358" i="29"/>
  <c r="GB358" i="29"/>
  <c r="GC358" i="29"/>
  <c r="GD358" i="29"/>
  <c r="GE358" i="29"/>
  <c r="GF358" i="29"/>
  <c r="GG358" i="29"/>
  <c r="GH358" i="29"/>
  <c r="GI358" i="29"/>
  <c r="GJ358" i="29"/>
  <c r="GK358" i="29"/>
  <c r="GL358" i="29"/>
  <c r="GM358" i="29"/>
  <c r="GN358" i="29"/>
  <c r="GO358" i="29"/>
  <c r="GP358" i="29"/>
  <c r="GQ358" i="29"/>
  <c r="GR358" i="29"/>
  <c r="GS358" i="29"/>
  <c r="GT358" i="29"/>
  <c r="GU358" i="29"/>
  <c r="GV358" i="29"/>
  <c r="GW358" i="29"/>
  <c r="GX358" i="29"/>
  <c r="GY358" i="29"/>
  <c r="GZ358" i="29"/>
  <c r="HA358" i="29"/>
  <c r="HB358" i="29"/>
  <c r="HC358" i="29"/>
  <c r="HD358" i="29"/>
  <c r="HE358" i="29"/>
  <c r="HF358" i="29"/>
  <c r="HG358" i="29"/>
  <c r="HH358" i="29"/>
  <c r="HI358" i="29"/>
  <c r="HJ358" i="29"/>
  <c r="HK358" i="29"/>
  <c r="HL358" i="29"/>
  <c r="HM358" i="29"/>
  <c r="HN358" i="29"/>
  <c r="HO358" i="29"/>
  <c r="HP358" i="29"/>
  <c r="HQ358" i="29"/>
  <c r="HR358" i="29"/>
  <c r="HS358" i="29"/>
  <c r="HT358" i="29"/>
  <c r="HU358" i="29"/>
  <c r="HV358" i="29"/>
  <c r="HW358" i="29"/>
  <c r="HX358" i="29"/>
  <c r="HY358" i="29"/>
  <c r="HZ358" i="29"/>
  <c r="IA358" i="29"/>
  <c r="IB358" i="29"/>
  <c r="IC358" i="29"/>
  <c r="ID358" i="29"/>
  <c r="IE358" i="29"/>
  <c r="IF358" i="29"/>
  <c r="IG358" i="29"/>
  <c r="IH358" i="29"/>
  <c r="II358" i="29"/>
  <c r="IJ358" i="29"/>
  <c r="IK358" i="29"/>
  <c r="IL358" i="29"/>
  <c r="IM358" i="29"/>
  <c r="IN358" i="29"/>
  <c r="IO358" i="29"/>
  <c r="IP358" i="29"/>
  <c r="IQ358" i="29"/>
  <c r="IR358" i="29"/>
  <c r="IS358" i="29"/>
  <c r="IT358" i="29"/>
  <c r="IU358" i="29"/>
  <c r="IV358" i="29"/>
  <c r="IW358" i="29"/>
  <c r="IX358" i="29"/>
  <c r="IY358" i="29"/>
  <c r="IZ358" i="29"/>
  <c r="JA358" i="29"/>
  <c r="JB358" i="29"/>
  <c r="JC358" i="29"/>
  <c r="JD358" i="29"/>
  <c r="JE358" i="29"/>
  <c r="JF358" i="29"/>
  <c r="JG358" i="29"/>
  <c r="JH358" i="29"/>
  <c r="JI358" i="29"/>
  <c r="JJ358" i="29"/>
  <c r="JK358" i="29"/>
  <c r="JL358" i="29"/>
  <c r="JM358" i="29"/>
  <c r="JN358" i="29"/>
  <c r="JO358" i="29"/>
  <c r="JP358" i="29"/>
  <c r="JQ358" i="29"/>
  <c r="JR358" i="29"/>
  <c r="JS358" i="29"/>
  <c r="JT358" i="29"/>
  <c r="JU358" i="29"/>
  <c r="JV358" i="29"/>
  <c r="JW358" i="29"/>
  <c r="JX358" i="29"/>
  <c r="JY358" i="29"/>
  <c r="JZ358" i="29"/>
  <c r="KA358" i="29"/>
  <c r="KB358" i="29"/>
  <c r="KC358" i="29"/>
  <c r="KD358" i="29"/>
  <c r="KE358" i="29"/>
  <c r="KF358" i="29"/>
  <c r="KG358" i="29"/>
  <c r="KH358" i="29"/>
  <c r="KI358" i="29"/>
  <c r="KJ358" i="29"/>
  <c r="KK358" i="29"/>
  <c r="KL358" i="29"/>
  <c r="KM358" i="29"/>
  <c r="KN358" i="29"/>
  <c r="KO358" i="29"/>
  <c r="KP358" i="29"/>
  <c r="KQ358" i="29"/>
  <c r="KR358" i="29"/>
  <c r="KS358" i="29"/>
  <c r="KT358" i="29"/>
  <c r="KU358" i="29"/>
  <c r="KV358" i="29"/>
  <c r="KW358" i="29"/>
  <c r="KX358" i="29"/>
  <c r="KY358" i="29"/>
  <c r="KZ358" i="29"/>
  <c r="LA358" i="29"/>
  <c r="LB358" i="29"/>
  <c r="LC358" i="29"/>
  <c r="LD358" i="29"/>
  <c r="LE358" i="29"/>
  <c r="LF358" i="29"/>
  <c r="LG358" i="29"/>
  <c r="LH358" i="29"/>
  <c r="LI358" i="29"/>
  <c r="LJ358" i="29"/>
  <c r="LK358" i="29"/>
  <c r="LL358" i="29"/>
  <c r="LM358" i="29"/>
  <c r="LN358" i="29"/>
  <c r="LO358" i="29"/>
  <c r="LP358" i="29"/>
  <c r="LQ358" i="29"/>
  <c r="LR358" i="29"/>
  <c r="LS358" i="29"/>
  <c r="LT358" i="29"/>
  <c r="LU358" i="29"/>
  <c r="LV358" i="29"/>
  <c r="LW358" i="29"/>
  <c r="LX358" i="29"/>
  <c r="LY358" i="29"/>
  <c r="LZ358" i="29"/>
  <c r="MA358" i="29"/>
  <c r="MB358" i="29"/>
  <c r="MC358" i="29"/>
  <c r="MD358" i="29"/>
  <c r="ME358" i="29"/>
  <c r="MF358" i="29"/>
  <c r="MG358" i="29"/>
  <c r="MH358" i="29"/>
  <c r="MI358" i="29"/>
  <c r="MJ358" i="29"/>
  <c r="MK358" i="29"/>
  <c r="ML358" i="29"/>
  <c r="MM358" i="29"/>
  <c r="MN358" i="29"/>
  <c r="MO358" i="29"/>
  <c r="MP358" i="29"/>
  <c r="MQ358" i="29"/>
  <c r="MR358" i="29"/>
  <c r="MS358" i="29"/>
  <c r="MT358" i="29"/>
  <c r="MU358" i="29"/>
  <c r="MV358" i="29"/>
  <c r="MW358" i="29"/>
  <c r="MX358" i="29"/>
  <c r="MY358" i="29"/>
  <c r="MZ358" i="29"/>
  <c r="NA358" i="29"/>
  <c r="NB358" i="29"/>
  <c r="NC358" i="29"/>
  <c r="ND358" i="29"/>
  <c r="NE358" i="29"/>
  <c r="NF358" i="29"/>
  <c r="NG358" i="29"/>
  <c r="NH358" i="29"/>
  <c r="NI358" i="29"/>
  <c r="NJ358" i="29"/>
  <c r="NK358" i="29"/>
  <c r="NL358" i="29"/>
  <c r="NM358" i="29"/>
  <c r="NN358" i="29"/>
  <c r="NO358" i="29"/>
  <c r="NP358" i="29"/>
  <c r="NQ358" i="29"/>
  <c r="NR358" i="29"/>
  <c r="NS358" i="29"/>
  <c r="NT358" i="29"/>
  <c r="NU358" i="29"/>
  <c r="NV358" i="29"/>
  <c r="NW358" i="29"/>
  <c r="NX358" i="29"/>
  <c r="NY358" i="29"/>
  <c r="NZ358" i="29"/>
  <c r="OA358" i="29"/>
  <c r="OB358" i="29"/>
  <c r="OC358" i="29"/>
  <c r="OD358" i="29"/>
  <c r="OE358" i="29"/>
  <c r="OF358" i="29"/>
  <c r="OG358" i="29"/>
  <c r="OH358" i="29"/>
  <c r="OI358" i="29"/>
  <c r="OJ358" i="29"/>
  <c r="OK358" i="29"/>
  <c r="OL358" i="29"/>
  <c r="OM358" i="29"/>
  <c r="ON358" i="29"/>
  <c r="OO358" i="29"/>
  <c r="OP358" i="29"/>
  <c r="OQ358" i="29"/>
  <c r="OR358" i="29"/>
  <c r="OS358" i="29"/>
  <c r="OT358" i="29"/>
  <c r="OU358" i="29"/>
  <c r="OV358" i="29"/>
  <c r="OW358" i="29"/>
  <c r="OX358" i="29"/>
  <c r="OY358" i="29"/>
  <c r="OZ358" i="29"/>
  <c r="PA358" i="29"/>
  <c r="PB358" i="29"/>
  <c r="PC358" i="29"/>
  <c r="PD358" i="29"/>
  <c r="PE358" i="29"/>
  <c r="PF358" i="29"/>
  <c r="PG358" i="29"/>
  <c r="PH358" i="29"/>
  <c r="PI358" i="29"/>
  <c r="PJ358" i="29"/>
  <c r="PK358" i="29"/>
  <c r="PL358" i="29"/>
  <c r="PM358" i="29"/>
  <c r="PN358" i="29"/>
  <c r="PO358" i="29"/>
  <c r="PP358" i="29"/>
  <c r="PQ358" i="29"/>
  <c r="PR358" i="29"/>
  <c r="PS358" i="29"/>
  <c r="PT358" i="29"/>
  <c r="PU358" i="29"/>
  <c r="PV358" i="29"/>
  <c r="PW358" i="29"/>
  <c r="PX358" i="29"/>
  <c r="PY358" i="29"/>
  <c r="PZ358" i="29"/>
  <c r="QA358" i="29"/>
  <c r="QB358" i="29"/>
  <c r="QC358" i="29"/>
  <c r="QD358" i="29"/>
  <c r="QE358" i="29"/>
  <c r="QF358" i="29"/>
  <c r="QG358" i="29"/>
  <c r="QH358" i="29"/>
  <c r="QI358" i="29"/>
  <c r="QJ358" i="29"/>
  <c r="QK358" i="29"/>
  <c r="QL358" i="29"/>
  <c r="QM358" i="29"/>
  <c r="QN358" i="29"/>
  <c r="QO358" i="29"/>
  <c r="QP358" i="29"/>
  <c r="QQ358" i="29"/>
  <c r="QR358" i="29"/>
  <c r="QS358" i="29"/>
  <c r="QT358" i="29"/>
  <c r="QU358" i="29"/>
  <c r="QV358" i="29"/>
  <c r="QW358" i="29"/>
  <c r="QX358" i="29"/>
  <c r="QY358" i="29"/>
  <c r="QZ358" i="29"/>
  <c r="RA358" i="29"/>
  <c r="RB358" i="29"/>
  <c r="RC358" i="29"/>
  <c r="RD358" i="29"/>
  <c r="RE358" i="29"/>
  <c r="RF358" i="29"/>
  <c r="RG358" i="29"/>
  <c r="RH358" i="29"/>
  <c r="RI358" i="29"/>
  <c r="RJ358" i="29"/>
  <c r="RK358" i="29"/>
  <c r="RL358" i="29"/>
  <c r="RM358" i="29"/>
  <c r="RN358" i="29"/>
  <c r="RO358" i="29"/>
  <c r="RP358" i="29"/>
  <c r="RQ358" i="29"/>
  <c r="RR358" i="29"/>
  <c r="RS358" i="29"/>
  <c r="RT358" i="29"/>
  <c r="RU358" i="29"/>
  <c r="RV358" i="29"/>
  <c r="RW358" i="29"/>
  <c r="RX358" i="29"/>
  <c r="RY358" i="29"/>
  <c r="RZ358" i="29"/>
  <c r="SA358" i="29"/>
  <c r="SB358" i="29"/>
  <c r="SC358" i="29"/>
  <c r="SD358" i="29"/>
  <c r="SE358" i="29"/>
  <c r="SF358" i="29"/>
  <c r="SG358" i="29"/>
  <c r="SH358" i="29"/>
  <c r="SI358" i="29"/>
  <c r="SJ358" i="29"/>
  <c r="SK358" i="29"/>
  <c r="SL358" i="29"/>
  <c r="SM358" i="29"/>
  <c r="SN358" i="29"/>
  <c r="SO358" i="29"/>
  <c r="SP358" i="29"/>
  <c r="SQ358" i="29"/>
  <c r="SR358" i="29"/>
  <c r="SS358" i="29"/>
  <c r="B359" i="29"/>
  <c r="C359" i="29"/>
  <c r="D359" i="29"/>
  <c r="E359" i="29"/>
  <c r="F359" i="29"/>
  <c r="G359" i="29"/>
  <c r="H359" i="29"/>
  <c r="I359" i="29"/>
  <c r="J359" i="29"/>
  <c r="K359" i="29"/>
  <c r="L359" i="29"/>
  <c r="M359" i="29"/>
  <c r="N359" i="29"/>
  <c r="O359" i="29"/>
  <c r="P359" i="29"/>
  <c r="Q359" i="29"/>
  <c r="R359" i="29"/>
  <c r="S359" i="29"/>
  <c r="T359" i="29"/>
  <c r="U359" i="29"/>
  <c r="V359" i="29"/>
  <c r="W359" i="29"/>
  <c r="X359" i="29"/>
  <c r="Y359" i="29"/>
  <c r="Z359" i="29"/>
  <c r="AA359" i="29"/>
  <c r="AB359" i="29"/>
  <c r="AC359" i="29"/>
  <c r="AD359" i="29"/>
  <c r="AE359" i="29"/>
  <c r="AF359" i="29"/>
  <c r="AG359" i="29"/>
  <c r="AH359" i="29"/>
  <c r="AI359" i="29"/>
  <c r="AJ359" i="29"/>
  <c r="AK359" i="29"/>
  <c r="AL359" i="29"/>
  <c r="AM359" i="29"/>
  <c r="AN359" i="29"/>
  <c r="AO359" i="29"/>
  <c r="AP359" i="29"/>
  <c r="AQ359" i="29"/>
  <c r="AR359" i="29"/>
  <c r="AS359" i="29"/>
  <c r="AT359" i="29"/>
  <c r="AU359" i="29"/>
  <c r="AV359" i="29"/>
  <c r="AW359" i="29"/>
  <c r="AX359" i="29"/>
  <c r="AY359" i="29"/>
  <c r="AZ359" i="29"/>
  <c r="BA359" i="29"/>
  <c r="BB359" i="29"/>
  <c r="BC359" i="29"/>
  <c r="BD359" i="29"/>
  <c r="BE359" i="29"/>
  <c r="BF359" i="29"/>
  <c r="BG359" i="29"/>
  <c r="BH359" i="29"/>
  <c r="BI359" i="29"/>
  <c r="BJ359" i="29"/>
  <c r="BK359" i="29"/>
  <c r="BL359" i="29"/>
  <c r="BM359" i="29"/>
  <c r="BN359" i="29"/>
  <c r="BO359" i="29"/>
  <c r="BP359" i="29"/>
  <c r="BQ359" i="29"/>
  <c r="BR359" i="29"/>
  <c r="BS359" i="29"/>
  <c r="BT359" i="29"/>
  <c r="BU359" i="29"/>
  <c r="BV359" i="29"/>
  <c r="BW359" i="29"/>
  <c r="BX359" i="29"/>
  <c r="BY359" i="29"/>
  <c r="BZ359" i="29"/>
  <c r="CA359" i="29"/>
  <c r="CB359" i="29"/>
  <c r="CC359" i="29"/>
  <c r="CD359" i="29"/>
  <c r="CE359" i="29"/>
  <c r="CF359" i="29"/>
  <c r="CG359" i="29"/>
  <c r="CH359" i="29"/>
  <c r="CI359" i="29"/>
  <c r="CJ359" i="29"/>
  <c r="CK359" i="29"/>
  <c r="CL359" i="29"/>
  <c r="CM359" i="29"/>
  <c r="CN359" i="29"/>
  <c r="CO359" i="29"/>
  <c r="CP359" i="29"/>
  <c r="CQ359" i="29"/>
  <c r="CR359" i="29"/>
  <c r="CS359" i="29"/>
  <c r="CT359" i="29"/>
  <c r="CU359" i="29"/>
  <c r="CV359" i="29"/>
  <c r="CW359" i="29"/>
  <c r="CX359" i="29"/>
  <c r="CY359" i="29"/>
  <c r="CZ359" i="29"/>
  <c r="DA359" i="29"/>
  <c r="DB359" i="29"/>
  <c r="DC359" i="29"/>
  <c r="DD359" i="29"/>
  <c r="DE359" i="29"/>
  <c r="DF359" i="29"/>
  <c r="DG359" i="29"/>
  <c r="DH359" i="29"/>
  <c r="DI359" i="29"/>
  <c r="DJ359" i="29"/>
  <c r="DK359" i="29"/>
  <c r="DL359" i="29"/>
  <c r="DM359" i="29"/>
  <c r="DN359" i="29"/>
  <c r="DO359" i="29"/>
  <c r="DP359" i="29"/>
  <c r="DQ359" i="29"/>
  <c r="DR359" i="29"/>
  <c r="DS359" i="29"/>
  <c r="DT359" i="29"/>
  <c r="DU359" i="29"/>
  <c r="DV359" i="29"/>
  <c r="DW359" i="29"/>
  <c r="DX359" i="29"/>
  <c r="DY359" i="29"/>
  <c r="DZ359" i="29"/>
  <c r="EA359" i="29"/>
  <c r="EB359" i="29"/>
  <c r="EC359" i="29"/>
  <c r="ED359" i="29"/>
  <c r="EE359" i="29"/>
  <c r="EF359" i="29"/>
  <c r="EG359" i="29"/>
  <c r="EH359" i="29"/>
  <c r="EI359" i="29"/>
  <c r="EJ359" i="29"/>
  <c r="EK359" i="29"/>
  <c r="EL359" i="29"/>
  <c r="EM359" i="29"/>
  <c r="EN359" i="29"/>
  <c r="EO359" i="29"/>
  <c r="EP359" i="29"/>
  <c r="EQ359" i="29"/>
  <c r="ER359" i="29"/>
  <c r="ES359" i="29"/>
  <c r="ET359" i="29"/>
  <c r="EU359" i="29"/>
  <c r="EV359" i="29"/>
  <c r="EW359" i="29"/>
  <c r="EX359" i="29"/>
  <c r="EY359" i="29"/>
  <c r="EZ359" i="29"/>
  <c r="FA359" i="29"/>
  <c r="FB359" i="29"/>
  <c r="FC359" i="29"/>
  <c r="FD359" i="29"/>
  <c r="FE359" i="29"/>
  <c r="FF359" i="29"/>
  <c r="FG359" i="29"/>
  <c r="FH359" i="29"/>
  <c r="FI359" i="29"/>
  <c r="FJ359" i="29"/>
  <c r="FK359" i="29"/>
  <c r="FL359" i="29"/>
  <c r="FM359" i="29"/>
  <c r="FN359" i="29"/>
  <c r="FO359" i="29"/>
  <c r="FP359" i="29"/>
  <c r="FQ359" i="29"/>
  <c r="FR359" i="29"/>
  <c r="FS359" i="29"/>
  <c r="FT359" i="29"/>
  <c r="FU359" i="29"/>
  <c r="FV359" i="29"/>
  <c r="FW359" i="29"/>
  <c r="FX359" i="29"/>
  <c r="FY359" i="29"/>
  <c r="FZ359" i="29"/>
  <c r="GA359" i="29"/>
  <c r="GB359" i="29"/>
  <c r="GC359" i="29"/>
  <c r="GD359" i="29"/>
  <c r="GE359" i="29"/>
  <c r="GF359" i="29"/>
  <c r="GG359" i="29"/>
  <c r="GH359" i="29"/>
  <c r="GI359" i="29"/>
  <c r="GJ359" i="29"/>
  <c r="GK359" i="29"/>
  <c r="GL359" i="29"/>
  <c r="GM359" i="29"/>
  <c r="GN359" i="29"/>
  <c r="GO359" i="29"/>
  <c r="GP359" i="29"/>
  <c r="GQ359" i="29"/>
  <c r="GR359" i="29"/>
  <c r="GS359" i="29"/>
  <c r="GT359" i="29"/>
  <c r="GU359" i="29"/>
  <c r="GV359" i="29"/>
  <c r="GW359" i="29"/>
  <c r="GX359" i="29"/>
  <c r="GY359" i="29"/>
  <c r="GZ359" i="29"/>
  <c r="HA359" i="29"/>
  <c r="HB359" i="29"/>
  <c r="HC359" i="29"/>
  <c r="HD359" i="29"/>
  <c r="HE359" i="29"/>
  <c r="HF359" i="29"/>
  <c r="HG359" i="29"/>
  <c r="HH359" i="29"/>
  <c r="HI359" i="29"/>
  <c r="HJ359" i="29"/>
  <c r="HK359" i="29"/>
  <c r="HL359" i="29"/>
  <c r="HM359" i="29"/>
  <c r="HN359" i="29"/>
  <c r="HO359" i="29"/>
  <c r="HP359" i="29"/>
  <c r="HQ359" i="29"/>
  <c r="HR359" i="29"/>
  <c r="HS359" i="29"/>
  <c r="HT359" i="29"/>
  <c r="HU359" i="29"/>
  <c r="HV359" i="29"/>
  <c r="HW359" i="29"/>
  <c r="HX359" i="29"/>
  <c r="HY359" i="29"/>
  <c r="HZ359" i="29"/>
  <c r="IA359" i="29"/>
  <c r="IB359" i="29"/>
  <c r="IC359" i="29"/>
  <c r="ID359" i="29"/>
  <c r="IE359" i="29"/>
  <c r="IF359" i="29"/>
  <c r="IG359" i="29"/>
  <c r="IH359" i="29"/>
  <c r="II359" i="29"/>
  <c r="IJ359" i="29"/>
  <c r="IK359" i="29"/>
  <c r="IL359" i="29"/>
  <c r="IM359" i="29"/>
  <c r="IN359" i="29"/>
  <c r="IO359" i="29"/>
  <c r="IP359" i="29"/>
  <c r="IQ359" i="29"/>
  <c r="IR359" i="29"/>
  <c r="IS359" i="29"/>
  <c r="IT359" i="29"/>
  <c r="IU359" i="29"/>
  <c r="IV359" i="29"/>
  <c r="IW359" i="29"/>
  <c r="IX359" i="29"/>
  <c r="IY359" i="29"/>
  <c r="IZ359" i="29"/>
  <c r="JA359" i="29"/>
  <c r="JB359" i="29"/>
  <c r="JC359" i="29"/>
  <c r="JD359" i="29"/>
  <c r="JE359" i="29"/>
  <c r="JF359" i="29"/>
  <c r="JG359" i="29"/>
  <c r="JH359" i="29"/>
  <c r="JI359" i="29"/>
  <c r="JJ359" i="29"/>
  <c r="JK359" i="29"/>
  <c r="JL359" i="29"/>
  <c r="JM359" i="29"/>
  <c r="JN359" i="29"/>
  <c r="JO359" i="29"/>
  <c r="JP359" i="29"/>
  <c r="JQ359" i="29"/>
  <c r="JR359" i="29"/>
  <c r="JS359" i="29"/>
  <c r="JT359" i="29"/>
  <c r="JU359" i="29"/>
  <c r="JV359" i="29"/>
  <c r="JW359" i="29"/>
  <c r="JX359" i="29"/>
  <c r="JY359" i="29"/>
  <c r="JZ359" i="29"/>
  <c r="KA359" i="29"/>
  <c r="KB359" i="29"/>
  <c r="KC359" i="29"/>
  <c r="KD359" i="29"/>
  <c r="KE359" i="29"/>
  <c r="KF359" i="29"/>
  <c r="KG359" i="29"/>
  <c r="KH359" i="29"/>
  <c r="KI359" i="29"/>
  <c r="KJ359" i="29"/>
  <c r="KK359" i="29"/>
  <c r="KL359" i="29"/>
  <c r="KM359" i="29"/>
  <c r="KN359" i="29"/>
  <c r="KO359" i="29"/>
  <c r="KP359" i="29"/>
  <c r="KQ359" i="29"/>
  <c r="KR359" i="29"/>
  <c r="KS359" i="29"/>
  <c r="KT359" i="29"/>
  <c r="KU359" i="29"/>
  <c r="KV359" i="29"/>
  <c r="KW359" i="29"/>
  <c r="KX359" i="29"/>
  <c r="KY359" i="29"/>
  <c r="KZ359" i="29"/>
  <c r="LA359" i="29"/>
  <c r="LB359" i="29"/>
  <c r="LC359" i="29"/>
  <c r="LD359" i="29"/>
  <c r="LE359" i="29"/>
  <c r="LF359" i="29"/>
  <c r="LG359" i="29"/>
  <c r="LH359" i="29"/>
  <c r="LI359" i="29"/>
  <c r="LJ359" i="29"/>
  <c r="LK359" i="29"/>
  <c r="LL359" i="29"/>
  <c r="LM359" i="29"/>
  <c r="LN359" i="29"/>
  <c r="LO359" i="29"/>
  <c r="LP359" i="29"/>
  <c r="LQ359" i="29"/>
  <c r="LR359" i="29"/>
  <c r="LS359" i="29"/>
  <c r="LT359" i="29"/>
  <c r="LU359" i="29"/>
  <c r="LV359" i="29"/>
  <c r="LW359" i="29"/>
  <c r="LX359" i="29"/>
  <c r="LY359" i="29"/>
  <c r="LZ359" i="29"/>
  <c r="MA359" i="29"/>
  <c r="MB359" i="29"/>
  <c r="MC359" i="29"/>
  <c r="MD359" i="29"/>
  <c r="ME359" i="29"/>
  <c r="MF359" i="29"/>
  <c r="MG359" i="29"/>
  <c r="MH359" i="29"/>
  <c r="MI359" i="29"/>
  <c r="MJ359" i="29"/>
  <c r="MK359" i="29"/>
  <c r="ML359" i="29"/>
  <c r="MM359" i="29"/>
  <c r="MN359" i="29"/>
  <c r="MO359" i="29"/>
  <c r="MP359" i="29"/>
  <c r="MQ359" i="29"/>
  <c r="MR359" i="29"/>
  <c r="MS359" i="29"/>
  <c r="MT359" i="29"/>
  <c r="MU359" i="29"/>
  <c r="MV359" i="29"/>
  <c r="MW359" i="29"/>
  <c r="MX359" i="29"/>
  <c r="MY359" i="29"/>
  <c r="MZ359" i="29"/>
  <c r="NA359" i="29"/>
  <c r="NB359" i="29"/>
  <c r="NC359" i="29"/>
  <c r="ND359" i="29"/>
  <c r="NE359" i="29"/>
  <c r="NF359" i="29"/>
  <c r="NG359" i="29"/>
  <c r="NH359" i="29"/>
  <c r="NI359" i="29"/>
  <c r="NJ359" i="29"/>
  <c r="NK359" i="29"/>
  <c r="NL359" i="29"/>
  <c r="NM359" i="29"/>
  <c r="NN359" i="29"/>
  <c r="NO359" i="29"/>
  <c r="NP359" i="29"/>
  <c r="NQ359" i="29"/>
  <c r="NR359" i="29"/>
  <c r="NS359" i="29"/>
  <c r="NT359" i="29"/>
  <c r="NU359" i="29"/>
  <c r="NV359" i="29"/>
  <c r="NW359" i="29"/>
  <c r="NX359" i="29"/>
  <c r="NY359" i="29"/>
  <c r="NZ359" i="29"/>
  <c r="OA359" i="29"/>
  <c r="OB359" i="29"/>
  <c r="OC359" i="29"/>
  <c r="OD359" i="29"/>
  <c r="OE359" i="29"/>
  <c r="OF359" i="29"/>
  <c r="OG359" i="29"/>
  <c r="OH359" i="29"/>
  <c r="OI359" i="29"/>
  <c r="OJ359" i="29"/>
  <c r="OK359" i="29"/>
  <c r="OL359" i="29"/>
  <c r="OM359" i="29"/>
  <c r="ON359" i="29"/>
  <c r="OO359" i="29"/>
  <c r="OP359" i="29"/>
  <c r="OQ359" i="29"/>
  <c r="OR359" i="29"/>
  <c r="OS359" i="29"/>
  <c r="OT359" i="29"/>
  <c r="OU359" i="29"/>
  <c r="OV359" i="29"/>
  <c r="OW359" i="29"/>
  <c r="OX359" i="29"/>
  <c r="OY359" i="29"/>
  <c r="OZ359" i="29"/>
  <c r="PA359" i="29"/>
  <c r="PB359" i="29"/>
  <c r="PC359" i="29"/>
  <c r="PD359" i="29"/>
  <c r="PE359" i="29"/>
  <c r="PF359" i="29"/>
  <c r="PG359" i="29"/>
  <c r="PH359" i="29"/>
  <c r="PI359" i="29"/>
  <c r="PJ359" i="29"/>
  <c r="PK359" i="29"/>
  <c r="PL359" i="29"/>
  <c r="PM359" i="29"/>
  <c r="PN359" i="29"/>
  <c r="PO359" i="29"/>
  <c r="PP359" i="29"/>
  <c r="PQ359" i="29"/>
  <c r="PR359" i="29"/>
  <c r="PS359" i="29"/>
  <c r="PT359" i="29"/>
  <c r="PU359" i="29"/>
  <c r="PV359" i="29"/>
  <c r="PW359" i="29"/>
  <c r="PX359" i="29"/>
  <c r="PY359" i="29"/>
  <c r="PZ359" i="29"/>
  <c r="QA359" i="29"/>
  <c r="QB359" i="29"/>
  <c r="QC359" i="29"/>
  <c r="QD359" i="29"/>
  <c r="QE359" i="29"/>
  <c r="QF359" i="29"/>
  <c r="QG359" i="29"/>
  <c r="QH359" i="29"/>
  <c r="QI359" i="29"/>
  <c r="QJ359" i="29"/>
  <c r="QK359" i="29"/>
  <c r="QL359" i="29"/>
  <c r="QM359" i="29"/>
  <c r="QN359" i="29"/>
  <c r="QO359" i="29"/>
  <c r="QP359" i="29"/>
  <c r="QQ359" i="29"/>
  <c r="QR359" i="29"/>
  <c r="QS359" i="29"/>
  <c r="QT359" i="29"/>
  <c r="QU359" i="29"/>
  <c r="QV359" i="29"/>
  <c r="QW359" i="29"/>
  <c r="QX359" i="29"/>
  <c r="QY359" i="29"/>
  <c r="QZ359" i="29"/>
  <c r="RA359" i="29"/>
  <c r="RB359" i="29"/>
  <c r="RC359" i="29"/>
  <c r="RD359" i="29"/>
  <c r="RE359" i="29"/>
  <c r="RF359" i="29"/>
  <c r="RG359" i="29"/>
  <c r="RH359" i="29"/>
  <c r="RI359" i="29"/>
  <c r="RJ359" i="29"/>
  <c r="RK359" i="29"/>
  <c r="RL359" i="29"/>
  <c r="RM359" i="29"/>
  <c r="RN359" i="29"/>
  <c r="RO359" i="29"/>
  <c r="RP359" i="29"/>
  <c r="RQ359" i="29"/>
  <c r="RR359" i="29"/>
  <c r="RS359" i="29"/>
  <c r="RT359" i="29"/>
  <c r="RU359" i="29"/>
  <c r="RV359" i="29"/>
  <c r="RW359" i="29"/>
  <c r="RX359" i="29"/>
  <c r="RY359" i="29"/>
  <c r="RZ359" i="29"/>
  <c r="SA359" i="29"/>
  <c r="SB359" i="29"/>
  <c r="SC359" i="29"/>
  <c r="SD359" i="29"/>
  <c r="SE359" i="29"/>
  <c r="SF359" i="29"/>
  <c r="SG359" i="29"/>
  <c r="SH359" i="29"/>
  <c r="SI359" i="29"/>
  <c r="SJ359" i="29"/>
  <c r="SK359" i="29"/>
  <c r="SL359" i="29"/>
  <c r="SM359" i="29"/>
  <c r="SN359" i="29"/>
  <c r="SO359" i="29"/>
  <c r="SP359" i="29"/>
  <c r="SQ359" i="29"/>
  <c r="SR359" i="29"/>
  <c r="SS359" i="29"/>
  <c r="B360" i="29"/>
  <c r="C360" i="29"/>
  <c r="D360" i="29"/>
  <c r="E360" i="29"/>
  <c r="F360" i="29"/>
  <c r="G360" i="29"/>
  <c r="H360" i="29"/>
  <c r="I360" i="29"/>
  <c r="J360" i="29"/>
  <c r="K360" i="29"/>
  <c r="L360" i="29"/>
  <c r="M360" i="29"/>
  <c r="N360" i="29"/>
  <c r="O360" i="29"/>
  <c r="P360" i="29"/>
  <c r="Q360" i="29"/>
  <c r="R360" i="29"/>
  <c r="S360" i="29"/>
  <c r="T360" i="29"/>
  <c r="U360" i="29"/>
  <c r="V360" i="29"/>
  <c r="W360" i="29"/>
  <c r="X360" i="29"/>
  <c r="Y360" i="29"/>
  <c r="Z360" i="29"/>
  <c r="AA360" i="29"/>
  <c r="AB360" i="29"/>
  <c r="AC360" i="29"/>
  <c r="AD360" i="29"/>
  <c r="AE360" i="29"/>
  <c r="AF360" i="29"/>
  <c r="AG360" i="29"/>
  <c r="AH360" i="29"/>
  <c r="AI360" i="29"/>
  <c r="AJ360" i="29"/>
  <c r="AK360" i="29"/>
  <c r="AL360" i="29"/>
  <c r="AM360" i="29"/>
  <c r="AN360" i="29"/>
  <c r="AO360" i="29"/>
  <c r="AP360" i="29"/>
  <c r="AQ360" i="29"/>
  <c r="AR360" i="29"/>
  <c r="AS360" i="29"/>
  <c r="AT360" i="29"/>
  <c r="AU360" i="29"/>
  <c r="AV360" i="29"/>
  <c r="AW360" i="29"/>
  <c r="AX360" i="29"/>
  <c r="AY360" i="29"/>
  <c r="AZ360" i="29"/>
  <c r="BA360" i="29"/>
  <c r="BB360" i="29"/>
  <c r="BC360" i="29"/>
  <c r="BD360" i="29"/>
  <c r="BE360" i="29"/>
  <c r="BF360" i="29"/>
  <c r="BG360" i="29"/>
  <c r="BH360" i="29"/>
  <c r="BI360" i="29"/>
  <c r="BJ360" i="29"/>
  <c r="BK360" i="29"/>
  <c r="BL360" i="29"/>
  <c r="BM360" i="29"/>
  <c r="BN360" i="29"/>
  <c r="BO360" i="29"/>
  <c r="BP360" i="29"/>
  <c r="BQ360" i="29"/>
  <c r="BR360" i="29"/>
  <c r="BS360" i="29"/>
  <c r="BT360" i="29"/>
  <c r="BU360" i="29"/>
  <c r="BV360" i="29"/>
  <c r="BW360" i="29"/>
  <c r="BX360" i="29"/>
  <c r="BY360" i="29"/>
  <c r="BZ360" i="29"/>
  <c r="CA360" i="29"/>
  <c r="CB360" i="29"/>
  <c r="CC360" i="29"/>
  <c r="CD360" i="29"/>
  <c r="CE360" i="29"/>
  <c r="CF360" i="29"/>
  <c r="CG360" i="29"/>
  <c r="CH360" i="29"/>
  <c r="CI360" i="29"/>
  <c r="CJ360" i="29"/>
  <c r="CK360" i="29"/>
  <c r="CL360" i="29"/>
  <c r="CM360" i="29"/>
  <c r="CN360" i="29"/>
  <c r="CO360" i="29"/>
  <c r="CP360" i="29"/>
  <c r="CQ360" i="29"/>
  <c r="CR360" i="29"/>
  <c r="CS360" i="29"/>
  <c r="CT360" i="29"/>
  <c r="CU360" i="29"/>
  <c r="CV360" i="29"/>
  <c r="CW360" i="29"/>
  <c r="CX360" i="29"/>
  <c r="CY360" i="29"/>
  <c r="CZ360" i="29"/>
  <c r="DA360" i="29"/>
  <c r="DB360" i="29"/>
  <c r="DC360" i="29"/>
  <c r="DD360" i="29"/>
  <c r="DE360" i="29"/>
  <c r="DF360" i="29"/>
  <c r="DG360" i="29"/>
  <c r="DH360" i="29"/>
  <c r="DI360" i="29"/>
  <c r="DJ360" i="29"/>
  <c r="DK360" i="29"/>
  <c r="DL360" i="29"/>
  <c r="DM360" i="29"/>
  <c r="DN360" i="29"/>
  <c r="DO360" i="29"/>
  <c r="DP360" i="29"/>
  <c r="DQ360" i="29"/>
  <c r="DR360" i="29"/>
  <c r="DS360" i="29"/>
  <c r="DT360" i="29"/>
  <c r="DU360" i="29"/>
  <c r="DV360" i="29"/>
  <c r="DW360" i="29"/>
  <c r="DX360" i="29"/>
  <c r="DY360" i="29"/>
  <c r="DZ360" i="29"/>
  <c r="EA360" i="29"/>
  <c r="EB360" i="29"/>
  <c r="EC360" i="29"/>
  <c r="ED360" i="29"/>
  <c r="EE360" i="29"/>
  <c r="EF360" i="29"/>
  <c r="EG360" i="29"/>
  <c r="EH360" i="29"/>
  <c r="EI360" i="29"/>
  <c r="EJ360" i="29"/>
  <c r="EK360" i="29"/>
  <c r="EL360" i="29"/>
  <c r="EM360" i="29"/>
  <c r="EN360" i="29"/>
  <c r="EO360" i="29"/>
  <c r="EP360" i="29"/>
  <c r="EQ360" i="29"/>
  <c r="ER360" i="29"/>
  <c r="ES360" i="29"/>
  <c r="ET360" i="29"/>
  <c r="EU360" i="29"/>
  <c r="EV360" i="29"/>
  <c r="EW360" i="29"/>
  <c r="EX360" i="29"/>
  <c r="EY360" i="29"/>
  <c r="EZ360" i="29"/>
  <c r="FA360" i="29"/>
  <c r="FB360" i="29"/>
  <c r="FC360" i="29"/>
  <c r="FD360" i="29"/>
  <c r="FE360" i="29"/>
  <c r="FF360" i="29"/>
  <c r="FG360" i="29"/>
  <c r="FH360" i="29"/>
  <c r="FI360" i="29"/>
  <c r="FJ360" i="29"/>
  <c r="FK360" i="29"/>
  <c r="FL360" i="29"/>
  <c r="FM360" i="29"/>
  <c r="FN360" i="29"/>
  <c r="FO360" i="29"/>
  <c r="FP360" i="29"/>
  <c r="FQ360" i="29"/>
  <c r="FR360" i="29"/>
  <c r="FS360" i="29"/>
  <c r="FT360" i="29"/>
  <c r="FU360" i="29"/>
  <c r="FV360" i="29"/>
  <c r="FW360" i="29"/>
  <c r="FX360" i="29"/>
  <c r="FY360" i="29"/>
  <c r="FZ360" i="29"/>
  <c r="GA360" i="29"/>
  <c r="GB360" i="29"/>
  <c r="GC360" i="29"/>
  <c r="GD360" i="29"/>
  <c r="GE360" i="29"/>
  <c r="GF360" i="29"/>
  <c r="GG360" i="29"/>
  <c r="GH360" i="29"/>
  <c r="GI360" i="29"/>
  <c r="GJ360" i="29"/>
  <c r="GK360" i="29"/>
  <c r="GL360" i="29"/>
  <c r="GM360" i="29"/>
  <c r="GN360" i="29"/>
  <c r="GO360" i="29"/>
  <c r="GP360" i="29"/>
  <c r="GQ360" i="29"/>
  <c r="GR360" i="29"/>
  <c r="GS360" i="29"/>
  <c r="GT360" i="29"/>
  <c r="GU360" i="29"/>
  <c r="GV360" i="29"/>
  <c r="GW360" i="29"/>
  <c r="GX360" i="29"/>
  <c r="GY360" i="29"/>
  <c r="GZ360" i="29"/>
  <c r="HA360" i="29"/>
  <c r="HB360" i="29"/>
  <c r="HC360" i="29"/>
  <c r="HD360" i="29"/>
  <c r="HE360" i="29"/>
  <c r="HF360" i="29"/>
  <c r="HG360" i="29"/>
  <c r="HH360" i="29"/>
  <c r="HI360" i="29"/>
  <c r="HJ360" i="29"/>
  <c r="HK360" i="29"/>
  <c r="HL360" i="29"/>
  <c r="HM360" i="29"/>
  <c r="HN360" i="29"/>
  <c r="HO360" i="29"/>
  <c r="HP360" i="29"/>
  <c r="HQ360" i="29"/>
  <c r="HR360" i="29"/>
  <c r="HS360" i="29"/>
  <c r="HT360" i="29"/>
  <c r="HU360" i="29"/>
  <c r="HV360" i="29"/>
  <c r="HW360" i="29"/>
  <c r="HX360" i="29"/>
  <c r="HY360" i="29"/>
  <c r="HZ360" i="29"/>
  <c r="IA360" i="29"/>
  <c r="IB360" i="29"/>
  <c r="IC360" i="29"/>
  <c r="ID360" i="29"/>
  <c r="IE360" i="29"/>
  <c r="IF360" i="29"/>
  <c r="IG360" i="29"/>
  <c r="IH360" i="29"/>
  <c r="II360" i="29"/>
  <c r="IJ360" i="29"/>
  <c r="IK360" i="29"/>
  <c r="IL360" i="29"/>
  <c r="IM360" i="29"/>
  <c r="IN360" i="29"/>
  <c r="IO360" i="29"/>
  <c r="IP360" i="29"/>
  <c r="IQ360" i="29"/>
  <c r="IR360" i="29"/>
  <c r="IS360" i="29"/>
  <c r="IT360" i="29"/>
  <c r="IU360" i="29"/>
  <c r="IV360" i="29"/>
  <c r="IW360" i="29"/>
  <c r="IX360" i="29"/>
  <c r="IY360" i="29"/>
  <c r="IZ360" i="29"/>
  <c r="JA360" i="29"/>
  <c r="JB360" i="29"/>
  <c r="JC360" i="29"/>
  <c r="JD360" i="29"/>
  <c r="JE360" i="29"/>
  <c r="JF360" i="29"/>
  <c r="JG360" i="29"/>
  <c r="JH360" i="29"/>
  <c r="JI360" i="29"/>
  <c r="JJ360" i="29"/>
  <c r="JK360" i="29"/>
  <c r="JL360" i="29"/>
  <c r="JM360" i="29"/>
  <c r="JN360" i="29"/>
  <c r="JO360" i="29"/>
  <c r="JP360" i="29"/>
  <c r="JQ360" i="29"/>
  <c r="JR360" i="29"/>
  <c r="JS360" i="29"/>
  <c r="JT360" i="29"/>
  <c r="JU360" i="29"/>
  <c r="JV360" i="29"/>
  <c r="JW360" i="29"/>
  <c r="JX360" i="29"/>
  <c r="JY360" i="29"/>
  <c r="JZ360" i="29"/>
  <c r="KA360" i="29"/>
  <c r="KB360" i="29"/>
  <c r="KC360" i="29"/>
  <c r="KD360" i="29"/>
  <c r="KE360" i="29"/>
  <c r="KF360" i="29"/>
  <c r="KG360" i="29"/>
  <c r="KH360" i="29"/>
  <c r="KI360" i="29"/>
  <c r="KJ360" i="29"/>
  <c r="KK360" i="29"/>
  <c r="KL360" i="29"/>
  <c r="KM360" i="29"/>
  <c r="KN360" i="29"/>
  <c r="KO360" i="29"/>
  <c r="KP360" i="29"/>
  <c r="KQ360" i="29"/>
  <c r="KR360" i="29"/>
  <c r="KS360" i="29"/>
  <c r="KT360" i="29"/>
  <c r="KU360" i="29"/>
  <c r="KV360" i="29"/>
  <c r="KW360" i="29"/>
  <c r="KX360" i="29"/>
  <c r="KY360" i="29"/>
  <c r="KZ360" i="29"/>
  <c r="LA360" i="29"/>
  <c r="LB360" i="29"/>
  <c r="LC360" i="29"/>
  <c r="LD360" i="29"/>
  <c r="LE360" i="29"/>
  <c r="LF360" i="29"/>
  <c r="LG360" i="29"/>
  <c r="LH360" i="29"/>
  <c r="LI360" i="29"/>
  <c r="LJ360" i="29"/>
  <c r="LK360" i="29"/>
  <c r="LL360" i="29"/>
  <c r="LM360" i="29"/>
  <c r="LN360" i="29"/>
  <c r="LO360" i="29"/>
  <c r="LP360" i="29"/>
  <c r="LQ360" i="29"/>
  <c r="LR360" i="29"/>
  <c r="LS360" i="29"/>
  <c r="LT360" i="29"/>
  <c r="LU360" i="29"/>
  <c r="LV360" i="29"/>
  <c r="LW360" i="29"/>
  <c r="LX360" i="29"/>
  <c r="LY360" i="29"/>
  <c r="LZ360" i="29"/>
  <c r="MA360" i="29"/>
  <c r="MB360" i="29"/>
  <c r="MC360" i="29"/>
  <c r="MD360" i="29"/>
  <c r="ME360" i="29"/>
  <c r="MF360" i="29"/>
  <c r="MG360" i="29"/>
  <c r="MH360" i="29"/>
  <c r="MI360" i="29"/>
  <c r="MJ360" i="29"/>
  <c r="MK360" i="29"/>
  <c r="ML360" i="29"/>
  <c r="MM360" i="29"/>
  <c r="MN360" i="29"/>
  <c r="MO360" i="29"/>
  <c r="MP360" i="29"/>
  <c r="MQ360" i="29"/>
  <c r="MR360" i="29"/>
  <c r="MS360" i="29"/>
  <c r="MT360" i="29"/>
  <c r="MU360" i="29"/>
  <c r="MV360" i="29"/>
  <c r="MW360" i="29"/>
  <c r="MX360" i="29"/>
  <c r="MY360" i="29"/>
  <c r="MZ360" i="29"/>
  <c r="NA360" i="29"/>
  <c r="NB360" i="29"/>
  <c r="NC360" i="29"/>
  <c r="ND360" i="29"/>
  <c r="NE360" i="29"/>
  <c r="NF360" i="29"/>
  <c r="NG360" i="29"/>
  <c r="NH360" i="29"/>
  <c r="NI360" i="29"/>
  <c r="NJ360" i="29"/>
  <c r="NK360" i="29"/>
  <c r="NL360" i="29"/>
  <c r="NM360" i="29"/>
  <c r="NN360" i="29"/>
  <c r="NO360" i="29"/>
  <c r="NP360" i="29"/>
  <c r="NQ360" i="29"/>
  <c r="NR360" i="29"/>
  <c r="NS360" i="29"/>
  <c r="NT360" i="29"/>
  <c r="NU360" i="29"/>
  <c r="NV360" i="29"/>
  <c r="NW360" i="29"/>
  <c r="NX360" i="29"/>
  <c r="NY360" i="29"/>
  <c r="NZ360" i="29"/>
  <c r="OA360" i="29"/>
  <c r="OB360" i="29"/>
  <c r="OC360" i="29"/>
  <c r="OD360" i="29"/>
  <c r="OE360" i="29"/>
  <c r="OF360" i="29"/>
  <c r="OG360" i="29"/>
  <c r="OH360" i="29"/>
  <c r="OI360" i="29"/>
  <c r="OJ360" i="29"/>
  <c r="OK360" i="29"/>
  <c r="OL360" i="29"/>
  <c r="OM360" i="29"/>
  <c r="ON360" i="29"/>
  <c r="OO360" i="29"/>
  <c r="OP360" i="29"/>
  <c r="OQ360" i="29"/>
  <c r="OR360" i="29"/>
  <c r="OS360" i="29"/>
  <c r="OT360" i="29"/>
  <c r="OU360" i="29"/>
  <c r="OV360" i="29"/>
  <c r="OW360" i="29"/>
  <c r="OX360" i="29"/>
  <c r="OY360" i="29"/>
  <c r="OZ360" i="29"/>
  <c r="PA360" i="29"/>
  <c r="PB360" i="29"/>
  <c r="PC360" i="29"/>
  <c r="PD360" i="29"/>
  <c r="PE360" i="29"/>
  <c r="PF360" i="29"/>
  <c r="PG360" i="29"/>
  <c r="PH360" i="29"/>
  <c r="PI360" i="29"/>
  <c r="PJ360" i="29"/>
  <c r="PK360" i="29"/>
  <c r="PL360" i="29"/>
  <c r="PM360" i="29"/>
  <c r="PN360" i="29"/>
  <c r="PO360" i="29"/>
  <c r="PP360" i="29"/>
  <c r="PQ360" i="29"/>
  <c r="PR360" i="29"/>
  <c r="PS360" i="29"/>
  <c r="PT360" i="29"/>
  <c r="PU360" i="29"/>
  <c r="PV360" i="29"/>
  <c r="PW360" i="29"/>
  <c r="PX360" i="29"/>
  <c r="PY360" i="29"/>
  <c r="PZ360" i="29"/>
  <c r="QA360" i="29"/>
  <c r="QB360" i="29"/>
  <c r="QC360" i="29"/>
  <c r="QD360" i="29"/>
  <c r="QE360" i="29"/>
  <c r="QF360" i="29"/>
  <c r="QG360" i="29"/>
  <c r="QH360" i="29"/>
  <c r="QI360" i="29"/>
  <c r="QJ360" i="29"/>
  <c r="QK360" i="29"/>
  <c r="QL360" i="29"/>
  <c r="QM360" i="29"/>
  <c r="QN360" i="29"/>
  <c r="QO360" i="29"/>
  <c r="QP360" i="29"/>
  <c r="QQ360" i="29"/>
  <c r="QR360" i="29"/>
  <c r="QS360" i="29"/>
  <c r="QT360" i="29"/>
  <c r="QU360" i="29"/>
  <c r="QV360" i="29"/>
  <c r="QW360" i="29"/>
  <c r="QX360" i="29"/>
  <c r="QY360" i="29"/>
  <c r="QZ360" i="29"/>
  <c r="RA360" i="29"/>
  <c r="RB360" i="29"/>
  <c r="RC360" i="29"/>
  <c r="RD360" i="29"/>
  <c r="RE360" i="29"/>
  <c r="RF360" i="29"/>
  <c r="RG360" i="29"/>
  <c r="RH360" i="29"/>
  <c r="RI360" i="29"/>
  <c r="RJ360" i="29"/>
  <c r="RK360" i="29"/>
  <c r="RL360" i="29"/>
  <c r="RM360" i="29"/>
  <c r="RN360" i="29"/>
  <c r="RO360" i="29"/>
  <c r="RP360" i="29"/>
  <c r="RQ360" i="29"/>
  <c r="RR360" i="29"/>
  <c r="RS360" i="29"/>
  <c r="RT360" i="29"/>
  <c r="RU360" i="29"/>
  <c r="RV360" i="29"/>
  <c r="RW360" i="29"/>
  <c r="RX360" i="29"/>
  <c r="RY360" i="29"/>
  <c r="RZ360" i="29"/>
  <c r="SA360" i="29"/>
  <c r="SB360" i="29"/>
  <c r="SC360" i="29"/>
  <c r="SD360" i="29"/>
  <c r="SE360" i="29"/>
  <c r="SF360" i="29"/>
  <c r="SG360" i="29"/>
  <c r="SH360" i="29"/>
  <c r="SI360" i="29"/>
  <c r="SJ360" i="29"/>
  <c r="SK360" i="29"/>
  <c r="SL360" i="29"/>
  <c r="SM360" i="29"/>
  <c r="SN360" i="29"/>
  <c r="SO360" i="29"/>
  <c r="SP360" i="29"/>
  <c r="SQ360" i="29"/>
  <c r="SR360" i="29"/>
  <c r="SS360" i="29"/>
  <c r="B361" i="29"/>
  <c r="C361" i="29"/>
  <c r="D361" i="29"/>
  <c r="E361" i="29"/>
  <c r="F361" i="29"/>
  <c r="G361" i="29"/>
  <c r="H361" i="29"/>
  <c r="I361" i="29"/>
  <c r="J361" i="29"/>
  <c r="K361" i="29"/>
  <c r="L361" i="29"/>
  <c r="M361" i="29"/>
  <c r="N361" i="29"/>
  <c r="O361" i="29"/>
  <c r="P361" i="29"/>
  <c r="Q361" i="29"/>
  <c r="R361" i="29"/>
  <c r="S361" i="29"/>
  <c r="T361" i="29"/>
  <c r="U361" i="29"/>
  <c r="V361" i="29"/>
  <c r="W361" i="29"/>
  <c r="X361" i="29"/>
  <c r="Y361" i="29"/>
  <c r="Z361" i="29"/>
  <c r="AA361" i="29"/>
  <c r="AB361" i="29"/>
  <c r="AC361" i="29"/>
  <c r="AD361" i="29"/>
  <c r="AE361" i="29"/>
  <c r="AF361" i="29"/>
  <c r="AG361" i="29"/>
  <c r="AH361" i="29"/>
  <c r="AI361" i="29"/>
  <c r="AJ361" i="29"/>
  <c r="AK361" i="29"/>
  <c r="AL361" i="29"/>
  <c r="AM361" i="29"/>
  <c r="AN361" i="29"/>
  <c r="AO361" i="29"/>
  <c r="AP361" i="29"/>
  <c r="AQ361" i="29"/>
  <c r="AR361" i="29"/>
  <c r="AS361" i="29"/>
  <c r="AT361" i="29"/>
  <c r="AU361" i="29"/>
  <c r="AV361" i="29"/>
  <c r="AW361" i="29"/>
  <c r="AX361" i="29"/>
  <c r="AY361" i="29"/>
  <c r="AZ361" i="29"/>
  <c r="BA361" i="29"/>
  <c r="BB361" i="29"/>
  <c r="BC361" i="29"/>
  <c r="BD361" i="29"/>
  <c r="BE361" i="29"/>
  <c r="BF361" i="29"/>
  <c r="BG361" i="29"/>
  <c r="BH361" i="29"/>
  <c r="BI361" i="29"/>
  <c r="BJ361" i="29"/>
  <c r="BK361" i="29"/>
  <c r="BL361" i="29"/>
  <c r="BM361" i="29"/>
  <c r="BN361" i="29"/>
  <c r="BO361" i="29"/>
  <c r="BP361" i="29"/>
  <c r="BQ361" i="29"/>
  <c r="BR361" i="29"/>
  <c r="BS361" i="29"/>
  <c r="BT361" i="29"/>
  <c r="BU361" i="29"/>
  <c r="BV361" i="29"/>
  <c r="BW361" i="29"/>
  <c r="BX361" i="29"/>
  <c r="BY361" i="29"/>
  <c r="BZ361" i="29"/>
  <c r="CA361" i="29"/>
  <c r="CB361" i="29"/>
  <c r="CC361" i="29"/>
  <c r="CD361" i="29"/>
  <c r="CE361" i="29"/>
  <c r="CF361" i="29"/>
  <c r="CG361" i="29"/>
  <c r="CH361" i="29"/>
  <c r="CI361" i="29"/>
  <c r="CJ361" i="29"/>
  <c r="CK361" i="29"/>
  <c r="CL361" i="29"/>
  <c r="CM361" i="29"/>
  <c r="CN361" i="29"/>
  <c r="CO361" i="29"/>
  <c r="CP361" i="29"/>
  <c r="CQ361" i="29"/>
  <c r="CR361" i="29"/>
  <c r="CS361" i="29"/>
  <c r="CT361" i="29"/>
  <c r="CU361" i="29"/>
  <c r="CV361" i="29"/>
  <c r="CW361" i="29"/>
  <c r="CX361" i="29"/>
  <c r="CY361" i="29"/>
  <c r="CZ361" i="29"/>
  <c r="DA361" i="29"/>
  <c r="DB361" i="29"/>
  <c r="DC361" i="29"/>
  <c r="DD361" i="29"/>
  <c r="DE361" i="29"/>
  <c r="DF361" i="29"/>
  <c r="DG361" i="29"/>
  <c r="DH361" i="29"/>
  <c r="DI361" i="29"/>
  <c r="DJ361" i="29"/>
  <c r="DK361" i="29"/>
  <c r="DL361" i="29"/>
  <c r="DM361" i="29"/>
  <c r="DN361" i="29"/>
  <c r="DO361" i="29"/>
  <c r="DP361" i="29"/>
  <c r="DQ361" i="29"/>
  <c r="DR361" i="29"/>
  <c r="DS361" i="29"/>
  <c r="DT361" i="29"/>
  <c r="DU361" i="29"/>
  <c r="DV361" i="29"/>
  <c r="DW361" i="29"/>
  <c r="DX361" i="29"/>
  <c r="DY361" i="29"/>
  <c r="DZ361" i="29"/>
  <c r="EA361" i="29"/>
  <c r="EB361" i="29"/>
  <c r="EC361" i="29"/>
  <c r="ED361" i="29"/>
  <c r="EE361" i="29"/>
  <c r="EF361" i="29"/>
  <c r="EG361" i="29"/>
  <c r="EH361" i="29"/>
  <c r="EI361" i="29"/>
  <c r="EJ361" i="29"/>
  <c r="EK361" i="29"/>
  <c r="EL361" i="29"/>
  <c r="EM361" i="29"/>
  <c r="EN361" i="29"/>
  <c r="EO361" i="29"/>
  <c r="EP361" i="29"/>
  <c r="EQ361" i="29"/>
  <c r="ER361" i="29"/>
  <c r="ES361" i="29"/>
  <c r="ET361" i="29"/>
  <c r="EU361" i="29"/>
  <c r="EV361" i="29"/>
  <c r="EW361" i="29"/>
  <c r="EX361" i="29"/>
  <c r="EY361" i="29"/>
  <c r="EZ361" i="29"/>
  <c r="FA361" i="29"/>
  <c r="FB361" i="29"/>
  <c r="FC361" i="29"/>
  <c r="FD361" i="29"/>
  <c r="FE361" i="29"/>
  <c r="FF361" i="29"/>
  <c r="FG361" i="29"/>
  <c r="FH361" i="29"/>
  <c r="FI361" i="29"/>
  <c r="FJ361" i="29"/>
  <c r="FK361" i="29"/>
  <c r="FL361" i="29"/>
  <c r="FM361" i="29"/>
  <c r="FN361" i="29"/>
  <c r="FO361" i="29"/>
  <c r="FP361" i="29"/>
  <c r="FQ361" i="29"/>
  <c r="FR361" i="29"/>
  <c r="FS361" i="29"/>
  <c r="FT361" i="29"/>
  <c r="FU361" i="29"/>
  <c r="FV361" i="29"/>
  <c r="FW361" i="29"/>
  <c r="FX361" i="29"/>
  <c r="FY361" i="29"/>
  <c r="FZ361" i="29"/>
  <c r="GA361" i="29"/>
  <c r="GB361" i="29"/>
  <c r="GC361" i="29"/>
  <c r="GD361" i="29"/>
  <c r="GE361" i="29"/>
  <c r="GF361" i="29"/>
  <c r="GG361" i="29"/>
  <c r="GH361" i="29"/>
  <c r="GI361" i="29"/>
  <c r="GJ361" i="29"/>
  <c r="GK361" i="29"/>
  <c r="GL361" i="29"/>
  <c r="GM361" i="29"/>
  <c r="GN361" i="29"/>
  <c r="GO361" i="29"/>
  <c r="GP361" i="29"/>
  <c r="GQ361" i="29"/>
  <c r="GR361" i="29"/>
  <c r="GS361" i="29"/>
  <c r="GT361" i="29"/>
  <c r="GU361" i="29"/>
  <c r="GV361" i="29"/>
  <c r="GW361" i="29"/>
  <c r="GX361" i="29"/>
  <c r="GY361" i="29"/>
  <c r="GZ361" i="29"/>
  <c r="HA361" i="29"/>
  <c r="HB361" i="29"/>
  <c r="HC361" i="29"/>
  <c r="HD361" i="29"/>
  <c r="HE361" i="29"/>
  <c r="HF361" i="29"/>
  <c r="HG361" i="29"/>
  <c r="HH361" i="29"/>
  <c r="HI361" i="29"/>
  <c r="HJ361" i="29"/>
  <c r="HK361" i="29"/>
  <c r="HL361" i="29"/>
  <c r="HM361" i="29"/>
  <c r="HN361" i="29"/>
  <c r="HO361" i="29"/>
  <c r="HP361" i="29"/>
  <c r="HQ361" i="29"/>
  <c r="HR361" i="29"/>
  <c r="HS361" i="29"/>
  <c r="HT361" i="29"/>
  <c r="HU361" i="29"/>
  <c r="HV361" i="29"/>
  <c r="HW361" i="29"/>
  <c r="HX361" i="29"/>
  <c r="HY361" i="29"/>
  <c r="HZ361" i="29"/>
  <c r="IA361" i="29"/>
  <c r="IB361" i="29"/>
  <c r="IC361" i="29"/>
  <c r="ID361" i="29"/>
  <c r="IE361" i="29"/>
  <c r="IF361" i="29"/>
  <c r="IG361" i="29"/>
  <c r="IH361" i="29"/>
  <c r="II361" i="29"/>
  <c r="IJ361" i="29"/>
  <c r="IK361" i="29"/>
  <c r="IL361" i="29"/>
  <c r="IM361" i="29"/>
  <c r="IN361" i="29"/>
  <c r="IO361" i="29"/>
  <c r="IP361" i="29"/>
  <c r="IQ361" i="29"/>
  <c r="IR361" i="29"/>
  <c r="IS361" i="29"/>
  <c r="IT361" i="29"/>
  <c r="IU361" i="29"/>
  <c r="IV361" i="29"/>
  <c r="IW361" i="29"/>
  <c r="IX361" i="29"/>
  <c r="IY361" i="29"/>
  <c r="IZ361" i="29"/>
  <c r="JA361" i="29"/>
  <c r="JB361" i="29"/>
  <c r="JC361" i="29"/>
  <c r="JD361" i="29"/>
  <c r="JE361" i="29"/>
  <c r="JF361" i="29"/>
  <c r="JG361" i="29"/>
  <c r="JH361" i="29"/>
  <c r="JI361" i="29"/>
  <c r="JJ361" i="29"/>
  <c r="JK361" i="29"/>
  <c r="JL361" i="29"/>
  <c r="JM361" i="29"/>
  <c r="JN361" i="29"/>
  <c r="JO361" i="29"/>
  <c r="JP361" i="29"/>
  <c r="JQ361" i="29"/>
  <c r="JR361" i="29"/>
  <c r="JS361" i="29"/>
  <c r="JT361" i="29"/>
  <c r="JU361" i="29"/>
  <c r="JV361" i="29"/>
  <c r="JW361" i="29"/>
  <c r="JX361" i="29"/>
  <c r="JY361" i="29"/>
  <c r="JZ361" i="29"/>
  <c r="KA361" i="29"/>
  <c r="KB361" i="29"/>
  <c r="KC361" i="29"/>
  <c r="KD361" i="29"/>
  <c r="KE361" i="29"/>
  <c r="KF361" i="29"/>
  <c r="KG361" i="29"/>
  <c r="KH361" i="29"/>
  <c r="KI361" i="29"/>
  <c r="KJ361" i="29"/>
  <c r="KK361" i="29"/>
  <c r="KL361" i="29"/>
  <c r="KM361" i="29"/>
  <c r="KN361" i="29"/>
  <c r="KO361" i="29"/>
  <c r="KP361" i="29"/>
  <c r="KQ361" i="29"/>
  <c r="KR361" i="29"/>
  <c r="KS361" i="29"/>
  <c r="KT361" i="29"/>
  <c r="KU361" i="29"/>
  <c r="KV361" i="29"/>
  <c r="KW361" i="29"/>
  <c r="KX361" i="29"/>
  <c r="KY361" i="29"/>
  <c r="KZ361" i="29"/>
  <c r="LA361" i="29"/>
  <c r="LB361" i="29"/>
  <c r="LC361" i="29"/>
  <c r="LD361" i="29"/>
  <c r="LE361" i="29"/>
  <c r="LF361" i="29"/>
  <c r="LG361" i="29"/>
  <c r="LH361" i="29"/>
  <c r="LI361" i="29"/>
  <c r="LJ361" i="29"/>
  <c r="LK361" i="29"/>
  <c r="LL361" i="29"/>
  <c r="LM361" i="29"/>
  <c r="LN361" i="29"/>
  <c r="LO361" i="29"/>
  <c r="LP361" i="29"/>
  <c r="LQ361" i="29"/>
  <c r="LR361" i="29"/>
  <c r="LS361" i="29"/>
  <c r="LT361" i="29"/>
  <c r="LU361" i="29"/>
  <c r="LV361" i="29"/>
  <c r="LW361" i="29"/>
  <c r="LX361" i="29"/>
  <c r="LY361" i="29"/>
  <c r="LZ361" i="29"/>
  <c r="MA361" i="29"/>
  <c r="MB361" i="29"/>
  <c r="MC361" i="29"/>
  <c r="MD361" i="29"/>
  <c r="ME361" i="29"/>
  <c r="MF361" i="29"/>
  <c r="MG361" i="29"/>
  <c r="MH361" i="29"/>
  <c r="MI361" i="29"/>
  <c r="MJ361" i="29"/>
  <c r="MK361" i="29"/>
  <c r="ML361" i="29"/>
  <c r="MM361" i="29"/>
  <c r="MN361" i="29"/>
  <c r="MO361" i="29"/>
  <c r="MP361" i="29"/>
  <c r="MQ361" i="29"/>
  <c r="MR361" i="29"/>
  <c r="MS361" i="29"/>
  <c r="MT361" i="29"/>
  <c r="MU361" i="29"/>
  <c r="MV361" i="29"/>
  <c r="MW361" i="29"/>
  <c r="MX361" i="29"/>
  <c r="MY361" i="29"/>
  <c r="MZ361" i="29"/>
  <c r="NA361" i="29"/>
  <c r="NB361" i="29"/>
  <c r="NC361" i="29"/>
  <c r="ND361" i="29"/>
  <c r="NE361" i="29"/>
  <c r="NF361" i="29"/>
  <c r="NG361" i="29"/>
  <c r="NH361" i="29"/>
  <c r="NI361" i="29"/>
  <c r="NJ361" i="29"/>
  <c r="NK361" i="29"/>
  <c r="NL361" i="29"/>
  <c r="NM361" i="29"/>
  <c r="NN361" i="29"/>
  <c r="NO361" i="29"/>
  <c r="NP361" i="29"/>
  <c r="NQ361" i="29"/>
  <c r="NR361" i="29"/>
  <c r="NS361" i="29"/>
  <c r="NT361" i="29"/>
  <c r="NU361" i="29"/>
  <c r="NV361" i="29"/>
  <c r="NW361" i="29"/>
  <c r="NX361" i="29"/>
  <c r="NY361" i="29"/>
  <c r="NZ361" i="29"/>
  <c r="OA361" i="29"/>
  <c r="OB361" i="29"/>
  <c r="OC361" i="29"/>
  <c r="OD361" i="29"/>
  <c r="OE361" i="29"/>
  <c r="OF361" i="29"/>
  <c r="OG361" i="29"/>
  <c r="OH361" i="29"/>
  <c r="OI361" i="29"/>
  <c r="OJ361" i="29"/>
  <c r="OK361" i="29"/>
  <c r="OL361" i="29"/>
  <c r="OM361" i="29"/>
  <c r="ON361" i="29"/>
  <c r="OO361" i="29"/>
  <c r="OP361" i="29"/>
  <c r="OQ361" i="29"/>
  <c r="OR361" i="29"/>
  <c r="OS361" i="29"/>
  <c r="OT361" i="29"/>
  <c r="OU361" i="29"/>
  <c r="OV361" i="29"/>
  <c r="OW361" i="29"/>
  <c r="OX361" i="29"/>
  <c r="OY361" i="29"/>
  <c r="OZ361" i="29"/>
  <c r="PA361" i="29"/>
  <c r="PB361" i="29"/>
  <c r="PC361" i="29"/>
  <c r="PD361" i="29"/>
  <c r="PE361" i="29"/>
  <c r="PF361" i="29"/>
  <c r="PG361" i="29"/>
  <c r="PH361" i="29"/>
  <c r="PI361" i="29"/>
  <c r="PJ361" i="29"/>
  <c r="PK361" i="29"/>
  <c r="PL361" i="29"/>
  <c r="PM361" i="29"/>
  <c r="PN361" i="29"/>
  <c r="PO361" i="29"/>
  <c r="PP361" i="29"/>
  <c r="PQ361" i="29"/>
  <c r="PR361" i="29"/>
  <c r="PS361" i="29"/>
  <c r="PT361" i="29"/>
  <c r="PU361" i="29"/>
  <c r="PV361" i="29"/>
  <c r="PW361" i="29"/>
  <c r="PX361" i="29"/>
  <c r="PY361" i="29"/>
  <c r="PZ361" i="29"/>
  <c r="QA361" i="29"/>
  <c r="QB361" i="29"/>
  <c r="QC361" i="29"/>
  <c r="QD361" i="29"/>
  <c r="QE361" i="29"/>
  <c r="QF361" i="29"/>
  <c r="QG361" i="29"/>
  <c r="QH361" i="29"/>
  <c r="QI361" i="29"/>
  <c r="QJ361" i="29"/>
  <c r="QK361" i="29"/>
  <c r="QL361" i="29"/>
  <c r="QM361" i="29"/>
  <c r="QN361" i="29"/>
  <c r="QO361" i="29"/>
  <c r="QP361" i="29"/>
  <c r="QQ361" i="29"/>
  <c r="QR361" i="29"/>
  <c r="QS361" i="29"/>
  <c r="QT361" i="29"/>
  <c r="QU361" i="29"/>
  <c r="QV361" i="29"/>
  <c r="QW361" i="29"/>
  <c r="QX361" i="29"/>
  <c r="QY361" i="29"/>
  <c r="QZ361" i="29"/>
  <c r="RA361" i="29"/>
  <c r="RB361" i="29"/>
  <c r="RC361" i="29"/>
  <c r="RD361" i="29"/>
  <c r="RE361" i="29"/>
  <c r="RF361" i="29"/>
  <c r="RG361" i="29"/>
  <c r="RH361" i="29"/>
  <c r="RI361" i="29"/>
  <c r="RJ361" i="29"/>
  <c r="RK361" i="29"/>
  <c r="RL361" i="29"/>
  <c r="RM361" i="29"/>
  <c r="RN361" i="29"/>
  <c r="RO361" i="29"/>
  <c r="RP361" i="29"/>
  <c r="RQ361" i="29"/>
  <c r="RR361" i="29"/>
  <c r="RS361" i="29"/>
  <c r="RT361" i="29"/>
  <c r="RU361" i="29"/>
  <c r="RV361" i="29"/>
  <c r="RW361" i="29"/>
  <c r="RX361" i="29"/>
  <c r="RY361" i="29"/>
  <c r="RZ361" i="29"/>
  <c r="SA361" i="29"/>
  <c r="SB361" i="29"/>
  <c r="SC361" i="29"/>
  <c r="SD361" i="29"/>
  <c r="SE361" i="29"/>
  <c r="SF361" i="29"/>
  <c r="SG361" i="29"/>
  <c r="SH361" i="29"/>
  <c r="SI361" i="29"/>
  <c r="SJ361" i="29"/>
  <c r="SK361" i="29"/>
  <c r="SL361" i="29"/>
  <c r="SM361" i="29"/>
  <c r="SN361" i="29"/>
  <c r="SO361" i="29"/>
  <c r="SP361" i="29"/>
  <c r="SQ361" i="29"/>
  <c r="SR361" i="29"/>
  <c r="SS361" i="29"/>
  <c r="B362" i="29"/>
  <c r="C362" i="29"/>
  <c r="D362" i="29"/>
  <c r="E362" i="29"/>
  <c r="F362" i="29"/>
  <c r="G362" i="29"/>
  <c r="H362" i="29"/>
  <c r="I362" i="29"/>
  <c r="J362" i="29"/>
  <c r="K362" i="29"/>
  <c r="L362" i="29"/>
  <c r="M362" i="29"/>
  <c r="N362" i="29"/>
  <c r="O362" i="29"/>
  <c r="P362" i="29"/>
  <c r="Q362" i="29"/>
  <c r="R362" i="29"/>
  <c r="S362" i="29"/>
  <c r="T362" i="29"/>
  <c r="U362" i="29"/>
  <c r="V362" i="29"/>
  <c r="W362" i="29"/>
  <c r="X362" i="29"/>
  <c r="Y362" i="29"/>
  <c r="Z362" i="29"/>
  <c r="AA362" i="29"/>
  <c r="AB362" i="29"/>
  <c r="AC362" i="29"/>
  <c r="AD362" i="29"/>
  <c r="AE362" i="29"/>
  <c r="AF362" i="29"/>
  <c r="AG362" i="29"/>
  <c r="AH362" i="29"/>
  <c r="AI362" i="29"/>
  <c r="AJ362" i="29"/>
  <c r="AK362" i="29"/>
  <c r="AL362" i="29"/>
  <c r="AM362" i="29"/>
  <c r="AN362" i="29"/>
  <c r="AO362" i="29"/>
  <c r="AP362" i="29"/>
  <c r="AQ362" i="29"/>
  <c r="AR362" i="29"/>
  <c r="AS362" i="29"/>
  <c r="AT362" i="29"/>
  <c r="AU362" i="29"/>
  <c r="AV362" i="29"/>
  <c r="AW362" i="29"/>
  <c r="AX362" i="29"/>
  <c r="AY362" i="29"/>
  <c r="AZ362" i="29"/>
  <c r="BA362" i="29"/>
  <c r="BB362" i="29"/>
  <c r="BC362" i="29"/>
  <c r="BD362" i="29"/>
  <c r="BE362" i="29"/>
  <c r="BF362" i="29"/>
  <c r="BG362" i="29"/>
  <c r="BH362" i="29"/>
  <c r="BI362" i="29"/>
  <c r="BJ362" i="29"/>
  <c r="BK362" i="29"/>
  <c r="BL362" i="29"/>
  <c r="BM362" i="29"/>
  <c r="BN362" i="29"/>
  <c r="BO362" i="29"/>
  <c r="BP362" i="29"/>
  <c r="BQ362" i="29"/>
  <c r="BR362" i="29"/>
  <c r="BS362" i="29"/>
  <c r="BT362" i="29"/>
  <c r="BU362" i="29"/>
  <c r="BV362" i="29"/>
  <c r="BW362" i="29"/>
  <c r="BX362" i="29"/>
  <c r="BY362" i="29"/>
  <c r="BZ362" i="29"/>
  <c r="CA362" i="29"/>
  <c r="CB362" i="29"/>
  <c r="CC362" i="29"/>
  <c r="CD362" i="29"/>
  <c r="CE362" i="29"/>
  <c r="CF362" i="29"/>
  <c r="CG362" i="29"/>
  <c r="CH362" i="29"/>
  <c r="CI362" i="29"/>
  <c r="CJ362" i="29"/>
  <c r="CK362" i="29"/>
  <c r="CL362" i="29"/>
  <c r="CM362" i="29"/>
  <c r="CN362" i="29"/>
  <c r="CO362" i="29"/>
  <c r="CP362" i="29"/>
  <c r="CQ362" i="29"/>
  <c r="CR362" i="29"/>
  <c r="CS362" i="29"/>
  <c r="CT362" i="29"/>
  <c r="CU362" i="29"/>
  <c r="CV362" i="29"/>
  <c r="CW362" i="29"/>
  <c r="CX362" i="29"/>
  <c r="CY362" i="29"/>
  <c r="CZ362" i="29"/>
  <c r="DA362" i="29"/>
  <c r="DB362" i="29"/>
  <c r="DC362" i="29"/>
  <c r="DD362" i="29"/>
  <c r="DE362" i="29"/>
  <c r="DF362" i="29"/>
  <c r="DG362" i="29"/>
  <c r="DH362" i="29"/>
  <c r="DI362" i="29"/>
  <c r="DJ362" i="29"/>
  <c r="DK362" i="29"/>
  <c r="DL362" i="29"/>
  <c r="DM362" i="29"/>
  <c r="DN362" i="29"/>
  <c r="DO362" i="29"/>
  <c r="DP362" i="29"/>
  <c r="DQ362" i="29"/>
  <c r="DR362" i="29"/>
  <c r="DS362" i="29"/>
  <c r="DT362" i="29"/>
  <c r="DU362" i="29"/>
  <c r="DV362" i="29"/>
  <c r="DW362" i="29"/>
  <c r="DX362" i="29"/>
  <c r="DY362" i="29"/>
  <c r="DZ362" i="29"/>
  <c r="EA362" i="29"/>
  <c r="EB362" i="29"/>
  <c r="EC362" i="29"/>
  <c r="ED362" i="29"/>
  <c r="EE362" i="29"/>
  <c r="EF362" i="29"/>
  <c r="EG362" i="29"/>
  <c r="EH362" i="29"/>
  <c r="EI362" i="29"/>
  <c r="EJ362" i="29"/>
  <c r="EK362" i="29"/>
  <c r="EL362" i="29"/>
  <c r="EM362" i="29"/>
  <c r="EN362" i="29"/>
  <c r="EO362" i="29"/>
  <c r="EP362" i="29"/>
  <c r="EQ362" i="29"/>
  <c r="ER362" i="29"/>
  <c r="ES362" i="29"/>
  <c r="ET362" i="29"/>
  <c r="EU362" i="29"/>
  <c r="EV362" i="29"/>
  <c r="EW362" i="29"/>
  <c r="EX362" i="29"/>
  <c r="EY362" i="29"/>
  <c r="EZ362" i="29"/>
  <c r="FA362" i="29"/>
  <c r="FB362" i="29"/>
  <c r="FC362" i="29"/>
  <c r="FD362" i="29"/>
  <c r="FE362" i="29"/>
  <c r="FF362" i="29"/>
  <c r="FG362" i="29"/>
  <c r="FH362" i="29"/>
  <c r="FI362" i="29"/>
  <c r="FJ362" i="29"/>
  <c r="FK362" i="29"/>
  <c r="FL362" i="29"/>
  <c r="FM362" i="29"/>
  <c r="FN362" i="29"/>
  <c r="FO362" i="29"/>
  <c r="FP362" i="29"/>
  <c r="FQ362" i="29"/>
  <c r="FR362" i="29"/>
  <c r="FS362" i="29"/>
  <c r="FT362" i="29"/>
  <c r="FU362" i="29"/>
  <c r="FV362" i="29"/>
  <c r="FW362" i="29"/>
  <c r="FX362" i="29"/>
  <c r="FY362" i="29"/>
  <c r="FZ362" i="29"/>
  <c r="GA362" i="29"/>
  <c r="GB362" i="29"/>
  <c r="GC362" i="29"/>
  <c r="GD362" i="29"/>
  <c r="GE362" i="29"/>
  <c r="GF362" i="29"/>
  <c r="GG362" i="29"/>
  <c r="GH362" i="29"/>
  <c r="GI362" i="29"/>
  <c r="GJ362" i="29"/>
  <c r="GK362" i="29"/>
  <c r="GL362" i="29"/>
  <c r="GM362" i="29"/>
  <c r="GN362" i="29"/>
  <c r="GO362" i="29"/>
  <c r="GP362" i="29"/>
  <c r="GQ362" i="29"/>
  <c r="GR362" i="29"/>
  <c r="GS362" i="29"/>
  <c r="GT362" i="29"/>
  <c r="GU362" i="29"/>
  <c r="GV362" i="29"/>
  <c r="GW362" i="29"/>
  <c r="GX362" i="29"/>
  <c r="GY362" i="29"/>
  <c r="GZ362" i="29"/>
  <c r="HA362" i="29"/>
  <c r="HB362" i="29"/>
  <c r="HC362" i="29"/>
  <c r="HD362" i="29"/>
  <c r="HE362" i="29"/>
  <c r="HF362" i="29"/>
  <c r="HG362" i="29"/>
  <c r="HH362" i="29"/>
  <c r="HI362" i="29"/>
  <c r="HJ362" i="29"/>
  <c r="HK362" i="29"/>
  <c r="HL362" i="29"/>
  <c r="HM362" i="29"/>
  <c r="HN362" i="29"/>
  <c r="HO362" i="29"/>
  <c r="HP362" i="29"/>
  <c r="HQ362" i="29"/>
  <c r="HR362" i="29"/>
  <c r="HS362" i="29"/>
  <c r="HT362" i="29"/>
  <c r="HU362" i="29"/>
  <c r="HV362" i="29"/>
  <c r="HW362" i="29"/>
  <c r="HX362" i="29"/>
  <c r="HY362" i="29"/>
  <c r="HZ362" i="29"/>
  <c r="IA362" i="29"/>
  <c r="IB362" i="29"/>
  <c r="IC362" i="29"/>
  <c r="ID362" i="29"/>
  <c r="IE362" i="29"/>
  <c r="IF362" i="29"/>
  <c r="IG362" i="29"/>
  <c r="IH362" i="29"/>
  <c r="II362" i="29"/>
  <c r="IJ362" i="29"/>
  <c r="IK362" i="29"/>
  <c r="IL362" i="29"/>
  <c r="IM362" i="29"/>
  <c r="IN362" i="29"/>
  <c r="IO362" i="29"/>
  <c r="IP362" i="29"/>
  <c r="IQ362" i="29"/>
  <c r="IR362" i="29"/>
  <c r="IS362" i="29"/>
  <c r="IT362" i="29"/>
  <c r="IU362" i="29"/>
  <c r="IV362" i="29"/>
  <c r="IW362" i="29"/>
  <c r="IX362" i="29"/>
  <c r="IY362" i="29"/>
  <c r="IZ362" i="29"/>
  <c r="JA362" i="29"/>
  <c r="JB362" i="29"/>
  <c r="JC362" i="29"/>
  <c r="JD362" i="29"/>
  <c r="JE362" i="29"/>
  <c r="JF362" i="29"/>
  <c r="JG362" i="29"/>
  <c r="JH362" i="29"/>
  <c r="JI362" i="29"/>
  <c r="JJ362" i="29"/>
  <c r="JK362" i="29"/>
  <c r="JL362" i="29"/>
  <c r="JM362" i="29"/>
  <c r="JN362" i="29"/>
  <c r="JO362" i="29"/>
  <c r="JP362" i="29"/>
  <c r="JQ362" i="29"/>
  <c r="JR362" i="29"/>
  <c r="JS362" i="29"/>
  <c r="JT362" i="29"/>
  <c r="JU362" i="29"/>
  <c r="JV362" i="29"/>
  <c r="JW362" i="29"/>
  <c r="JX362" i="29"/>
  <c r="JY362" i="29"/>
  <c r="JZ362" i="29"/>
  <c r="KA362" i="29"/>
  <c r="KB362" i="29"/>
  <c r="KC362" i="29"/>
  <c r="KD362" i="29"/>
  <c r="KE362" i="29"/>
  <c r="KF362" i="29"/>
  <c r="KG362" i="29"/>
  <c r="KH362" i="29"/>
  <c r="KI362" i="29"/>
  <c r="KJ362" i="29"/>
  <c r="KK362" i="29"/>
  <c r="KL362" i="29"/>
  <c r="KM362" i="29"/>
  <c r="KN362" i="29"/>
  <c r="KO362" i="29"/>
  <c r="KP362" i="29"/>
  <c r="KQ362" i="29"/>
  <c r="KR362" i="29"/>
  <c r="KS362" i="29"/>
  <c r="KT362" i="29"/>
  <c r="KU362" i="29"/>
  <c r="KV362" i="29"/>
  <c r="KW362" i="29"/>
  <c r="KX362" i="29"/>
  <c r="KY362" i="29"/>
  <c r="KZ362" i="29"/>
  <c r="LA362" i="29"/>
  <c r="LB362" i="29"/>
  <c r="LC362" i="29"/>
  <c r="LD362" i="29"/>
  <c r="LE362" i="29"/>
  <c r="LF362" i="29"/>
  <c r="LG362" i="29"/>
  <c r="LH362" i="29"/>
  <c r="LI362" i="29"/>
  <c r="LJ362" i="29"/>
  <c r="LK362" i="29"/>
  <c r="LL362" i="29"/>
  <c r="LM362" i="29"/>
  <c r="LN362" i="29"/>
  <c r="LO362" i="29"/>
  <c r="LP362" i="29"/>
  <c r="LQ362" i="29"/>
  <c r="LR362" i="29"/>
  <c r="LS362" i="29"/>
  <c r="LT362" i="29"/>
  <c r="LU362" i="29"/>
  <c r="LV362" i="29"/>
  <c r="LW362" i="29"/>
  <c r="LX362" i="29"/>
  <c r="LY362" i="29"/>
  <c r="LZ362" i="29"/>
  <c r="MA362" i="29"/>
  <c r="MB362" i="29"/>
  <c r="MC362" i="29"/>
  <c r="MD362" i="29"/>
  <c r="ME362" i="29"/>
  <c r="MF362" i="29"/>
  <c r="MG362" i="29"/>
  <c r="MH362" i="29"/>
  <c r="MI362" i="29"/>
  <c r="MJ362" i="29"/>
  <c r="MK362" i="29"/>
  <c r="ML362" i="29"/>
  <c r="MM362" i="29"/>
  <c r="MN362" i="29"/>
  <c r="MO362" i="29"/>
  <c r="MP362" i="29"/>
  <c r="MQ362" i="29"/>
  <c r="MR362" i="29"/>
  <c r="MS362" i="29"/>
  <c r="MT362" i="29"/>
  <c r="MU362" i="29"/>
  <c r="MV362" i="29"/>
  <c r="MW362" i="29"/>
  <c r="MX362" i="29"/>
  <c r="MY362" i="29"/>
  <c r="MZ362" i="29"/>
  <c r="NA362" i="29"/>
  <c r="NB362" i="29"/>
  <c r="NC362" i="29"/>
  <c r="ND362" i="29"/>
  <c r="NE362" i="29"/>
  <c r="NF362" i="29"/>
  <c r="NG362" i="29"/>
  <c r="NH362" i="29"/>
  <c r="NI362" i="29"/>
  <c r="NJ362" i="29"/>
  <c r="NK362" i="29"/>
  <c r="NL362" i="29"/>
  <c r="NM362" i="29"/>
  <c r="NN362" i="29"/>
  <c r="NO362" i="29"/>
  <c r="NP362" i="29"/>
  <c r="NQ362" i="29"/>
  <c r="NR362" i="29"/>
  <c r="NS362" i="29"/>
  <c r="NT362" i="29"/>
  <c r="NU362" i="29"/>
  <c r="NV362" i="29"/>
  <c r="NW362" i="29"/>
  <c r="NX362" i="29"/>
  <c r="NY362" i="29"/>
  <c r="NZ362" i="29"/>
  <c r="OA362" i="29"/>
  <c r="OB362" i="29"/>
  <c r="OC362" i="29"/>
  <c r="OD362" i="29"/>
  <c r="OE362" i="29"/>
  <c r="OF362" i="29"/>
  <c r="OG362" i="29"/>
  <c r="OH362" i="29"/>
  <c r="OI362" i="29"/>
  <c r="OJ362" i="29"/>
  <c r="OK362" i="29"/>
  <c r="OL362" i="29"/>
  <c r="OM362" i="29"/>
  <c r="ON362" i="29"/>
  <c r="OO362" i="29"/>
  <c r="OP362" i="29"/>
  <c r="OQ362" i="29"/>
  <c r="OR362" i="29"/>
  <c r="OS362" i="29"/>
  <c r="OT362" i="29"/>
  <c r="OU362" i="29"/>
  <c r="OV362" i="29"/>
  <c r="OW362" i="29"/>
  <c r="OX362" i="29"/>
  <c r="OY362" i="29"/>
  <c r="OZ362" i="29"/>
  <c r="PA362" i="29"/>
  <c r="PB362" i="29"/>
  <c r="PC362" i="29"/>
  <c r="PD362" i="29"/>
  <c r="PE362" i="29"/>
  <c r="PF362" i="29"/>
  <c r="PG362" i="29"/>
  <c r="PH362" i="29"/>
  <c r="PI362" i="29"/>
  <c r="PJ362" i="29"/>
  <c r="PK362" i="29"/>
  <c r="PL362" i="29"/>
  <c r="PM362" i="29"/>
  <c r="PN362" i="29"/>
  <c r="PO362" i="29"/>
  <c r="PP362" i="29"/>
  <c r="PQ362" i="29"/>
  <c r="PR362" i="29"/>
  <c r="PS362" i="29"/>
  <c r="PT362" i="29"/>
  <c r="PU362" i="29"/>
  <c r="PV362" i="29"/>
  <c r="PW362" i="29"/>
  <c r="PX362" i="29"/>
  <c r="PY362" i="29"/>
  <c r="PZ362" i="29"/>
  <c r="QA362" i="29"/>
  <c r="QB362" i="29"/>
  <c r="QC362" i="29"/>
  <c r="QD362" i="29"/>
  <c r="QE362" i="29"/>
  <c r="QF362" i="29"/>
  <c r="QG362" i="29"/>
  <c r="QH362" i="29"/>
  <c r="QI362" i="29"/>
  <c r="QJ362" i="29"/>
  <c r="QK362" i="29"/>
  <c r="QL362" i="29"/>
  <c r="QM362" i="29"/>
  <c r="QN362" i="29"/>
  <c r="QO362" i="29"/>
  <c r="QP362" i="29"/>
  <c r="QQ362" i="29"/>
  <c r="QR362" i="29"/>
  <c r="QS362" i="29"/>
  <c r="QT362" i="29"/>
  <c r="QU362" i="29"/>
  <c r="QV362" i="29"/>
  <c r="QW362" i="29"/>
  <c r="QX362" i="29"/>
  <c r="QY362" i="29"/>
  <c r="QZ362" i="29"/>
  <c r="RA362" i="29"/>
  <c r="RB362" i="29"/>
  <c r="RC362" i="29"/>
  <c r="RD362" i="29"/>
  <c r="RE362" i="29"/>
  <c r="RF362" i="29"/>
  <c r="RG362" i="29"/>
  <c r="RH362" i="29"/>
  <c r="RI362" i="29"/>
  <c r="RJ362" i="29"/>
  <c r="RK362" i="29"/>
  <c r="RL362" i="29"/>
  <c r="RM362" i="29"/>
  <c r="RN362" i="29"/>
  <c r="RO362" i="29"/>
  <c r="RP362" i="29"/>
  <c r="RQ362" i="29"/>
  <c r="RR362" i="29"/>
  <c r="RS362" i="29"/>
  <c r="RT362" i="29"/>
  <c r="RU362" i="29"/>
  <c r="RV362" i="29"/>
  <c r="RW362" i="29"/>
  <c r="RX362" i="29"/>
  <c r="RY362" i="29"/>
  <c r="RZ362" i="29"/>
  <c r="SA362" i="29"/>
  <c r="SB362" i="29"/>
  <c r="SC362" i="29"/>
  <c r="SD362" i="29"/>
  <c r="SE362" i="29"/>
  <c r="SF362" i="29"/>
  <c r="SG362" i="29"/>
  <c r="SH362" i="29"/>
  <c r="SI362" i="29"/>
  <c r="SJ362" i="29"/>
  <c r="SK362" i="29"/>
  <c r="SL362" i="29"/>
  <c r="SM362" i="29"/>
  <c r="SN362" i="29"/>
  <c r="SO362" i="29"/>
  <c r="SP362" i="29"/>
  <c r="SQ362" i="29"/>
  <c r="SR362" i="29"/>
  <c r="SS362" i="29"/>
  <c r="B363" i="29"/>
  <c r="C363" i="29"/>
  <c r="D363" i="29"/>
  <c r="E363" i="29"/>
  <c r="F363" i="29"/>
  <c r="G363" i="29"/>
  <c r="H363" i="29"/>
  <c r="I363" i="29"/>
  <c r="J363" i="29"/>
  <c r="K363" i="29"/>
  <c r="L363" i="29"/>
  <c r="M363" i="29"/>
  <c r="N363" i="29"/>
  <c r="O363" i="29"/>
  <c r="P363" i="29"/>
  <c r="Q363" i="29"/>
  <c r="R363" i="29"/>
  <c r="S363" i="29"/>
  <c r="T363" i="29"/>
  <c r="U363" i="29"/>
  <c r="V363" i="29"/>
  <c r="W363" i="29"/>
  <c r="X363" i="29"/>
  <c r="Y363" i="29"/>
  <c r="Z363" i="29"/>
  <c r="AA363" i="29"/>
  <c r="AB363" i="29"/>
  <c r="AC363" i="29"/>
  <c r="AD363" i="29"/>
  <c r="AE363" i="29"/>
  <c r="AF363" i="29"/>
  <c r="AG363" i="29"/>
  <c r="AH363" i="29"/>
  <c r="AI363" i="29"/>
  <c r="AJ363" i="29"/>
  <c r="AK363" i="29"/>
  <c r="AL363" i="29"/>
  <c r="AM363" i="29"/>
  <c r="AN363" i="29"/>
  <c r="AO363" i="29"/>
  <c r="AP363" i="29"/>
  <c r="AQ363" i="29"/>
  <c r="AR363" i="29"/>
  <c r="AS363" i="29"/>
  <c r="AT363" i="29"/>
  <c r="AU363" i="29"/>
  <c r="AV363" i="29"/>
  <c r="AW363" i="29"/>
  <c r="AX363" i="29"/>
  <c r="AY363" i="29"/>
  <c r="AZ363" i="29"/>
  <c r="BA363" i="29"/>
  <c r="BB363" i="29"/>
  <c r="BC363" i="29"/>
  <c r="BD363" i="29"/>
  <c r="BE363" i="29"/>
  <c r="BF363" i="29"/>
  <c r="BG363" i="29"/>
  <c r="BH363" i="29"/>
  <c r="BI363" i="29"/>
  <c r="BJ363" i="29"/>
  <c r="BK363" i="29"/>
  <c r="BL363" i="29"/>
  <c r="BM363" i="29"/>
  <c r="BN363" i="29"/>
  <c r="BO363" i="29"/>
  <c r="BP363" i="29"/>
  <c r="BQ363" i="29"/>
  <c r="BR363" i="29"/>
  <c r="BS363" i="29"/>
  <c r="BT363" i="29"/>
  <c r="BU363" i="29"/>
  <c r="BV363" i="29"/>
  <c r="BW363" i="29"/>
  <c r="BX363" i="29"/>
  <c r="BY363" i="29"/>
  <c r="BZ363" i="29"/>
  <c r="CA363" i="29"/>
  <c r="CB363" i="29"/>
  <c r="CC363" i="29"/>
  <c r="CD363" i="29"/>
  <c r="CE363" i="29"/>
  <c r="CF363" i="29"/>
  <c r="CG363" i="29"/>
  <c r="CH363" i="29"/>
  <c r="CI363" i="29"/>
  <c r="CJ363" i="29"/>
  <c r="CK363" i="29"/>
  <c r="CL363" i="29"/>
  <c r="CM363" i="29"/>
  <c r="CN363" i="29"/>
  <c r="CO363" i="29"/>
  <c r="CP363" i="29"/>
  <c r="CQ363" i="29"/>
  <c r="CR363" i="29"/>
  <c r="CS363" i="29"/>
  <c r="CT363" i="29"/>
  <c r="CU363" i="29"/>
  <c r="CV363" i="29"/>
  <c r="CW363" i="29"/>
  <c r="CX363" i="29"/>
  <c r="CY363" i="29"/>
  <c r="CZ363" i="29"/>
  <c r="DA363" i="29"/>
  <c r="DB363" i="29"/>
  <c r="DC363" i="29"/>
  <c r="DD363" i="29"/>
  <c r="DE363" i="29"/>
  <c r="DF363" i="29"/>
  <c r="DG363" i="29"/>
  <c r="DH363" i="29"/>
  <c r="DI363" i="29"/>
  <c r="DJ363" i="29"/>
  <c r="DK363" i="29"/>
  <c r="DL363" i="29"/>
  <c r="DM363" i="29"/>
  <c r="DN363" i="29"/>
  <c r="DO363" i="29"/>
  <c r="DP363" i="29"/>
  <c r="DQ363" i="29"/>
  <c r="DR363" i="29"/>
  <c r="DS363" i="29"/>
  <c r="DT363" i="29"/>
  <c r="DU363" i="29"/>
  <c r="DV363" i="29"/>
  <c r="DW363" i="29"/>
  <c r="DX363" i="29"/>
  <c r="DY363" i="29"/>
  <c r="DZ363" i="29"/>
  <c r="EA363" i="29"/>
  <c r="EB363" i="29"/>
  <c r="EC363" i="29"/>
  <c r="ED363" i="29"/>
  <c r="EE363" i="29"/>
  <c r="EF363" i="29"/>
  <c r="EG363" i="29"/>
  <c r="EH363" i="29"/>
  <c r="EI363" i="29"/>
  <c r="EJ363" i="29"/>
  <c r="EK363" i="29"/>
  <c r="EL363" i="29"/>
  <c r="EM363" i="29"/>
  <c r="EN363" i="29"/>
  <c r="EO363" i="29"/>
  <c r="EP363" i="29"/>
  <c r="EQ363" i="29"/>
  <c r="ER363" i="29"/>
  <c r="ES363" i="29"/>
  <c r="ET363" i="29"/>
  <c r="EU363" i="29"/>
  <c r="EV363" i="29"/>
  <c r="EW363" i="29"/>
  <c r="EX363" i="29"/>
  <c r="EY363" i="29"/>
  <c r="EZ363" i="29"/>
  <c r="FA363" i="29"/>
  <c r="FB363" i="29"/>
  <c r="FC363" i="29"/>
  <c r="FD363" i="29"/>
  <c r="FE363" i="29"/>
  <c r="FF363" i="29"/>
  <c r="FG363" i="29"/>
  <c r="FH363" i="29"/>
  <c r="FI363" i="29"/>
  <c r="FJ363" i="29"/>
  <c r="FK363" i="29"/>
  <c r="FL363" i="29"/>
  <c r="FM363" i="29"/>
  <c r="FN363" i="29"/>
  <c r="FO363" i="29"/>
  <c r="FP363" i="29"/>
  <c r="FQ363" i="29"/>
  <c r="FR363" i="29"/>
  <c r="FS363" i="29"/>
  <c r="FT363" i="29"/>
  <c r="FU363" i="29"/>
  <c r="FV363" i="29"/>
  <c r="FW363" i="29"/>
  <c r="FX363" i="29"/>
  <c r="FY363" i="29"/>
  <c r="FZ363" i="29"/>
  <c r="GA363" i="29"/>
  <c r="GB363" i="29"/>
  <c r="GC363" i="29"/>
  <c r="GD363" i="29"/>
  <c r="GE363" i="29"/>
  <c r="GF363" i="29"/>
  <c r="GG363" i="29"/>
  <c r="GH363" i="29"/>
  <c r="GI363" i="29"/>
  <c r="GJ363" i="29"/>
  <c r="GK363" i="29"/>
  <c r="GL363" i="29"/>
  <c r="GM363" i="29"/>
  <c r="GN363" i="29"/>
  <c r="GO363" i="29"/>
  <c r="GP363" i="29"/>
  <c r="GQ363" i="29"/>
  <c r="GR363" i="29"/>
  <c r="GS363" i="29"/>
  <c r="GT363" i="29"/>
  <c r="GU363" i="29"/>
  <c r="GV363" i="29"/>
  <c r="GW363" i="29"/>
  <c r="GX363" i="29"/>
  <c r="GY363" i="29"/>
  <c r="GZ363" i="29"/>
  <c r="HA363" i="29"/>
  <c r="HB363" i="29"/>
  <c r="HC363" i="29"/>
  <c r="HD363" i="29"/>
  <c r="HE363" i="29"/>
  <c r="HF363" i="29"/>
  <c r="HG363" i="29"/>
  <c r="HH363" i="29"/>
  <c r="HI363" i="29"/>
  <c r="HJ363" i="29"/>
  <c r="HK363" i="29"/>
  <c r="HL363" i="29"/>
  <c r="HM363" i="29"/>
  <c r="HN363" i="29"/>
  <c r="HO363" i="29"/>
  <c r="HP363" i="29"/>
  <c r="HQ363" i="29"/>
  <c r="HR363" i="29"/>
  <c r="HS363" i="29"/>
  <c r="HT363" i="29"/>
  <c r="HU363" i="29"/>
  <c r="HV363" i="29"/>
  <c r="HW363" i="29"/>
  <c r="HX363" i="29"/>
  <c r="HY363" i="29"/>
  <c r="HZ363" i="29"/>
  <c r="IA363" i="29"/>
  <c r="IB363" i="29"/>
  <c r="IC363" i="29"/>
  <c r="ID363" i="29"/>
  <c r="IE363" i="29"/>
  <c r="IF363" i="29"/>
  <c r="IG363" i="29"/>
  <c r="IH363" i="29"/>
  <c r="II363" i="29"/>
  <c r="IJ363" i="29"/>
  <c r="IK363" i="29"/>
  <c r="IL363" i="29"/>
  <c r="IM363" i="29"/>
  <c r="IN363" i="29"/>
  <c r="IO363" i="29"/>
  <c r="IP363" i="29"/>
  <c r="IQ363" i="29"/>
  <c r="IR363" i="29"/>
  <c r="IS363" i="29"/>
  <c r="IT363" i="29"/>
  <c r="IU363" i="29"/>
  <c r="IV363" i="29"/>
  <c r="IW363" i="29"/>
  <c r="IX363" i="29"/>
  <c r="IY363" i="29"/>
  <c r="IZ363" i="29"/>
  <c r="JA363" i="29"/>
  <c r="JB363" i="29"/>
  <c r="JC363" i="29"/>
  <c r="JD363" i="29"/>
  <c r="JE363" i="29"/>
  <c r="JF363" i="29"/>
  <c r="JG363" i="29"/>
  <c r="JH363" i="29"/>
  <c r="JI363" i="29"/>
  <c r="JJ363" i="29"/>
  <c r="JK363" i="29"/>
  <c r="JL363" i="29"/>
  <c r="JM363" i="29"/>
  <c r="JN363" i="29"/>
  <c r="JO363" i="29"/>
  <c r="JP363" i="29"/>
  <c r="JQ363" i="29"/>
  <c r="JR363" i="29"/>
  <c r="JS363" i="29"/>
  <c r="JT363" i="29"/>
  <c r="JU363" i="29"/>
  <c r="JV363" i="29"/>
  <c r="JW363" i="29"/>
  <c r="JX363" i="29"/>
  <c r="JY363" i="29"/>
  <c r="JZ363" i="29"/>
  <c r="KA363" i="29"/>
  <c r="KB363" i="29"/>
  <c r="KC363" i="29"/>
  <c r="KD363" i="29"/>
  <c r="KE363" i="29"/>
  <c r="KF363" i="29"/>
  <c r="KG363" i="29"/>
  <c r="KH363" i="29"/>
  <c r="KI363" i="29"/>
  <c r="KJ363" i="29"/>
  <c r="KK363" i="29"/>
  <c r="KL363" i="29"/>
  <c r="KM363" i="29"/>
  <c r="KN363" i="29"/>
  <c r="KO363" i="29"/>
  <c r="KP363" i="29"/>
  <c r="KQ363" i="29"/>
  <c r="KR363" i="29"/>
  <c r="KS363" i="29"/>
  <c r="KT363" i="29"/>
  <c r="KU363" i="29"/>
  <c r="KV363" i="29"/>
  <c r="KW363" i="29"/>
  <c r="KX363" i="29"/>
  <c r="KY363" i="29"/>
  <c r="KZ363" i="29"/>
  <c r="LA363" i="29"/>
  <c r="LB363" i="29"/>
  <c r="LC363" i="29"/>
  <c r="LD363" i="29"/>
  <c r="LE363" i="29"/>
  <c r="LF363" i="29"/>
  <c r="LG363" i="29"/>
  <c r="LH363" i="29"/>
  <c r="LI363" i="29"/>
  <c r="LJ363" i="29"/>
  <c r="LK363" i="29"/>
  <c r="LL363" i="29"/>
  <c r="LM363" i="29"/>
  <c r="LN363" i="29"/>
  <c r="LO363" i="29"/>
  <c r="LP363" i="29"/>
  <c r="LQ363" i="29"/>
  <c r="LR363" i="29"/>
  <c r="LS363" i="29"/>
  <c r="LT363" i="29"/>
  <c r="LU363" i="29"/>
  <c r="LV363" i="29"/>
  <c r="LW363" i="29"/>
  <c r="LX363" i="29"/>
  <c r="LY363" i="29"/>
  <c r="LZ363" i="29"/>
  <c r="MA363" i="29"/>
  <c r="MB363" i="29"/>
  <c r="MC363" i="29"/>
  <c r="MD363" i="29"/>
  <c r="ME363" i="29"/>
  <c r="MF363" i="29"/>
  <c r="MG363" i="29"/>
  <c r="MH363" i="29"/>
  <c r="MI363" i="29"/>
  <c r="MJ363" i="29"/>
  <c r="MK363" i="29"/>
  <c r="ML363" i="29"/>
  <c r="MM363" i="29"/>
  <c r="MN363" i="29"/>
  <c r="MO363" i="29"/>
  <c r="MP363" i="29"/>
  <c r="MQ363" i="29"/>
  <c r="MR363" i="29"/>
  <c r="MS363" i="29"/>
  <c r="MT363" i="29"/>
  <c r="MU363" i="29"/>
  <c r="MV363" i="29"/>
  <c r="MW363" i="29"/>
  <c r="MX363" i="29"/>
  <c r="MY363" i="29"/>
  <c r="MZ363" i="29"/>
  <c r="NA363" i="29"/>
  <c r="NB363" i="29"/>
  <c r="NC363" i="29"/>
  <c r="ND363" i="29"/>
  <c r="NE363" i="29"/>
  <c r="NF363" i="29"/>
  <c r="NG363" i="29"/>
  <c r="NH363" i="29"/>
  <c r="NI363" i="29"/>
  <c r="NJ363" i="29"/>
  <c r="NK363" i="29"/>
  <c r="NL363" i="29"/>
  <c r="NM363" i="29"/>
  <c r="NN363" i="29"/>
  <c r="NO363" i="29"/>
  <c r="NP363" i="29"/>
  <c r="NQ363" i="29"/>
  <c r="NR363" i="29"/>
  <c r="NS363" i="29"/>
  <c r="NT363" i="29"/>
  <c r="NU363" i="29"/>
  <c r="NV363" i="29"/>
  <c r="NW363" i="29"/>
  <c r="NX363" i="29"/>
  <c r="NY363" i="29"/>
  <c r="NZ363" i="29"/>
  <c r="OA363" i="29"/>
  <c r="OB363" i="29"/>
  <c r="OC363" i="29"/>
  <c r="OD363" i="29"/>
  <c r="OE363" i="29"/>
  <c r="OF363" i="29"/>
  <c r="OG363" i="29"/>
  <c r="OH363" i="29"/>
  <c r="OI363" i="29"/>
  <c r="OJ363" i="29"/>
  <c r="OK363" i="29"/>
  <c r="OL363" i="29"/>
  <c r="OM363" i="29"/>
  <c r="ON363" i="29"/>
  <c r="OO363" i="29"/>
  <c r="OP363" i="29"/>
  <c r="OQ363" i="29"/>
  <c r="OR363" i="29"/>
  <c r="OS363" i="29"/>
  <c r="OT363" i="29"/>
  <c r="OU363" i="29"/>
  <c r="OV363" i="29"/>
  <c r="OW363" i="29"/>
  <c r="OX363" i="29"/>
  <c r="OY363" i="29"/>
  <c r="OZ363" i="29"/>
  <c r="PA363" i="29"/>
  <c r="PB363" i="29"/>
  <c r="PC363" i="29"/>
  <c r="PD363" i="29"/>
  <c r="PE363" i="29"/>
  <c r="PF363" i="29"/>
  <c r="PG363" i="29"/>
  <c r="PH363" i="29"/>
  <c r="PI363" i="29"/>
  <c r="PJ363" i="29"/>
  <c r="PK363" i="29"/>
  <c r="PL363" i="29"/>
  <c r="PM363" i="29"/>
  <c r="PN363" i="29"/>
  <c r="PO363" i="29"/>
  <c r="PP363" i="29"/>
  <c r="PQ363" i="29"/>
  <c r="PR363" i="29"/>
  <c r="PS363" i="29"/>
  <c r="PT363" i="29"/>
  <c r="PU363" i="29"/>
  <c r="PV363" i="29"/>
  <c r="PW363" i="29"/>
  <c r="PX363" i="29"/>
  <c r="PY363" i="29"/>
  <c r="PZ363" i="29"/>
  <c r="QA363" i="29"/>
  <c r="QB363" i="29"/>
  <c r="QC363" i="29"/>
  <c r="QD363" i="29"/>
  <c r="QE363" i="29"/>
  <c r="QF363" i="29"/>
  <c r="QG363" i="29"/>
  <c r="QH363" i="29"/>
  <c r="QI363" i="29"/>
  <c r="QJ363" i="29"/>
  <c r="QK363" i="29"/>
  <c r="QL363" i="29"/>
  <c r="QM363" i="29"/>
  <c r="QN363" i="29"/>
  <c r="QO363" i="29"/>
  <c r="QP363" i="29"/>
  <c r="QQ363" i="29"/>
  <c r="QR363" i="29"/>
  <c r="QS363" i="29"/>
  <c r="QT363" i="29"/>
  <c r="QU363" i="29"/>
  <c r="QV363" i="29"/>
  <c r="QW363" i="29"/>
  <c r="QX363" i="29"/>
  <c r="QY363" i="29"/>
  <c r="QZ363" i="29"/>
  <c r="RA363" i="29"/>
  <c r="RB363" i="29"/>
  <c r="RC363" i="29"/>
  <c r="RD363" i="29"/>
  <c r="RE363" i="29"/>
  <c r="RF363" i="29"/>
  <c r="RG363" i="29"/>
  <c r="RH363" i="29"/>
  <c r="RI363" i="29"/>
  <c r="RJ363" i="29"/>
  <c r="RK363" i="29"/>
  <c r="RL363" i="29"/>
  <c r="RM363" i="29"/>
  <c r="RN363" i="29"/>
  <c r="RO363" i="29"/>
  <c r="RP363" i="29"/>
  <c r="RQ363" i="29"/>
  <c r="RR363" i="29"/>
  <c r="RS363" i="29"/>
  <c r="RT363" i="29"/>
  <c r="RU363" i="29"/>
  <c r="RV363" i="29"/>
  <c r="RW363" i="29"/>
  <c r="RX363" i="29"/>
  <c r="RY363" i="29"/>
  <c r="RZ363" i="29"/>
  <c r="SA363" i="29"/>
  <c r="SB363" i="29"/>
  <c r="SC363" i="29"/>
  <c r="SD363" i="29"/>
  <c r="SE363" i="29"/>
  <c r="SF363" i="29"/>
  <c r="SG363" i="29"/>
  <c r="SH363" i="29"/>
  <c r="SI363" i="29"/>
  <c r="SJ363" i="29"/>
  <c r="SK363" i="29"/>
  <c r="SL363" i="29"/>
  <c r="SM363" i="29"/>
  <c r="SN363" i="29"/>
  <c r="SO363" i="29"/>
  <c r="SP363" i="29"/>
  <c r="SQ363" i="29"/>
  <c r="SR363" i="29"/>
  <c r="SS363" i="29"/>
  <c r="B364" i="29"/>
  <c r="C364" i="29"/>
  <c r="D364" i="29"/>
  <c r="E364" i="29"/>
  <c r="F364" i="29"/>
  <c r="G364" i="29"/>
  <c r="H364" i="29"/>
  <c r="I364" i="29"/>
  <c r="J364" i="29"/>
  <c r="K364" i="29"/>
  <c r="L364" i="29"/>
  <c r="M364" i="29"/>
  <c r="N364" i="29"/>
  <c r="O364" i="29"/>
  <c r="P364" i="29"/>
  <c r="Q364" i="29"/>
  <c r="R364" i="29"/>
  <c r="S364" i="29"/>
  <c r="T364" i="29"/>
  <c r="U364" i="29"/>
  <c r="V364" i="29"/>
  <c r="W364" i="29"/>
  <c r="X364" i="29"/>
  <c r="Y364" i="29"/>
  <c r="Z364" i="29"/>
  <c r="AA364" i="29"/>
  <c r="AB364" i="29"/>
  <c r="AC364" i="29"/>
  <c r="AD364" i="29"/>
  <c r="AE364" i="29"/>
  <c r="AF364" i="29"/>
  <c r="AG364" i="29"/>
  <c r="AH364" i="29"/>
  <c r="AI364" i="29"/>
  <c r="AJ364" i="29"/>
  <c r="AK364" i="29"/>
  <c r="AL364" i="29"/>
  <c r="AM364" i="29"/>
  <c r="AN364" i="29"/>
  <c r="AO364" i="29"/>
  <c r="AP364" i="29"/>
  <c r="AQ364" i="29"/>
  <c r="AR364" i="29"/>
  <c r="AS364" i="29"/>
  <c r="AT364" i="29"/>
  <c r="AU364" i="29"/>
  <c r="AV364" i="29"/>
  <c r="AW364" i="29"/>
  <c r="AX364" i="29"/>
  <c r="AY364" i="29"/>
  <c r="AZ364" i="29"/>
  <c r="BA364" i="29"/>
  <c r="BB364" i="29"/>
  <c r="BC364" i="29"/>
  <c r="BD364" i="29"/>
  <c r="BE364" i="29"/>
  <c r="BF364" i="29"/>
  <c r="BG364" i="29"/>
  <c r="BH364" i="29"/>
  <c r="BI364" i="29"/>
  <c r="BJ364" i="29"/>
  <c r="BK364" i="29"/>
  <c r="BL364" i="29"/>
  <c r="BM364" i="29"/>
  <c r="BN364" i="29"/>
  <c r="BO364" i="29"/>
  <c r="BP364" i="29"/>
  <c r="BQ364" i="29"/>
  <c r="BR364" i="29"/>
  <c r="BS364" i="29"/>
  <c r="BT364" i="29"/>
  <c r="BU364" i="29"/>
  <c r="BV364" i="29"/>
  <c r="BW364" i="29"/>
  <c r="BX364" i="29"/>
  <c r="BY364" i="29"/>
  <c r="BZ364" i="29"/>
  <c r="CA364" i="29"/>
  <c r="CB364" i="29"/>
  <c r="CC364" i="29"/>
  <c r="CD364" i="29"/>
  <c r="CE364" i="29"/>
  <c r="CF364" i="29"/>
  <c r="CG364" i="29"/>
  <c r="CH364" i="29"/>
  <c r="CI364" i="29"/>
  <c r="CJ364" i="29"/>
  <c r="CK364" i="29"/>
  <c r="CL364" i="29"/>
  <c r="CM364" i="29"/>
  <c r="CN364" i="29"/>
  <c r="CO364" i="29"/>
  <c r="CP364" i="29"/>
  <c r="CQ364" i="29"/>
  <c r="CR364" i="29"/>
  <c r="CS364" i="29"/>
  <c r="CT364" i="29"/>
  <c r="CU364" i="29"/>
  <c r="CV364" i="29"/>
  <c r="CW364" i="29"/>
  <c r="CX364" i="29"/>
  <c r="CY364" i="29"/>
  <c r="CZ364" i="29"/>
  <c r="DA364" i="29"/>
  <c r="DB364" i="29"/>
  <c r="DC364" i="29"/>
  <c r="DD364" i="29"/>
  <c r="DE364" i="29"/>
  <c r="DF364" i="29"/>
  <c r="DG364" i="29"/>
  <c r="DH364" i="29"/>
  <c r="DI364" i="29"/>
  <c r="DJ364" i="29"/>
  <c r="DK364" i="29"/>
  <c r="DL364" i="29"/>
  <c r="DM364" i="29"/>
  <c r="DN364" i="29"/>
  <c r="DO364" i="29"/>
  <c r="DP364" i="29"/>
  <c r="DQ364" i="29"/>
  <c r="DR364" i="29"/>
  <c r="DS364" i="29"/>
  <c r="DT364" i="29"/>
  <c r="DU364" i="29"/>
  <c r="DV364" i="29"/>
  <c r="DW364" i="29"/>
  <c r="DX364" i="29"/>
  <c r="DY364" i="29"/>
  <c r="DZ364" i="29"/>
  <c r="EA364" i="29"/>
  <c r="EB364" i="29"/>
  <c r="EC364" i="29"/>
  <c r="ED364" i="29"/>
  <c r="EE364" i="29"/>
  <c r="EF364" i="29"/>
  <c r="EG364" i="29"/>
  <c r="EH364" i="29"/>
  <c r="EI364" i="29"/>
  <c r="EJ364" i="29"/>
  <c r="EK364" i="29"/>
  <c r="EL364" i="29"/>
  <c r="EM364" i="29"/>
  <c r="EN364" i="29"/>
  <c r="EO364" i="29"/>
  <c r="EP364" i="29"/>
  <c r="EQ364" i="29"/>
  <c r="ER364" i="29"/>
  <c r="ES364" i="29"/>
  <c r="ET364" i="29"/>
  <c r="EU364" i="29"/>
  <c r="EV364" i="29"/>
  <c r="EW364" i="29"/>
  <c r="EX364" i="29"/>
  <c r="EY364" i="29"/>
  <c r="EZ364" i="29"/>
  <c r="FA364" i="29"/>
  <c r="FB364" i="29"/>
  <c r="FC364" i="29"/>
  <c r="FD364" i="29"/>
  <c r="FE364" i="29"/>
  <c r="FF364" i="29"/>
  <c r="FG364" i="29"/>
  <c r="FH364" i="29"/>
  <c r="FI364" i="29"/>
  <c r="FJ364" i="29"/>
  <c r="FK364" i="29"/>
  <c r="FL364" i="29"/>
  <c r="FM364" i="29"/>
  <c r="FN364" i="29"/>
  <c r="FO364" i="29"/>
  <c r="FP364" i="29"/>
  <c r="FQ364" i="29"/>
  <c r="FR364" i="29"/>
  <c r="FS364" i="29"/>
  <c r="FT364" i="29"/>
  <c r="FU364" i="29"/>
  <c r="FV364" i="29"/>
  <c r="FW364" i="29"/>
  <c r="FX364" i="29"/>
  <c r="FY364" i="29"/>
  <c r="FZ364" i="29"/>
  <c r="GA364" i="29"/>
  <c r="GB364" i="29"/>
  <c r="GC364" i="29"/>
  <c r="GD364" i="29"/>
  <c r="GE364" i="29"/>
  <c r="GF364" i="29"/>
  <c r="GG364" i="29"/>
  <c r="GH364" i="29"/>
  <c r="GI364" i="29"/>
  <c r="GJ364" i="29"/>
  <c r="GK364" i="29"/>
  <c r="GL364" i="29"/>
  <c r="GM364" i="29"/>
  <c r="GN364" i="29"/>
  <c r="GO364" i="29"/>
  <c r="GP364" i="29"/>
  <c r="GQ364" i="29"/>
  <c r="GR364" i="29"/>
  <c r="GS364" i="29"/>
  <c r="GT364" i="29"/>
  <c r="GU364" i="29"/>
  <c r="GV364" i="29"/>
  <c r="GW364" i="29"/>
  <c r="GX364" i="29"/>
  <c r="GY364" i="29"/>
  <c r="GZ364" i="29"/>
  <c r="HA364" i="29"/>
  <c r="HB364" i="29"/>
  <c r="HC364" i="29"/>
  <c r="HD364" i="29"/>
  <c r="HE364" i="29"/>
  <c r="HF364" i="29"/>
  <c r="HG364" i="29"/>
  <c r="HH364" i="29"/>
  <c r="HI364" i="29"/>
  <c r="HJ364" i="29"/>
  <c r="HK364" i="29"/>
  <c r="HL364" i="29"/>
  <c r="HM364" i="29"/>
  <c r="HN364" i="29"/>
  <c r="HO364" i="29"/>
  <c r="HP364" i="29"/>
  <c r="HQ364" i="29"/>
  <c r="HR364" i="29"/>
  <c r="HS364" i="29"/>
  <c r="HT364" i="29"/>
  <c r="HU364" i="29"/>
  <c r="HV364" i="29"/>
  <c r="HW364" i="29"/>
  <c r="HX364" i="29"/>
  <c r="HY364" i="29"/>
  <c r="HZ364" i="29"/>
  <c r="IA364" i="29"/>
  <c r="IB364" i="29"/>
  <c r="IC364" i="29"/>
  <c r="ID364" i="29"/>
  <c r="IE364" i="29"/>
  <c r="IF364" i="29"/>
  <c r="IG364" i="29"/>
  <c r="IH364" i="29"/>
  <c r="II364" i="29"/>
  <c r="IJ364" i="29"/>
  <c r="IK364" i="29"/>
  <c r="IL364" i="29"/>
  <c r="IM364" i="29"/>
  <c r="IN364" i="29"/>
  <c r="IO364" i="29"/>
  <c r="IP364" i="29"/>
  <c r="IQ364" i="29"/>
  <c r="IR364" i="29"/>
  <c r="IS364" i="29"/>
  <c r="IT364" i="29"/>
  <c r="IU364" i="29"/>
  <c r="IV364" i="29"/>
  <c r="IW364" i="29"/>
  <c r="IX364" i="29"/>
  <c r="IY364" i="29"/>
  <c r="IZ364" i="29"/>
  <c r="JA364" i="29"/>
  <c r="JB364" i="29"/>
  <c r="JC364" i="29"/>
  <c r="JD364" i="29"/>
  <c r="JE364" i="29"/>
  <c r="JF364" i="29"/>
  <c r="JG364" i="29"/>
  <c r="JH364" i="29"/>
  <c r="JI364" i="29"/>
  <c r="JJ364" i="29"/>
  <c r="JK364" i="29"/>
  <c r="JL364" i="29"/>
  <c r="JM364" i="29"/>
  <c r="JN364" i="29"/>
  <c r="JO364" i="29"/>
  <c r="JP364" i="29"/>
  <c r="JQ364" i="29"/>
  <c r="JR364" i="29"/>
  <c r="JS364" i="29"/>
  <c r="JT364" i="29"/>
  <c r="JU364" i="29"/>
  <c r="JV364" i="29"/>
  <c r="JW364" i="29"/>
  <c r="JX364" i="29"/>
  <c r="JY364" i="29"/>
  <c r="JZ364" i="29"/>
  <c r="KA364" i="29"/>
  <c r="KB364" i="29"/>
  <c r="KC364" i="29"/>
  <c r="KD364" i="29"/>
  <c r="KE364" i="29"/>
  <c r="KF364" i="29"/>
  <c r="KG364" i="29"/>
  <c r="KH364" i="29"/>
  <c r="KI364" i="29"/>
  <c r="KJ364" i="29"/>
  <c r="KK364" i="29"/>
  <c r="KL364" i="29"/>
  <c r="KM364" i="29"/>
  <c r="KN364" i="29"/>
  <c r="KO364" i="29"/>
  <c r="KP364" i="29"/>
  <c r="KQ364" i="29"/>
  <c r="KR364" i="29"/>
  <c r="KS364" i="29"/>
  <c r="KT364" i="29"/>
  <c r="KU364" i="29"/>
  <c r="KV364" i="29"/>
  <c r="KW364" i="29"/>
  <c r="KX364" i="29"/>
  <c r="KY364" i="29"/>
  <c r="KZ364" i="29"/>
  <c r="LA364" i="29"/>
  <c r="LB364" i="29"/>
  <c r="LC364" i="29"/>
  <c r="LD364" i="29"/>
  <c r="LE364" i="29"/>
  <c r="LF364" i="29"/>
  <c r="LG364" i="29"/>
  <c r="LH364" i="29"/>
  <c r="LI364" i="29"/>
  <c r="LJ364" i="29"/>
  <c r="LK364" i="29"/>
  <c r="LL364" i="29"/>
  <c r="LM364" i="29"/>
  <c r="LN364" i="29"/>
  <c r="LO364" i="29"/>
  <c r="LP364" i="29"/>
  <c r="LQ364" i="29"/>
  <c r="LR364" i="29"/>
  <c r="LS364" i="29"/>
  <c r="LT364" i="29"/>
  <c r="LU364" i="29"/>
  <c r="LV364" i="29"/>
  <c r="LW364" i="29"/>
  <c r="LX364" i="29"/>
  <c r="LY364" i="29"/>
  <c r="LZ364" i="29"/>
  <c r="MA364" i="29"/>
  <c r="MB364" i="29"/>
  <c r="MC364" i="29"/>
  <c r="MD364" i="29"/>
  <c r="ME364" i="29"/>
  <c r="MF364" i="29"/>
  <c r="MG364" i="29"/>
  <c r="MH364" i="29"/>
  <c r="MI364" i="29"/>
  <c r="MJ364" i="29"/>
  <c r="MK364" i="29"/>
  <c r="ML364" i="29"/>
  <c r="MM364" i="29"/>
  <c r="MN364" i="29"/>
  <c r="MO364" i="29"/>
  <c r="MP364" i="29"/>
  <c r="MQ364" i="29"/>
  <c r="MR364" i="29"/>
  <c r="MS364" i="29"/>
  <c r="MT364" i="29"/>
  <c r="MU364" i="29"/>
  <c r="MV364" i="29"/>
  <c r="MW364" i="29"/>
  <c r="MX364" i="29"/>
  <c r="MY364" i="29"/>
  <c r="MZ364" i="29"/>
  <c r="NA364" i="29"/>
  <c r="NB364" i="29"/>
  <c r="NC364" i="29"/>
  <c r="ND364" i="29"/>
  <c r="NE364" i="29"/>
  <c r="NF364" i="29"/>
  <c r="NG364" i="29"/>
  <c r="NH364" i="29"/>
  <c r="NI364" i="29"/>
  <c r="NJ364" i="29"/>
  <c r="NK364" i="29"/>
  <c r="NL364" i="29"/>
  <c r="NM364" i="29"/>
  <c r="NN364" i="29"/>
  <c r="NO364" i="29"/>
  <c r="NP364" i="29"/>
  <c r="NQ364" i="29"/>
  <c r="NR364" i="29"/>
  <c r="NS364" i="29"/>
  <c r="NT364" i="29"/>
  <c r="NU364" i="29"/>
  <c r="NV364" i="29"/>
  <c r="NW364" i="29"/>
  <c r="NX364" i="29"/>
  <c r="NY364" i="29"/>
  <c r="NZ364" i="29"/>
  <c r="OA364" i="29"/>
  <c r="OB364" i="29"/>
  <c r="OC364" i="29"/>
  <c r="OD364" i="29"/>
  <c r="OE364" i="29"/>
  <c r="OF364" i="29"/>
  <c r="OG364" i="29"/>
  <c r="OH364" i="29"/>
  <c r="OI364" i="29"/>
  <c r="OJ364" i="29"/>
  <c r="OK364" i="29"/>
  <c r="OL364" i="29"/>
  <c r="OM364" i="29"/>
  <c r="ON364" i="29"/>
  <c r="OO364" i="29"/>
  <c r="OP364" i="29"/>
  <c r="OQ364" i="29"/>
  <c r="OR364" i="29"/>
  <c r="OS364" i="29"/>
  <c r="OT364" i="29"/>
  <c r="OU364" i="29"/>
  <c r="OV364" i="29"/>
  <c r="OW364" i="29"/>
  <c r="OX364" i="29"/>
  <c r="OY364" i="29"/>
  <c r="OZ364" i="29"/>
  <c r="PA364" i="29"/>
  <c r="PB364" i="29"/>
  <c r="PC364" i="29"/>
  <c r="PD364" i="29"/>
  <c r="PE364" i="29"/>
  <c r="PF364" i="29"/>
  <c r="PG364" i="29"/>
  <c r="PH364" i="29"/>
  <c r="PI364" i="29"/>
  <c r="PJ364" i="29"/>
  <c r="PK364" i="29"/>
  <c r="PL364" i="29"/>
  <c r="PM364" i="29"/>
  <c r="PN364" i="29"/>
  <c r="PO364" i="29"/>
  <c r="PP364" i="29"/>
  <c r="PQ364" i="29"/>
  <c r="PR364" i="29"/>
  <c r="PS364" i="29"/>
  <c r="PT364" i="29"/>
  <c r="PU364" i="29"/>
  <c r="PV364" i="29"/>
  <c r="PW364" i="29"/>
  <c r="PX364" i="29"/>
  <c r="PY364" i="29"/>
  <c r="PZ364" i="29"/>
  <c r="QA364" i="29"/>
  <c r="QB364" i="29"/>
  <c r="QC364" i="29"/>
  <c r="QD364" i="29"/>
  <c r="QE364" i="29"/>
  <c r="QF364" i="29"/>
  <c r="QG364" i="29"/>
  <c r="QH364" i="29"/>
  <c r="QI364" i="29"/>
  <c r="QJ364" i="29"/>
  <c r="QK364" i="29"/>
  <c r="QL364" i="29"/>
  <c r="QM364" i="29"/>
  <c r="QN364" i="29"/>
  <c r="QO364" i="29"/>
  <c r="QP364" i="29"/>
  <c r="QQ364" i="29"/>
  <c r="QR364" i="29"/>
  <c r="QS364" i="29"/>
  <c r="QT364" i="29"/>
  <c r="QU364" i="29"/>
  <c r="QV364" i="29"/>
  <c r="QW364" i="29"/>
  <c r="QX364" i="29"/>
  <c r="QY364" i="29"/>
  <c r="QZ364" i="29"/>
  <c r="RA364" i="29"/>
  <c r="RB364" i="29"/>
  <c r="RC364" i="29"/>
  <c r="RD364" i="29"/>
  <c r="RE364" i="29"/>
  <c r="RF364" i="29"/>
  <c r="RG364" i="29"/>
  <c r="RH364" i="29"/>
  <c r="RI364" i="29"/>
  <c r="RJ364" i="29"/>
  <c r="RK364" i="29"/>
  <c r="RL364" i="29"/>
  <c r="RM364" i="29"/>
  <c r="RN364" i="29"/>
  <c r="RO364" i="29"/>
  <c r="RP364" i="29"/>
  <c r="RQ364" i="29"/>
  <c r="RR364" i="29"/>
  <c r="RS364" i="29"/>
  <c r="RT364" i="29"/>
  <c r="RU364" i="29"/>
  <c r="RV364" i="29"/>
  <c r="RW364" i="29"/>
  <c r="RX364" i="29"/>
  <c r="RY364" i="29"/>
  <c r="RZ364" i="29"/>
  <c r="SA364" i="29"/>
  <c r="SB364" i="29"/>
  <c r="SC364" i="29"/>
  <c r="SD364" i="29"/>
  <c r="SE364" i="29"/>
  <c r="SF364" i="29"/>
  <c r="SG364" i="29"/>
  <c r="SH364" i="29"/>
  <c r="SI364" i="29"/>
  <c r="SJ364" i="29"/>
  <c r="SK364" i="29"/>
  <c r="SL364" i="29"/>
  <c r="SM364" i="29"/>
  <c r="SN364" i="29"/>
  <c r="SO364" i="29"/>
  <c r="SP364" i="29"/>
  <c r="SQ364" i="29"/>
  <c r="SR364" i="29"/>
  <c r="SS364" i="29"/>
  <c r="B365" i="29"/>
  <c r="C365" i="29"/>
  <c r="D365" i="29"/>
  <c r="E365" i="29"/>
  <c r="F365" i="29"/>
  <c r="G365" i="29"/>
  <c r="H365" i="29"/>
  <c r="I365" i="29"/>
  <c r="J365" i="29"/>
  <c r="K365" i="29"/>
  <c r="L365" i="29"/>
  <c r="M365" i="29"/>
  <c r="N365" i="29"/>
  <c r="O365" i="29"/>
  <c r="P365" i="29"/>
  <c r="Q365" i="29"/>
  <c r="R365" i="29"/>
  <c r="S365" i="29"/>
  <c r="T365" i="29"/>
  <c r="U365" i="29"/>
  <c r="V365" i="29"/>
  <c r="W365" i="29"/>
  <c r="X365" i="29"/>
  <c r="Y365" i="29"/>
  <c r="Z365" i="29"/>
  <c r="AA365" i="29"/>
  <c r="AB365" i="29"/>
  <c r="AC365" i="29"/>
  <c r="AD365" i="29"/>
  <c r="AE365" i="29"/>
  <c r="AF365" i="29"/>
  <c r="AG365" i="29"/>
  <c r="AH365" i="29"/>
  <c r="AI365" i="29"/>
  <c r="AJ365" i="29"/>
  <c r="AK365" i="29"/>
  <c r="AL365" i="29"/>
  <c r="AM365" i="29"/>
  <c r="AN365" i="29"/>
  <c r="AO365" i="29"/>
  <c r="AP365" i="29"/>
  <c r="AQ365" i="29"/>
  <c r="AR365" i="29"/>
  <c r="AS365" i="29"/>
  <c r="AT365" i="29"/>
  <c r="AU365" i="29"/>
  <c r="AV365" i="29"/>
  <c r="AW365" i="29"/>
  <c r="AX365" i="29"/>
  <c r="AY365" i="29"/>
  <c r="AZ365" i="29"/>
  <c r="BA365" i="29"/>
  <c r="BB365" i="29"/>
  <c r="BC365" i="29"/>
  <c r="BD365" i="29"/>
  <c r="BE365" i="29"/>
  <c r="BF365" i="29"/>
  <c r="BG365" i="29"/>
  <c r="BH365" i="29"/>
  <c r="BI365" i="29"/>
  <c r="BJ365" i="29"/>
  <c r="BK365" i="29"/>
  <c r="BL365" i="29"/>
  <c r="BM365" i="29"/>
  <c r="BN365" i="29"/>
  <c r="BO365" i="29"/>
  <c r="BP365" i="29"/>
  <c r="BQ365" i="29"/>
  <c r="BR365" i="29"/>
  <c r="BS365" i="29"/>
  <c r="BT365" i="29"/>
  <c r="BU365" i="29"/>
  <c r="BV365" i="29"/>
  <c r="BW365" i="29"/>
  <c r="BX365" i="29"/>
  <c r="BY365" i="29"/>
  <c r="BZ365" i="29"/>
  <c r="CA365" i="29"/>
  <c r="CB365" i="29"/>
  <c r="CC365" i="29"/>
  <c r="CD365" i="29"/>
  <c r="CE365" i="29"/>
  <c r="CF365" i="29"/>
  <c r="CG365" i="29"/>
  <c r="CH365" i="29"/>
  <c r="CI365" i="29"/>
  <c r="CJ365" i="29"/>
  <c r="CK365" i="29"/>
  <c r="CL365" i="29"/>
  <c r="CM365" i="29"/>
  <c r="CN365" i="29"/>
  <c r="CO365" i="29"/>
  <c r="CP365" i="29"/>
  <c r="CQ365" i="29"/>
  <c r="CR365" i="29"/>
  <c r="CS365" i="29"/>
  <c r="CT365" i="29"/>
  <c r="CU365" i="29"/>
  <c r="CV365" i="29"/>
  <c r="CW365" i="29"/>
  <c r="CX365" i="29"/>
  <c r="CY365" i="29"/>
  <c r="CZ365" i="29"/>
  <c r="DA365" i="29"/>
  <c r="DB365" i="29"/>
  <c r="DC365" i="29"/>
  <c r="DD365" i="29"/>
  <c r="DE365" i="29"/>
  <c r="DF365" i="29"/>
  <c r="DG365" i="29"/>
  <c r="DH365" i="29"/>
  <c r="DI365" i="29"/>
  <c r="DJ365" i="29"/>
  <c r="DK365" i="29"/>
  <c r="DL365" i="29"/>
  <c r="DM365" i="29"/>
  <c r="DN365" i="29"/>
  <c r="DO365" i="29"/>
  <c r="DP365" i="29"/>
  <c r="DQ365" i="29"/>
  <c r="DR365" i="29"/>
  <c r="DS365" i="29"/>
  <c r="DT365" i="29"/>
  <c r="DU365" i="29"/>
  <c r="DV365" i="29"/>
  <c r="DW365" i="29"/>
  <c r="DX365" i="29"/>
  <c r="DY365" i="29"/>
  <c r="DZ365" i="29"/>
  <c r="EA365" i="29"/>
  <c r="EB365" i="29"/>
  <c r="EC365" i="29"/>
  <c r="ED365" i="29"/>
  <c r="EE365" i="29"/>
  <c r="EF365" i="29"/>
  <c r="EG365" i="29"/>
  <c r="EH365" i="29"/>
  <c r="EI365" i="29"/>
  <c r="EJ365" i="29"/>
  <c r="EK365" i="29"/>
  <c r="EL365" i="29"/>
  <c r="EM365" i="29"/>
  <c r="EN365" i="29"/>
  <c r="EO365" i="29"/>
  <c r="EP365" i="29"/>
  <c r="EQ365" i="29"/>
  <c r="ER365" i="29"/>
  <c r="ES365" i="29"/>
  <c r="ET365" i="29"/>
  <c r="EU365" i="29"/>
  <c r="EV365" i="29"/>
  <c r="EW365" i="29"/>
  <c r="EX365" i="29"/>
  <c r="EY365" i="29"/>
  <c r="EZ365" i="29"/>
  <c r="FA365" i="29"/>
  <c r="FB365" i="29"/>
  <c r="FC365" i="29"/>
  <c r="FD365" i="29"/>
  <c r="FE365" i="29"/>
  <c r="FF365" i="29"/>
  <c r="FG365" i="29"/>
  <c r="FH365" i="29"/>
  <c r="FI365" i="29"/>
  <c r="FJ365" i="29"/>
  <c r="FK365" i="29"/>
  <c r="FL365" i="29"/>
  <c r="FM365" i="29"/>
  <c r="FN365" i="29"/>
  <c r="FO365" i="29"/>
  <c r="FP365" i="29"/>
  <c r="FQ365" i="29"/>
  <c r="FR365" i="29"/>
  <c r="FS365" i="29"/>
  <c r="FT365" i="29"/>
  <c r="FU365" i="29"/>
  <c r="FV365" i="29"/>
  <c r="FW365" i="29"/>
  <c r="FX365" i="29"/>
  <c r="FY365" i="29"/>
  <c r="FZ365" i="29"/>
  <c r="GA365" i="29"/>
  <c r="GB365" i="29"/>
  <c r="GC365" i="29"/>
  <c r="GD365" i="29"/>
  <c r="GE365" i="29"/>
  <c r="GF365" i="29"/>
  <c r="GG365" i="29"/>
  <c r="GH365" i="29"/>
  <c r="GI365" i="29"/>
  <c r="GJ365" i="29"/>
  <c r="GK365" i="29"/>
  <c r="GL365" i="29"/>
  <c r="GM365" i="29"/>
  <c r="GN365" i="29"/>
  <c r="GO365" i="29"/>
  <c r="GP365" i="29"/>
  <c r="GQ365" i="29"/>
  <c r="GR365" i="29"/>
  <c r="GS365" i="29"/>
  <c r="GT365" i="29"/>
  <c r="GU365" i="29"/>
  <c r="GV365" i="29"/>
  <c r="GW365" i="29"/>
  <c r="GX365" i="29"/>
  <c r="GY365" i="29"/>
  <c r="GZ365" i="29"/>
  <c r="HA365" i="29"/>
  <c r="HB365" i="29"/>
  <c r="HC365" i="29"/>
  <c r="HD365" i="29"/>
  <c r="HE365" i="29"/>
  <c r="HF365" i="29"/>
  <c r="HG365" i="29"/>
  <c r="HH365" i="29"/>
  <c r="HI365" i="29"/>
  <c r="HJ365" i="29"/>
  <c r="HK365" i="29"/>
  <c r="HL365" i="29"/>
  <c r="HM365" i="29"/>
  <c r="HN365" i="29"/>
  <c r="HO365" i="29"/>
  <c r="HP365" i="29"/>
  <c r="HQ365" i="29"/>
  <c r="HR365" i="29"/>
  <c r="HS365" i="29"/>
  <c r="HT365" i="29"/>
  <c r="HU365" i="29"/>
  <c r="HV365" i="29"/>
  <c r="HW365" i="29"/>
  <c r="HX365" i="29"/>
  <c r="HY365" i="29"/>
  <c r="HZ365" i="29"/>
  <c r="IA365" i="29"/>
  <c r="IB365" i="29"/>
  <c r="IC365" i="29"/>
  <c r="ID365" i="29"/>
  <c r="IE365" i="29"/>
  <c r="IF365" i="29"/>
  <c r="IG365" i="29"/>
  <c r="IH365" i="29"/>
  <c r="II365" i="29"/>
  <c r="IJ365" i="29"/>
  <c r="IK365" i="29"/>
  <c r="IL365" i="29"/>
  <c r="IM365" i="29"/>
  <c r="IN365" i="29"/>
  <c r="IO365" i="29"/>
  <c r="IP365" i="29"/>
  <c r="IQ365" i="29"/>
  <c r="IR365" i="29"/>
  <c r="IS365" i="29"/>
  <c r="IT365" i="29"/>
  <c r="IU365" i="29"/>
  <c r="IV365" i="29"/>
  <c r="IW365" i="29"/>
  <c r="IX365" i="29"/>
  <c r="IY365" i="29"/>
  <c r="IZ365" i="29"/>
  <c r="JA365" i="29"/>
  <c r="JB365" i="29"/>
  <c r="JC365" i="29"/>
  <c r="JD365" i="29"/>
  <c r="JE365" i="29"/>
  <c r="JF365" i="29"/>
  <c r="JG365" i="29"/>
  <c r="JH365" i="29"/>
  <c r="JI365" i="29"/>
  <c r="JJ365" i="29"/>
  <c r="JK365" i="29"/>
  <c r="JL365" i="29"/>
  <c r="JM365" i="29"/>
  <c r="JN365" i="29"/>
  <c r="JO365" i="29"/>
  <c r="JP365" i="29"/>
  <c r="JQ365" i="29"/>
  <c r="JR365" i="29"/>
  <c r="JS365" i="29"/>
  <c r="JT365" i="29"/>
  <c r="JU365" i="29"/>
  <c r="JV365" i="29"/>
  <c r="JW365" i="29"/>
  <c r="JX365" i="29"/>
  <c r="JY365" i="29"/>
  <c r="JZ365" i="29"/>
  <c r="KA365" i="29"/>
  <c r="KB365" i="29"/>
  <c r="KC365" i="29"/>
  <c r="KD365" i="29"/>
  <c r="KE365" i="29"/>
  <c r="KF365" i="29"/>
  <c r="KG365" i="29"/>
  <c r="KH365" i="29"/>
  <c r="KI365" i="29"/>
  <c r="KJ365" i="29"/>
  <c r="KK365" i="29"/>
  <c r="KL365" i="29"/>
  <c r="KM365" i="29"/>
  <c r="KN365" i="29"/>
  <c r="KO365" i="29"/>
  <c r="KP365" i="29"/>
  <c r="KQ365" i="29"/>
  <c r="KR365" i="29"/>
  <c r="KS365" i="29"/>
  <c r="KT365" i="29"/>
  <c r="KU365" i="29"/>
  <c r="KV365" i="29"/>
  <c r="KW365" i="29"/>
  <c r="KX365" i="29"/>
  <c r="KY365" i="29"/>
  <c r="KZ365" i="29"/>
  <c r="LA365" i="29"/>
  <c r="LB365" i="29"/>
  <c r="LC365" i="29"/>
  <c r="LD365" i="29"/>
  <c r="LE365" i="29"/>
  <c r="LF365" i="29"/>
  <c r="LG365" i="29"/>
  <c r="LH365" i="29"/>
  <c r="LI365" i="29"/>
  <c r="LJ365" i="29"/>
  <c r="LK365" i="29"/>
  <c r="LL365" i="29"/>
  <c r="LM365" i="29"/>
  <c r="LN365" i="29"/>
  <c r="LO365" i="29"/>
  <c r="LP365" i="29"/>
  <c r="LQ365" i="29"/>
  <c r="LR365" i="29"/>
  <c r="LS365" i="29"/>
  <c r="LT365" i="29"/>
  <c r="LU365" i="29"/>
  <c r="LV365" i="29"/>
  <c r="LW365" i="29"/>
  <c r="LX365" i="29"/>
  <c r="LY365" i="29"/>
  <c r="LZ365" i="29"/>
  <c r="MA365" i="29"/>
  <c r="MB365" i="29"/>
  <c r="MC365" i="29"/>
  <c r="MD365" i="29"/>
  <c r="ME365" i="29"/>
  <c r="MF365" i="29"/>
  <c r="MG365" i="29"/>
  <c r="MH365" i="29"/>
  <c r="MI365" i="29"/>
  <c r="MJ365" i="29"/>
  <c r="MK365" i="29"/>
  <c r="ML365" i="29"/>
  <c r="MM365" i="29"/>
  <c r="MN365" i="29"/>
  <c r="MO365" i="29"/>
  <c r="MP365" i="29"/>
  <c r="MQ365" i="29"/>
  <c r="MR365" i="29"/>
  <c r="MS365" i="29"/>
  <c r="MT365" i="29"/>
  <c r="MU365" i="29"/>
  <c r="MV365" i="29"/>
  <c r="MW365" i="29"/>
  <c r="MX365" i="29"/>
  <c r="MY365" i="29"/>
  <c r="MZ365" i="29"/>
  <c r="NA365" i="29"/>
  <c r="NB365" i="29"/>
  <c r="NC365" i="29"/>
  <c r="ND365" i="29"/>
  <c r="NE365" i="29"/>
  <c r="NF365" i="29"/>
  <c r="NG365" i="29"/>
  <c r="NH365" i="29"/>
  <c r="NI365" i="29"/>
  <c r="NJ365" i="29"/>
  <c r="NK365" i="29"/>
  <c r="NL365" i="29"/>
  <c r="NM365" i="29"/>
  <c r="NN365" i="29"/>
  <c r="NO365" i="29"/>
  <c r="NP365" i="29"/>
  <c r="NQ365" i="29"/>
  <c r="NR365" i="29"/>
  <c r="NS365" i="29"/>
  <c r="NT365" i="29"/>
  <c r="NU365" i="29"/>
  <c r="NV365" i="29"/>
  <c r="NW365" i="29"/>
  <c r="NX365" i="29"/>
  <c r="NY365" i="29"/>
  <c r="NZ365" i="29"/>
  <c r="OA365" i="29"/>
  <c r="OB365" i="29"/>
  <c r="OC365" i="29"/>
  <c r="OD365" i="29"/>
  <c r="OE365" i="29"/>
  <c r="OF365" i="29"/>
  <c r="OG365" i="29"/>
  <c r="OH365" i="29"/>
  <c r="OI365" i="29"/>
  <c r="OJ365" i="29"/>
  <c r="OK365" i="29"/>
  <c r="OL365" i="29"/>
  <c r="OM365" i="29"/>
  <c r="ON365" i="29"/>
  <c r="OO365" i="29"/>
  <c r="OP365" i="29"/>
  <c r="OQ365" i="29"/>
  <c r="OR365" i="29"/>
  <c r="OS365" i="29"/>
  <c r="OT365" i="29"/>
  <c r="OU365" i="29"/>
  <c r="OV365" i="29"/>
  <c r="OW365" i="29"/>
  <c r="OX365" i="29"/>
  <c r="OY365" i="29"/>
  <c r="OZ365" i="29"/>
  <c r="PA365" i="29"/>
  <c r="PB365" i="29"/>
  <c r="PC365" i="29"/>
  <c r="PD365" i="29"/>
  <c r="PE365" i="29"/>
  <c r="PF365" i="29"/>
  <c r="PG365" i="29"/>
  <c r="PH365" i="29"/>
  <c r="PI365" i="29"/>
  <c r="PJ365" i="29"/>
  <c r="PK365" i="29"/>
  <c r="PL365" i="29"/>
  <c r="PM365" i="29"/>
  <c r="PN365" i="29"/>
  <c r="PO365" i="29"/>
  <c r="PP365" i="29"/>
  <c r="PQ365" i="29"/>
  <c r="PR365" i="29"/>
  <c r="PS365" i="29"/>
  <c r="PT365" i="29"/>
  <c r="PU365" i="29"/>
  <c r="PV365" i="29"/>
  <c r="PW365" i="29"/>
  <c r="PX365" i="29"/>
  <c r="PY365" i="29"/>
  <c r="PZ365" i="29"/>
  <c r="QA365" i="29"/>
  <c r="QB365" i="29"/>
  <c r="QC365" i="29"/>
  <c r="QD365" i="29"/>
  <c r="QE365" i="29"/>
  <c r="QF365" i="29"/>
  <c r="QG365" i="29"/>
  <c r="QH365" i="29"/>
  <c r="QI365" i="29"/>
  <c r="QJ365" i="29"/>
  <c r="QK365" i="29"/>
  <c r="QL365" i="29"/>
  <c r="QM365" i="29"/>
  <c r="QN365" i="29"/>
  <c r="QO365" i="29"/>
  <c r="QP365" i="29"/>
  <c r="QQ365" i="29"/>
  <c r="QR365" i="29"/>
  <c r="QS365" i="29"/>
  <c r="QT365" i="29"/>
  <c r="QU365" i="29"/>
  <c r="QV365" i="29"/>
  <c r="QW365" i="29"/>
  <c r="QX365" i="29"/>
  <c r="QY365" i="29"/>
  <c r="QZ365" i="29"/>
  <c r="RA365" i="29"/>
  <c r="RB365" i="29"/>
  <c r="RC365" i="29"/>
  <c r="RD365" i="29"/>
  <c r="RE365" i="29"/>
  <c r="RF365" i="29"/>
  <c r="RG365" i="29"/>
  <c r="RH365" i="29"/>
  <c r="RI365" i="29"/>
  <c r="RJ365" i="29"/>
  <c r="RK365" i="29"/>
  <c r="RL365" i="29"/>
  <c r="RM365" i="29"/>
  <c r="RN365" i="29"/>
  <c r="RO365" i="29"/>
  <c r="RP365" i="29"/>
  <c r="RQ365" i="29"/>
  <c r="RR365" i="29"/>
  <c r="RS365" i="29"/>
  <c r="RT365" i="29"/>
  <c r="RU365" i="29"/>
  <c r="RV365" i="29"/>
  <c r="RW365" i="29"/>
  <c r="RX365" i="29"/>
  <c r="RY365" i="29"/>
  <c r="RZ365" i="29"/>
  <c r="SA365" i="29"/>
  <c r="SB365" i="29"/>
  <c r="SC365" i="29"/>
  <c r="SD365" i="29"/>
  <c r="SE365" i="29"/>
  <c r="SF365" i="29"/>
  <c r="SG365" i="29"/>
  <c r="SH365" i="29"/>
  <c r="SI365" i="29"/>
  <c r="SJ365" i="29"/>
  <c r="SK365" i="29"/>
  <c r="SL365" i="29"/>
  <c r="SM365" i="29"/>
  <c r="SN365" i="29"/>
  <c r="SO365" i="29"/>
  <c r="SP365" i="29"/>
  <c r="SQ365" i="29"/>
  <c r="SR365" i="29"/>
  <c r="SS365" i="29"/>
  <c r="B366" i="29"/>
  <c r="C366" i="29"/>
  <c r="D366" i="29"/>
  <c r="E366" i="29"/>
  <c r="F366" i="29"/>
  <c r="G366" i="29"/>
  <c r="H366" i="29"/>
  <c r="I366" i="29"/>
  <c r="J366" i="29"/>
  <c r="K366" i="29"/>
  <c r="L366" i="29"/>
  <c r="M366" i="29"/>
  <c r="N366" i="29"/>
  <c r="O366" i="29"/>
  <c r="P366" i="29"/>
  <c r="Q366" i="29"/>
  <c r="R366" i="29"/>
  <c r="S366" i="29"/>
  <c r="T366" i="29"/>
  <c r="U366" i="29"/>
  <c r="V366" i="29"/>
  <c r="W366" i="29"/>
  <c r="X366" i="29"/>
  <c r="Y366" i="29"/>
  <c r="Z366" i="29"/>
  <c r="AA366" i="29"/>
  <c r="AB366" i="29"/>
  <c r="AC366" i="29"/>
  <c r="AD366" i="29"/>
  <c r="AE366" i="29"/>
  <c r="AF366" i="29"/>
  <c r="AG366" i="29"/>
  <c r="AH366" i="29"/>
  <c r="AI366" i="29"/>
  <c r="AJ366" i="29"/>
  <c r="AK366" i="29"/>
  <c r="AL366" i="29"/>
  <c r="AM366" i="29"/>
  <c r="AN366" i="29"/>
  <c r="AO366" i="29"/>
  <c r="AP366" i="29"/>
  <c r="AQ366" i="29"/>
  <c r="AR366" i="29"/>
  <c r="AS366" i="29"/>
  <c r="AT366" i="29"/>
  <c r="AU366" i="29"/>
  <c r="AV366" i="29"/>
  <c r="AW366" i="29"/>
  <c r="AX366" i="29"/>
  <c r="AY366" i="29"/>
  <c r="AZ366" i="29"/>
  <c r="BA366" i="29"/>
  <c r="BB366" i="29"/>
  <c r="BC366" i="29"/>
  <c r="BD366" i="29"/>
  <c r="BE366" i="29"/>
  <c r="BF366" i="29"/>
  <c r="BG366" i="29"/>
  <c r="BH366" i="29"/>
  <c r="BI366" i="29"/>
  <c r="BJ366" i="29"/>
  <c r="BK366" i="29"/>
  <c r="BL366" i="29"/>
  <c r="BM366" i="29"/>
  <c r="BN366" i="29"/>
  <c r="BO366" i="29"/>
  <c r="BP366" i="29"/>
  <c r="BQ366" i="29"/>
  <c r="BR366" i="29"/>
  <c r="BS366" i="29"/>
  <c r="BT366" i="29"/>
  <c r="BU366" i="29"/>
  <c r="BV366" i="29"/>
  <c r="BW366" i="29"/>
  <c r="BX366" i="29"/>
  <c r="BY366" i="29"/>
  <c r="BZ366" i="29"/>
  <c r="CA366" i="29"/>
  <c r="CB366" i="29"/>
  <c r="CC366" i="29"/>
  <c r="CD366" i="29"/>
  <c r="CE366" i="29"/>
  <c r="CF366" i="29"/>
  <c r="CG366" i="29"/>
  <c r="CH366" i="29"/>
  <c r="CI366" i="29"/>
  <c r="CJ366" i="29"/>
  <c r="CK366" i="29"/>
  <c r="CL366" i="29"/>
  <c r="CM366" i="29"/>
  <c r="CN366" i="29"/>
  <c r="CO366" i="29"/>
  <c r="CP366" i="29"/>
  <c r="CQ366" i="29"/>
  <c r="CR366" i="29"/>
  <c r="CS366" i="29"/>
  <c r="CT366" i="29"/>
  <c r="CU366" i="29"/>
  <c r="CV366" i="29"/>
  <c r="CW366" i="29"/>
  <c r="CX366" i="29"/>
  <c r="CY366" i="29"/>
  <c r="CZ366" i="29"/>
  <c r="DA366" i="29"/>
  <c r="DB366" i="29"/>
  <c r="DC366" i="29"/>
  <c r="DD366" i="29"/>
  <c r="DE366" i="29"/>
  <c r="DF366" i="29"/>
  <c r="DG366" i="29"/>
  <c r="DH366" i="29"/>
  <c r="DI366" i="29"/>
  <c r="DJ366" i="29"/>
  <c r="DK366" i="29"/>
  <c r="DL366" i="29"/>
  <c r="DM366" i="29"/>
  <c r="DN366" i="29"/>
  <c r="DO366" i="29"/>
  <c r="DP366" i="29"/>
  <c r="DQ366" i="29"/>
  <c r="DR366" i="29"/>
  <c r="DS366" i="29"/>
  <c r="DT366" i="29"/>
  <c r="DU366" i="29"/>
  <c r="DV366" i="29"/>
  <c r="DW366" i="29"/>
  <c r="DX366" i="29"/>
  <c r="DY366" i="29"/>
  <c r="DZ366" i="29"/>
  <c r="EA366" i="29"/>
  <c r="EB366" i="29"/>
  <c r="EC366" i="29"/>
  <c r="ED366" i="29"/>
  <c r="EE366" i="29"/>
  <c r="EF366" i="29"/>
  <c r="EG366" i="29"/>
  <c r="EH366" i="29"/>
  <c r="EI366" i="29"/>
  <c r="EJ366" i="29"/>
  <c r="EK366" i="29"/>
  <c r="EL366" i="29"/>
  <c r="EM366" i="29"/>
  <c r="EN366" i="29"/>
  <c r="EO366" i="29"/>
  <c r="EP366" i="29"/>
  <c r="EQ366" i="29"/>
  <c r="ER366" i="29"/>
  <c r="ES366" i="29"/>
  <c r="ET366" i="29"/>
  <c r="EU366" i="29"/>
  <c r="EV366" i="29"/>
  <c r="EW366" i="29"/>
  <c r="EX366" i="29"/>
  <c r="EY366" i="29"/>
  <c r="EZ366" i="29"/>
  <c r="FA366" i="29"/>
  <c r="FB366" i="29"/>
  <c r="FC366" i="29"/>
  <c r="FD366" i="29"/>
  <c r="FE366" i="29"/>
  <c r="FF366" i="29"/>
  <c r="FG366" i="29"/>
  <c r="FH366" i="29"/>
  <c r="FI366" i="29"/>
  <c r="FJ366" i="29"/>
  <c r="FK366" i="29"/>
  <c r="FL366" i="29"/>
  <c r="FM366" i="29"/>
  <c r="FN366" i="29"/>
  <c r="FO366" i="29"/>
  <c r="FP366" i="29"/>
  <c r="FQ366" i="29"/>
  <c r="FR366" i="29"/>
  <c r="FS366" i="29"/>
  <c r="FT366" i="29"/>
  <c r="FU366" i="29"/>
  <c r="FV366" i="29"/>
  <c r="FW366" i="29"/>
  <c r="FX366" i="29"/>
  <c r="FY366" i="29"/>
  <c r="FZ366" i="29"/>
  <c r="GA366" i="29"/>
  <c r="GB366" i="29"/>
  <c r="GC366" i="29"/>
  <c r="GD366" i="29"/>
  <c r="GE366" i="29"/>
  <c r="GF366" i="29"/>
  <c r="GG366" i="29"/>
  <c r="GH366" i="29"/>
  <c r="GI366" i="29"/>
  <c r="GJ366" i="29"/>
  <c r="GK366" i="29"/>
  <c r="GL366" i="29"/>
  <c r="GM366" i="29"/>
  <c r="GN366" i="29"/>
  <c r="GO366" i="29"/>
  <c r="GP366" i="29"/>
  <c r="GQ366" i="29"/>
  <c r="GR366" i="29"/>
  <c r="GS366" i="29"/>
  <c r="GT366" i="29"/>
  <c r="GU366" i="29"/>
  <c r="GV366" i="29"/>
  <c r="GW366" i="29"/>
  <c r="GX366" i="29"/>
  <c r="GY366" i="29"/>
  <c r="GZ366" i="29"/>
  <c r="HA366" i="29"/>
  <c r="HB366" i="29"/>
  <c r="HC366" i="29"/>
  <c r="HD366" i="29"/>
  <c r="HE366" i="29"/>
  <c r="HF366" i="29"/>
  <c r="HG366" i="29"/>
  <c r="HH366" i="29"/>
  <c r="HI366" i="29"/>
  <c r="HJ366" i="29"/>
  <c r="HK366" i="29"/>
  <c r="HL366" i="29"/>
  <c r="HM366" i="29"/>
  <c r="HN366" i="29"/>
  <c r="HO366" i="29"/>
  <c r="HP366" i="29"/>
  <c r="HQ366" i="29"/>
  <c r="HR366" i="29"/>
  <c r="HS366" i="29"/>
  <c r="HT366" i="29"/>
  <c r="HU366" i="29"/>
  <c r="HV366" i="29"/>
  <c r="HW366" i="29"/>
  <c r="HX366" i="29"/>
  <c r="HY366" i="29"/>
  <c r="HZ366" i="29"/>
  <c r="IA366" i="29"/>
  <c r="IB366" i="29"/>
  <c r="IC366" i="29"/>
  <c r="ID366" i="29"/>
  <c r="IE366" i="29"/>
  <c r="IF366" i="29"/>
  <c r="IG366" i="29"/>
  <c r="IH366" i="29"/>
  <c r="II366" i="29"/>
  <c r="IJ366" i="29"/>
  <c r="IK366" i="29"/>
  <c r="IL366" i="29"/>
  <c r="IM366" i="29"/>
  <c r="IN366" i="29"/>
  <c r="IO366" i="29"/>
  <c r="IP366" i="29"/>
  <c r="IQ366" i="29"/>
  <c r="IR366" i="29"/>
  <c r="IS366" i="29"/>
  <c r="IT366" i="29"/>
  <c r="IU366" i="29"/>
  <c r="IV366" i="29"/>
  <c r="IW366" i="29"/>
  <c r="IX366" i="29"/>
  <c r="IY366" i="29"/>
  <c r="IZ366" i="29"/>
  <c r="JA366" i="29"/>
  <c r="JB366" i="29"/>
  <c r="JC366" i="29"/>
  <c r="JD366" i="29"/>
  <c r="JE366" i="29"/>
  <c r="JF366" i="29"/>
  <c r="JG366" i="29"/>
  <c r="JH366" i="29"/>
  <c r="JI366" i="29"/>
  <c r="JJ366" i="29"/>
  <c r="JK366" i="29"/>
  <c r="JL366" i="29"/>
  <c r="JM366" i="29"/>
  <c r="JN366" i="29"/>
  <c r="JO366" i="29"/>
  <c r="JP366" i="29"/>
  <c r="JQ366" i="29"/>
  <c r="JR366" i="29"/>
  <c r="JS366" i="29"/>
  <c r="JT366" i="29"/>
  <c r="JU366" i="29"/>
  <c r="JV366" i="29"/>
  <c r="JW366" i="29"/>
  <c r="JX366" i="29"/>
  <c r="JY366" i="29"/>
  <c r="JZ366" i="29"/>
  <c r="KA366" i="29"/>
  <c r="KB366" i="29"/>
  <c r="KC366" i="29"/>
  <c r="KD366" i="29"/>
  <c r="KE366" i="29"/>
  <c r="KF366" i="29"/>
  <c r="KG366" i="29"/>
  <c r="KH366" i="29"/>
  <c r="KI366" i="29"/>
  <c r="KJ366" i="29"/>
  <c r="KK366" i="29"/>
  <c r="KL366" i="29"/>
  <c r="KM366" i="29"/>
  <c r="KN366" i="29"/>
  <c r="KO366" i="29"/>
  <c r="KP366" i="29"/>
  <c r="KQ366" i="29"/>
  <c r="KR366" i="29"/>
  <c r="KS366" i="29"/>
  <c r="KT366" i="29"/>
  <c r="KU366" i="29"/>
  <c r="KV366" i="29"/>
  <c r="KW366" i="29"/>
  <c r="KX366" i="29"/>
  <c r="KY366" i="29"/>
  <c r="KZ366" i="29"/>
  <c r="LA366" i="29"/>
  <c r="LB366" i="29"/>
  <c r="LC366" i="29"/>
  <c r="LD366" i="29"/>
  <c r="LE366" i="29"/>
  <c r="LF366" i="29"/>
  <c r="LG366" i="29"/>
  <c r="LH366" i="29"/>
  <c r="LI366" i="29"/>
  <c r="LJ366" i="29"/>
  <c r="LK366" i="29"/>
  <c r="LL366" i="29"/>
  <c r="LM366" i="29"/>
  <c r="LN366" i="29"/>
  <c r="LO366" i="29"/>
  <c r="LP366" i="29"/>
  <c r="LQ366" i="29"/>
  <c r="LR366" i="29"/>
  <c r="LS366" i="29"/>
  <c r="LT366" i="29"/>
  <c r="LU366" i="29"/>
  <c r="LV366" i="29"/>
  <c r="LW366" i="29"/>
  <c r="LX366" i="29"/>
  <c r="LY366" i="29"/>
  <c r="LZ366" i="29"/>
  <c r="MA366" i="29"/>
  <c r="MB366" i="29"/>
  <c r="MC366" i="29"/>
  <c r="MD366" i="29"/>
  <c r="ME366" i="29"/>
  <c r="MF366" i="29"/>
  <c r="MG366" i="29"/>
  <c r="MH366" i="29"/>
  <c r="MI366" i="29"/>
  <c r="MJ366" i="29"/>
  <c r="MK366" i="29"/>
  <c r="ML366" i="29"/>
  <c r="MM366" i="29"/>
  <c r="MN366" i="29"/>
  <c r="MO366" i="29"/>
  <c r="MP366" i="29"/>
  <c r="MQ366" i="29"/>
  <c r="MR366" i="29"/>
  <c r="MS366" i="29"/>
  <c r="MT366" i="29"/>
  <c r="MU366" i="29"/>
  <c r="MV366" i="29"/>
  <c r="MW366" i="29"/>
  <c r="MX366" i="29"/>
  <c r="MY366" i="29"/>
  <c r="MZ366" i="29"/>
  <c r="NA366" i="29"/>
  <c r="NB366" i="29"/>
  <c r="NC366" i="29"/>
  <c r="ND366" i="29"/>
  <c r="NE366" i="29"/>
  <c r="NF366" i="29"/>
  <c r="NG366" i="29"/>
  <c r="NH366" i="29"/>
  <c r="NI366" i="29"/>
  <c r="NJ366" i="29"/>
  <c r="NK366" i="29"/>
  <c r="NL366" i="29"/>
  <c r="NM366" i="29"/>
  <c r="NN366" i="29"/>
  <c r="NO366" i="29"/>
  <c r="NP366" i="29"/>
  <c r="NQ366" i="29"/>
  <c r="NR366" i="29"/>
  <c r="NS366" i="29"/>
  <c r="NT366" i="29"/>
  <c r="NU366" i="29"/>
  <c r="NV366" i="29"/>
  <c r="NW366" i="29"/>
  <c r="NX366" i="29"/>
  <c r="NY366" i="29"/>
  <c r="NZ366" i="29"/>
  <c r="OA366" i="29"/>
  <c r="OB366" i="29"/>
  <c r="OC366" i="29"/>
  <c r="OD366" i="29"/>
  <c r="OE366" i="29"/>
  <c r="OF366" i="29"/>
  <c r="OG366" i="29"/>
  <c r="OH366" i="29"/>
  <c r="OI366" i="29"/>
  <c r="OJ366" i="29"/>
  <c r="OK366" i="29"/>
  <c r="OL366" i="29"/>
  <c r="OM366" i="29"/>
  <c r="ON366" i="29"/>
  <c r="OO366" i="29"/>
  <c r="OP366" i="29"/>
  <c r="OQ366" i="29"/>
  <c r="OR366" i="29"/>
  <c r="OS366" i="29"/>
  <c r="OT366" i="29"/>
  <c r="OU366" i="29"/>
  <c r="OV366" i="29"/>
  <c r="OW366" i="29"/>
  <c r="OX366" i="29"/>
  <c r="OY366" i="29"/>
  <c r="OZ366" i="29"/>
  <c r="PA366" i="29"/>
  <c r="PB366" i="29"/>
  <c r="PC366" i="29"/>
  <c r="PD366" i="29"/>
  <c r="PE366" i="29"/>
  <c r="PF366" i="29"/>
  <c r="PG366" i="29"/>
  <c r="PH366" i="29"/>
  <c r="PI366" i="29"/>
  <c r="PJ366" i="29"/>
  <c r="PK366" i="29"/>
  <c r="PL366" i="29"/>
  <c r="PM366" i="29"/>
  <c r="PN366" i="29"/>
  <c r="PO366" i="29"/>
  <c r="PP366" i="29"/>
  <c r="PQ366" i="29"/>
  <c r="PR366" i="29"/>
  <c r="PS366" i="29"/>
  <c r="PT366" i="29"/>
  <c r="PU366" i="29"/>
  <c r="PV366" i="29"/>
  <c r="PW366" i="29"/>
  <c r="PX366" i="29"/>
  <c r="PY366" i="29"/>
  <c r="PZ366" i="29"/>
  <c r="QA366" i="29"/>
  <c r="QB366" i="29"/>
  <c r="QC366" i="29"/>
  <c r="QD366" i="29"/>
  <c r="QE366" i="29"/>
  <c r="QF366" i="29"/>
  <c r="QG366" i="29"/>
  <c r="QH366" i="29"/>
  <c r="QI366" i="29"/>
  <c r="QJ366" i="29"/>
  <c r="QK366" i="29"/>
  <c r="QL366" i="29"/>
  <c r="QM366" i="29"/>
  <c r="QN366" i="29"/>
  <c r="QO366" i="29"/>
  <c r="QP366" i="29"/>
  <c r="QQ366" i="29"/>
  <c r="QR366" i="29"/>
  <c r="QS366" i="29"/>
  <c r="QT366" i="29"/>
  <c r="QU366" i="29"/>
  <c r="QV366" i="29"/>
  <c r="QW366" i="29"/>
  <c r="QX366" i="29"/>
  <c r="QY366" i="29"/>
  <c r="QZ366" i="29"/>
  <c r="RA366" i="29"/>
  <c r="RB366" i="29"/>
  <c r="RC366" i="29"/>
  <c r="RD366" i="29"/>
  <c r="RE366" i="29"/>
  <c r="RF366" i="29"/>
  <c r="RG366" i="29"/>
  <c r="RH366" i="29"/>
  <c r="RI366" i="29"/>
  <c r="RJ366" i="29"/>
  <c r="RK366" i="29"/>
  <c r="RL366" i="29"/>
  <c r="RM366" i="29"/>
  <c r="RN366" i="29"/>
  <c r="RO366" i="29"/>
  <c r="RP366" i="29"/>
  <c r="RQ366" i="29"/>
  <c r="RR366" i="29"/>
  <c r="RS366" i="29"/>
  <c r="RT366" i="29"/>
  <c r="RU366" i="29"/>
  <c r="RV366" i="29"/>
  <c r="RW366" i="29"/>
  <c r="RX366" i="29"/>
  <c r="RY366" i="29"/>
  <c r="RZ366" i="29"/>
  <c r="SA366" i="29"/>
  <c r="SB366" i="29"/>
  <c r="SC366" i="29"/>
  <c r="SD366" i="29"/>
  <c r="SE366" i="29"/>
  <c r="SF366" i="29"/>
  <c r="SG366" i="29"/>
  <c r="SH366" i="29"/>
  <c r="SI366" i="29"/>
  <c r="SJ366" i="29"/>
  <c r="SK366" i="29"/>
  <c r="SL366" i="29"/>
  <c r="SM366" i="29"/>
  <c r="SN366" i="29"/>
  <c r="SO366" i="29"/>
  <c r="SP366" i="29"/>
  <c r="SQ366" i="29"/>
  <c r="SR366" i="29"/>
  <c r="SS366" i="29"/>
  <c r="H265" i="29" l="1"/>
  <c r="I28" i="29"/>
  <c r="F265" i="29"/>
  <c r="B7" i="29"/>
  <c r="C100" i="29"/>
  <c r="B254" i="29"/>
  <c r="C28" i="29"/>
  <c r="B140" i="29"/>
  <c r="K37" i="29"/>
  <c r="AL100" i="29"/>
  <c r="AE225" i="29"/>
  <c r="I111" i="29"/>
  <c r="B226" i="29"/>
  <c r="B290" i="29"/>
  <c r="MR304" i="29"/>
  <c r="MJ304" i="29"/>
  <c r="MB304" i="29"/>
  <c r="LT304" i="29"/>
  <c r="LL304" i="29"/>
  <c r="LD304" i="29"/>
  <c r="KV304" i="29"/>
  <c r="KN304" i="29"/>
  <c r="KF304" i="29"/>
  <c r="JX304" i="29"/>
  <c r="JP304" i="29"/>
  <c r="JH304" i="29"/>
  <c r="IZ304" i="29"/>
  <c r="IR304" i="29"/>
  <c r="IJ304" i="29"/>
  <c r="IB304" i="29"/>
  <c r="HT304" i="29"/>
  <c r="HL304" i="29"/>
  <c r="HD304" i="29"/>
  <c r="GV304" i="29"/>
  <c r="GN304" i="29"/>
  <c r="GF304" i="29"/>
  <c r="FX304" i="29"/>
  <c r="FP304" i="29"/>
  <c r="FH304" i="29"/>
  <c r="EZ304" i="29"/>
  <c r="ER304" i="29"/>
  <c r="EJ304" i="29"/>
  <c r="EB304" i="29"/>
  <c r="DT304" i="29"/>
  <c r="DL304" i="29"/>
  <c r="DD304" i="29"/>
  <c r="CV304" i="29"/>
  <c r="CN304" i="29"/>
  <c r="CF304" i="29"/>
  <c r="BX304" i="29"/>
  <c r="BP304" i="29"/>
  <c r="BH304" i="29"/>
  <c r="AX304" i="29"/>
  <c r="AK304" i="29"/>
  <c r="Y304" i="29"/>
  <c r="L304" i="29"/>
  <c r="SQ303" i="29"/>
  <c r="SD303" i="29"/>
  <c r="RQ303" i="29"/>
  <c r="RE303" i="29"/>
  <c r="QR303" i="29"/>
  <c r="QE303" i="29"/>
  <c r="PR303" i="29"/>
  <c r="PE303" i="29"/>
  <c r="OO303" i="29"/>
  <c r="NY303" i="29"/>
  <c r="NI303" i="29"/>
  <c r="MS303" i="29"/>
  <c r="MC303" i="29"/>
  <c r="LM303" i="29"/>
  <c r="KW303" i="29"/>
  <c r="KD303" i="29"/>
  <c r="JI303" i="29"/>
  <c r="IM303" i="29"/>
  <c r="HR303" i="29"/>
  <c r="GW303" i="29"/>
  <c r="GA303" i="29"/>
  <c r="FF303" i="29"/>
  <c r="EK303" i="29"/>
  <c r="DO303" i="29"/>
  <c r="CT303" i="29"/>
  <c r="BY303" i="29"/>
  <c r="BC303" i="29"/>
  <c r="AH303" i="29"/>
  <c r="AJ229" i="29"/>
  <c r="AA39" i="29"/>
  <c r="C303" i="29"/>
  <c r="K303" i="29"/>
  <c r="S303" i="29"/>
  <c r="AA303" i="29"/>
  <c r="AI303" i="29"/>
  <c r="AQ303" i="29"/>
  <c r="AY303" i="29"/>
  <c r="BG303" i="29"/>
  <c r="BO303" i="29"/>
  <c r="BW303" i="29"/>
  <c r="CE303" i="29"/>
  <c r="CM303" i="29"/>
  <c r="CU303" i="29"/>
  <c r="DC303" i="29"/>
  <c r="DK303" i="29"/>
  <c r="DS303" i="29"/>
  <c r="EA303" i="29"/>
  <c r="EI303" i="29"/>
  <c r="EQ303" i="29"/>
  <c r="EY303" i="29"/>
  <c r="FG303" i="29"/>
  <c r="FO303" i="29"/>
  <c r="FW303" i="29"/>
  <c r="GE303" i="29"/>
  <c r="GM303" i="29"/>
  <c r="GU303" i="29"/>
  <c r="HC303" i="29"/>
  <c r="HK303" i="29"/>
  <c r="HS303" i="29"/>
  <c r="IA303" i="29"/>
  <c r="II303" i="29"/>
  <c r="IQ303" i="29"/>
  <c r="IY303" i="29"/>
  <c r="JG303" i="29"/>
  <c r="JO303" i="29"/>
  <c r="JW303" i="29"/>
  <c r="KE303" i="29"/>
  <c r="KM303" i="29"/>
  <c r="KU303" i="29"/>
  <c r="LC303" i="29"/>
  <c r="LK303" i="29"/>
  <c r="LS303" i="29"/>
  <c r="MA303" i="29"/>
  <c r="MI303" i="29"/>
  <c r="MQ303" i="29"/>
  <c r="MY303" i="29"/>
  <c r="NG303" i="29"/>
  <c r="NO303" i="29"/>
  <c r="NW303" i="29"/>
  <c r="OE303" i="29"/>
  <c r="OM303" i="29"/>
  <c r="OU303" i="29"/>
  <c r="PC303" i="29"/>
  <c r="PK303" i="29"/>
  <c r="PS303" i="29"/>
  <c r="QA303" i="29"/>
  <c r="QI303" i="29"/>
  <c r="QQ303" i="29"/>
  <c r="QY303" i="29"/>
  <c r="RG303" i="29"/>
  <c r="RO303" i="29"/>
  <c r="RW303" i="29"/>
  <c r="SE303" i="29"/>
  <c r="SM303" i="29"/>
  <c r="C304" i="29"/>
  <c r="K304" i="29"/>
  <c r="S304" i="29"/>
  <c r="AA304" i="29"/>
  <c r="AI304" i="29"/>
  <c r="AQ304" i="29"/>
  <c r="AY304" i="29"/>
  <c r="BG304" i="29"/>
  <c r="D303" i="29"/>
  <c r="L303" i="29"/>
  <c r="T303" i="29"/>
  <c r="AB303" i="29"/>
  <c r="AJ303" i="29"/>
  <c r="AR303" i="29"/>
  <c r="AZ303" i="29"/>
  <c r="BH303" i="29"/>
  <c r="BP303" i="29"/>
  <c r="BX303" i="29"/>
  <c r="CF303" i="29"/>
  <c r="CN303" i="29"/>
  <c r="CV303" i="29"/>
  <c r="DD303" i="29"/>
  <c r="DL303" i="29"/>
  <c r="DT303" i="29"/>
  <c r="EB303" i="29"/>
  <c r="EJ303" i="29"/>
  <c r="ER303" i="29"/>
  <c r="EZ303" i="29"/>
  <c r="FH303" i="29"/>
  <c r="FP303" i="29"/>
  <c r="FX303" i="29"/>
  <c r="GF303" i="29"/>
  <c r="GN303" i="29"/>
  <c r="GV303" i="29"/>
  <c r="HD303" i="29"/>
  <c r="HL303" i="29"/>
  <c r="HT303" i="29"/>
  <c r="IB303" i="29"/>
  <c r="IJ303" i="29"/>
  <c r="IR303" i="29"/>
  <c r="IZ303" i="29"/>
  <c r="JH303" i="29"/>
  <c r="JP303" i="29"/>
  <c r="JX303" i="29"/>
  <c r="KF303" i="29"/>
  <c r="KN303" i="29"/>
  <c r="KV303" i="29"/>
  <c r="LD303" i="29"/>
  <c r="LL303" i="29"/>
  <c r="LT303" i="29"/>
  <c r="MB303" i="29"/>
  <c r="MJ303" i="29"/>
  <c r="MR303" i="29"/>
  <c r="MZ303" i="29"/>
  <c r="NH303" i="29"/>
  <c r="NP303" i="29"/>
  <c r="NX303" i="29"/>
  <c r="OF303" i="29"/>
  <c r="ON303" i="29"/>
  <c r="OV303" i="29"/>
  <c r="PD303" i="29"/>
  <c r="F303" i="29"/>
  <c r="N303" i="29"/>
  <c r="V303" i="29"/>
  <c r="AD303" i="29"/>
  <c r="AL303" i="29"/>
  <c r="AT303" i="29"/>
  <c r="BB303" i="29"/>
  <c r="BJ303" i="29"/>
  <c r="BR303" i="29"/>
  <c r="BZ303" i="29"/>
  <c r="CH303" i="29"/>
  <c r="CP303" i="29"/>
  <c r="CX303" i="29"/>
  <c r="DF303" i="29"/>
  <c r="DN303" i="29"/>
  <c r="DV303" i="29"/>
  <c r="ED303" i="29"/>
  <c r="EL303" i="29"/>
  <c r="ET303" i="29"/>
  <c r="FB303" i="29"/>
  <c r="FJ303" i="29"/>
  <c r="FR303" i="29"/>
  <c r="FZ303" i="29"/>
  <c r="GH303" i="29"/>
  <c r="GP303" i="29"/>
  <c r="GX303" i="29"/>
  <c r="HF303" i="29"/>
  <c r="HN303" i="29"/>
  <c r="HV303" i="29"/>
  <c r="ID303" i="29"/>
  <c r="IL303" i="29"/>
  <c r="IT303" i="29"/>
  <c r="JB303" i="29"/>
  <c r="JJ303" i="29"/>
  <c r="JR303" i="29"/>
  <c r="JZ303" i="29"/>
  <c r="KH303" i="29"/>
  <c r="KP303" i="29"/>
  <c r="KX303" i="29"/>
  <c r="LF303" i="29"/>
  <c r="LN303" i="29"/>
  <c r="LV303" i="29"/>
  <c r="MD303" i="29"/>
  <c r="ML303" i="29"/>
  <c r="MT303" i="29"/>
  <c r="NB303" i="29"/>
  <c r="NJ303" i="29"/>
  <c r="NR303" i="29"/>
  <c r="NZ303" i="29"/>
  <c r="OH303" i="29"/>
  <c r="OP303" i="29"/>
  <c r="OX303" i="29"/>
  <c r="PF303" i="29"/>
  <c r="PN303" i="29"/>
  <c r="PV303" i="29"/>
  <c r="QD303" i="29"/>
  <c r="QL303" i="29"/>
  <c r="QT303" i="29"/>
  <c r="RB303" i="29"/>
  <c r="RJ303" i="29"/>
  <c r="RR303" i="29"/>
  <c r="RZ303" i="29"/>
  <c r="SH303" i="29"/>
  <c r="SP303" i="29"/>
  <c r="F304" i="29"/>
  <c r="N304" i="29"/>
  <c r="V304" i="29"/>
  <c r="AD304" i="29"/>
  <c r="AL304" i="29"/>
  <c r="AT304" i="29"/>
  <c r="H303" i="29"/>
  <c r="P303" i="29"/>
  <c r="X303" i="29"/>
  <c r="AF303" i="29"/>
  <c r="AN303" i="29"/>
  <c r="AV303" i="29"/>
  <c r="BD303" i="29"/>
  <c r="BL303" i="29"/>
  <c r="BT303" i="29"/>
  <c r="CB303" i="29"/>
  <c r="CJ303" i="29"/>
  <c r="CR303" i="29"/>
  <c r="CZ303" i="29"/>
  <c r="DH303" i="29"/>
  <c r="DP303" i="29"/>
  <c r="DX303" i="29"/>
  <c r="EF303" i="29"/>
  <c r="EN303" i="29"/>
  <c r="EV303" i="29"/>
  <c r="FD303" i="29"/>
  <c r="FL303" i="29"/>
  <c r="FT303" i="29"/>
  <c r="GB303" i="29"/>
  <c r="GJ303" i="29"/>
  <c r="GR303" i="29"/>
  <c r="GZ303" i="29"/>
  <c r="HH303" i="29"/>
  <c r="HP303" i="29"/>
  <c r="HX303" i="29"/>
  <c r="IF303" i="29"/>
  <c r="IN303" i="29"/>
  <c r="IV303" i="29"/>
  <c r="JD303" i="29"/>
  <c r="JL303" i="29"/>
  <c r="JT303" i="29"/>
  <c r="KB303" i="29"/>
  <c r="KJ303" i="29"/>
  <c r="KR303" i="29"/>
  <c r="KZ303" i="29"/>
  <c r="LH303" i="29"/>
  <c r="LP303" i="29"/>
  <c r="LX303" i="29"/>
  <c r="MF303" i="29"/>
  <c r="MN303" i="29"/>
  <c r="MV303" i="29"/>
  <c r="ND303" i="29"/>
  <c r="NL303" i="29"/>
  <c r="NT303" i="29"/>
  <c r="OB303" i="29"/>
  <c r="OJ303" i="29"/>
  <c r="OR303" i="29"/>
  <c r="OZ303" i="29"/>
  <c r="PH303" i="29"/>
  <c r="PP303" i="29"/>
  <c r="PX303" i="29"/>
  <c r="QF303" i="29"/>
  <c r="QN303" i="29"/>
  <c r="QV303" i="29"/>
  <c r="RD303" i="29"/>
  <c r="RL303" i="29"/>
  <c r="RT303" i="29"/>
  <c r="SB303" i="29"/>
  <c r="SJ303" i="29"/>
  <c r="SR303" i="29"/>
  <c r="H304" i="29"/>
  <c r="P304" i="29"/>
  <c r="X304" i="29"/>
  <c r="AF304" i="29"/>
  <c r="AN304" i="29"/>
  <c r="AV304" i="29"/>
  <c r="I303" i="29"/>
  <c r="Q303" i="29"/>
  <c r="Y303" i="29"/>
  <c r="AG303" i="29"/>
  <c r="AO303" i="29"/>
  <c r="AW303" i="29"/>
  <c r="BE303" i="29"/>
  <c r="BM303" i="29"/>
  <c r="BU303" i="29"/>
  <c r="CC303" i="29"/>
  <c r="CK303" i="29"/>
  <c r="CS303" i="29"/>
  <c r="DA303" i="29"/>
  <c r="DI303" i="29"/>
  <c r="DQ303" i="29"/>
  <c r="DY303" i="29"/>
  <c r="EG303" i="29"/>
  <c r="EO303" i="29"/>
  <c r="EW303" i="29"/>
  <c r="FE303" i="29"/>
  <c r="FM303" i="29"/>
  <c r="FU303" i="29"/>
  <c r="GC303" i="29"/>
  <c r="GK303" i="29"/>
  <c r="GS303" i="29"/>
  <c r="HA303" i="29"/>
  <c r="HI303" i="29"/>
  <c r="HQ303" i="29"/>
  <c r="HY303" i="29"/>
  <c r="IG303" i="29"/>
  <c r="IO303" i="29"/>
  <c r="IW303" i="29"/>
  <c r="JE303" i="29"/>
  <c r="JM303" i="29"/>
  <c r="JU303" i="29"/>
  <c r="KC303" i="29"/>
  <c r="KK303" i="29"/>
  <c r="CK304" i="29"/>
  <c r="CC304" i="29"/>
  <c r="BU304" i="29"/>
  <c r="BM304" i="29"/>
  <c r="BD304" i="29"/>
  <c r="AS304" i="29"/>
  <c r="AG304" i="29"/>
  <c r="T304" i="29"/>
  <c r="G304" i="29"/>
  <c r="SL303" i="29"/>
  <c r="RY303" i="29"/>
  <c r="RM303" i="29"/>
  <c r="QZ303" i="29"/>
  <c r="QM303" i="29"/>
  <c r="PZ303" i="29"/>
  <c r="PM303" i="29"/>
  <c r="OY303" i="29"/>
  <c r="OI303" i="29"/>
  <c r="NS303" i="29"/>
  <c r="NC303" i="29"/>
  <c r="MM303" i="29"/>
  <c r="LW303" i="29"/>
  <c r="LG303" i="29"/>
  <c r="KQ303" i="29"/>
  <c r="JV303" i="29"/>
  <c r="JA303" i="29"/>
  <c r="IE303" i="29"/>
  <c r="HJ303" i="29"/>
  <c r="GO303" i="29"/>
  <c r="FS303" i="29"/>
  <c r="EX303" i="29"/>
  <c r="EC303" i="29"/>
  <c r="DG303" i="29"/>
  <c r="CL303" i="29"/>
  <c r="BQ303" i="29"/>
  <c r="AU303" i="29"/>
  <c r="Z303" i="29"/>
  <c r="E303" i="29"/>
  <c r="I100" i="29"/>
  <c r="L89" i="29"/>
  <c r="MV304" i="29"/>
  <c r="MN304" i="29"/>
  <c r="MF304" i="29"/>
  <c r="LX304" i="29"/>
  <c r="LP304" i="29"/>
  <c r="LH304" i="29"/>
  <c r="KZ304" i="29"/>
  <c r="KR304" i="29"/>
  <c r="KJ304" i="29"/>
  <c r="KB304" i="29"/>
  <c r="JT304" i="29"/>
  <c r="JL304" i="29"/>
  <c r="JD304" i="29"/>
  <c r="IV304" i="29"/>
  <c r="IN304" i="29"/>
  <c r="IF304" i="29"/>
  <c r="HX304" i="29"/>
  <c r="HP304" i="29"/>
  <c r="HH304" i="29"/>
  <c r="GZ304" i="29"/>
  <c r="GR304" i="29"/>
  <c r="GJ304" i="29"/>
  <c r="GB304" i="29"/>
  <c r="FT304" i="29"/>
  <c r="FL304" i="29"/>
  <c r="FD304" i="29"/>
  <c r="EV304" i="29"/>
  <c r="EN304" i="29"/>
  <c r="EF304" i="29"/>
  <c r="DX304" i="29"/>
  <c r="DP304" i="29"/>
  <c r="DH304" i="29"/>
  <c r="CZ304" i="29"/>
  <c r="CR304" i="29"/>
  <c r="CJ304" i="29"/>
  <c r="CB304" i="29"/>
  <c r="BT304" i="29"/>
  <c r="BL304" i="29"/>
  <c r="BC304" i="29"/>
  <c r="AR304" i="29"/>
  <c r="AE304" i="29"/>
  <c r="R304" i="29"/>
  <c r="E304" i="29"/>
  <c r="SK303" i="29"/>
  <c r="RX303" i="29"/>
  <c r="RK303" i="29"/>
  <c r="QX303" i="29"/>
  <c r="QK303" i="29"/>
  <c r="PY303" i="29"/>
  <c r="PL303" i="29"/>
  <c r="OW303" i="29"/>
  <c r="OG303" i="29"/>
  <c r="NQ303" i="29"/>
  <c r="NA303" i="29"/>
  <c r="MK303" i="29"/>
  <c r="LU303" i="29"/>
  <c r="LE303" i="29"/>
  <c r="KO303" i="29"/>
  <c r="JS303" i="29"/>
  <c r="IX303" i="29"/>
  <c r="IC303" i="29"/>
  <c r="HG303" i="29"/>
  <c r="GL303" i="29"/>
  <c r="FQ303" i="29"/>
  <c r="EU303" i="29"/>
  <c r="DZ303" i="29"/>
  <c r="DE303" i="29"/>
  <c r="CI303" i="29"/>
  <c r="BN303" i="29"/>
  <c r="AS303" i="29"/>
  <c r="W303" i="29"/>
  <c r="B303" i="29"/>
  <c r="G100" i="29"/>
  <c r="Q37" i="29"/>
  <c r="H89" i="29" s="1"/>
  <c r="Y37" i="29"/>
  <c r="P89" i="29" s="1"/>
  <c r="R37" i="29"/>
  <c r="I89" i="29" s="1"/>
  <c r="Z37" i="29"/>
  <c r="Q89" i="29" s="1"/>
  <c r="T37" i="29"/>
  <c r="S39" i="29" s="1"/>
  <c r="AB37" i="29"/>
  <c r="S89" i="29" s="1"/>
  <c r="V37" i="29"/>
  <c r="S38" i="29" s="1"/>
  <c r="AD37" i="29"/>
  <c r="O37" i="29"/>
  <c r="W37" i="29"/>
  <c r="N89" i="29" s="1"/>
  <c r="AO82" i="29"/>
  <c r="MU304" i="29"/>
  <c r="MM304" i="29"/>
  <c r="ME304" i="29"/>
  <c r="LW304" i="29"/>
  <c r="LO304" i="29"/>
  <c r="LG304" i="29"/>
  <c r="KY304" i="29"/>
  <c r="KQ304" i="29"/>
  <c r="KI304" i="29"/>
  <c r="KA304" i="29"/>
  <c r="JS304" i="29"/>
  <c r="JK304" i="29"/>
  <c r="JC304" i="29"/>
  <c r="IU304" i="29"/>
  <c r="IM304" i="29"/>
  <c r="IE304" i="29"/>
  <c r="HW304" i="29"/>
  <c r="HO304" i="29"/>
  <c r="HG304" i="29"/>
  <c r="GY304" i="29"/>
  <c r="GQ304" i="29"/>
  <c r="GI304" i="29"/>
  <c r="GA304" i="29"/>
  <c r="FS304" i="29"/>
  <c r="FK304" i="29"/>
  <c r="FC304" i="29"/>
  <c r="EU304" i="29"/>
  <c r="EM304" i="29"/>
  <c r="EE304" i="29"/>
  <c r="DW304" i="29"/>
  <c r="DO304" i="29"/>
  <c r="DG304" i="29"/>
  <c r="CY304" i="29"/>
  <c r="CQ304" i="29"/>
  <c r="CI304" i="29"/>
  <c r="CA304" i="29"/>
  <c r="BS304" i="29"/>
  <c r="BK304" i="29"/>
  <c r="BB304" i="29"/>
  <c r="AP304" i="29"/>
  <c r="AC304" i="29"/>
  <c r="Q304" i="29"/>
  <c r="D304" i="29"/>
  <c r="SI303" i="29"/>
  <c r="RV303" i="29"/>
  <c r="RI303" i="29"/>
  <c r="QW303" i="29"/>
  <c r="QJ303" i="29"/>
  <c r="PW303" i="29"/>
  <c r="PJ303" i="29"/>
  <c r="OT303" i="29"/>
  <c r="OD303" i="29"/>
  <c r="NN303" i="29"/>
  <c r="MX303" i="29"/>
  <c r="MH303" i="29"/>
  <c r="LR303" i="29"/>
  <c r="LB303" i="29"/>
  <c r="KL303" i="29"/>
  <c r="JQ303" i="29"/>
  <c r="IU303" i="29"/>
  <c r="HZ303" i="29"/>
  <c r="HE303" i="29"/>
  <c r="GI303" i="29"/>
  <c r="FN303" i="29"/>
  <c r="ES303" i="29"/>
  <c r="DW303" i="29"/>
  <c r="DB303" i="29"/>
  <c r="CG303" i="29"/>
  <c r="BK303" i="29"/>
  <c r="AP303" i="29"/>
  <c r="U303" i="29"/>
  <c r="G117" i="29"/>
  <c r="P37" i="29"/>
  <c r="MT304" i="29"/>
  <c r="ML304" i="29"/>
  <c r="MD304" i="29"/>
  <c r="LV304" i="29"/>
  <c r="LN304" i="29"/>
  <c r="LF304" i="29"/>
  <c r="KX304" i="29"/>
  <c r="KP304" i="29"/>
  <c r="KH304" i="29"/>
  <c r="JZ304" i="29"/>
  <c r="JR304" i="29"/>
  <c r="JJ304" i="29"/>
  <c r="JB304" i="29"/>
  <c r="IT304" i="29"/>
  <c r="IL304" i="29"/>
  <c r="ID304" i="29"/>
  <c r="HV304" i="29"/>
  <c r="HN304" i="29"/>
  <c r="HF304" i="29"/>
  <c r="GX304" i="29"/>
  <c r="GP304" i="29"/>
  <c r="GH304" i="29"/>
  <c r="FZ304" i="29"/>
  <c r="FR304" i="29"/>
  <c r="FJ304" i="29"/>
  <c r="FB304" i="29"/>
  <c r="ET304" i="29"/>
  <c r="EL304" i="29"/>
  <c r="ED304" i="29"/>
  <c r="DV304" i="29"/>
  <c r="DN304" i="29"/>
  <c r="DF304" i="29"/>
  <c r="CX304" i="29"/>
  <c r="CP304" i="29"/>
  <c r="CH304" i="29"/>
  <c r="BZ304" i="29"/>
  <c r="BR304" i="29"/>
  <c r="BJ304" i="29"/>
  <c r="BA304" i="29"/>
  <c r="AO304" i="29"/>
  <c r="AB304" i="29"/>
  <c r="O304" i="29"/>
  <c r="B304" i="29"/>
  <c r="SG303" i="29"/>
  <c r="RU303" i="29"/>
  <c r="RH303" i="29"/>
  <c r="QU303" i="29"/>
  <c r="QH303" i="29"/>
  <c r="PU303" i="29"/>
  <c r="PI303" i="29"/>
  <c r="OS303" i="29"/>
  <c r="OC303" i="29"/>
  <c r="NM303" i="29"/>
  <c r="MW303" i="29"/>
  <c r="MG303" i="29"/>
  <c r="LQ303" i="29"/>
  <c r="LA303" i="29"/>
  <c r="KI303" i="29"/>
  <c r="JN303" i="29"/>
  <c r="IS303" i="29"/>
  <c r="HW303" i="29"/>
  <c r="HB303" i="29"/>
  <c r="GG303" i="29"/>
  <c r="FK303" i="29"/>
  <c r="EP303" i="29"/>
  <c r="DU303" i="29"/>
  <c r="CY303" i="29"/>
  <c r="CD303" i="29"/>
  <c r="BI303" i="29"/>
  <c r="AM303" i="29"/>
  <c r="R303" i="29"/>
  <c r="Y100" i="29"/>
  <c r="B89" i="29"/>
  <c r="L119" i="29"/>
  <c r="P123" i="29" s="1"/>
  <c r="X131" i="29" s="1"/>
  <c r="M265" i="29"/>
  <c r="J119" i="29"/>
  <c r="N123" i="29" s="1"/>
  <c r="V131" i="29" s="1"/>
  <c r="J10" i="29"/>
  <c r="G265" i="29"/>
  <c r="C10" i="29"/>
  <c r="J13" i="29" s="1"/>
  <c r="O28" i="29"/>
  <c r="L265" i="29"/>
  <c r="G28" i="29"/>
  <c r="E29" i="29" s="1"/>
  <c r="D265" i="29"/>
  <c r="AH229" i="29"/>
  <c r="M29" i="29"/>
  <c r="AJ228" i="29"/>
  <c r="AH228" i="29"/>
  <c r="K265" i="29"/>
  <c r="C265" i="29"/>
  <c r="J265" i="29"/>
  <c r="B265" i="29"/>
  <c r="I29" i="29"/>
  <c r="I265" i="29"/>
  <c r="B19" i="29"/>
  <c r="I19" i="29"/>
  <c r="N10" i="29"/>
  <c r="D13" i="29" l="1"/>
  <c r="M268" i="29"/>
  <c r="B267" i="29"/>
  <c r="J100" i="29"/>
  <c r="M89" i="29"/>
  <c r="K89" i="29"/>
  <c r="H100" i="29"/>
  <c r="H101" i="29" s="1"/>
  <c r="C72" i="29"/>
  <c r="F89" i="29"/>
  <c r="C48" i="29"/>
  <c r="AA38" i="29"/>
  <c r="U89" i="29"/>
  <c r="G89" i="29"/>
  <c r="P38" i="29"/>
  <c r="P39" i="29"/>
  <c r="C31" i="29" a="1"/>
  <c r="C31" i="29" s="1"/>
  <c r="G31" i="29" a="1"/>
  <c r="G31" i="29" s="1"/>
  <c r="K31" i="29" a="1"/>
  <c r="K31" i="29" s="1"/>
  <c r="O31" i="29" a="1"/>
  <c r="O31" i="29" s="1"/>
  <c r="D31" i="29" a="1"/>
  <c r="D31" i="29" s="1"/>
  <c r="H31" i="29" a="1"/>
  <c r="H31" i="29" s="1"/>
  <c r="L31" i="29" a="1"/>
  <c r="L31" i="29" s="1"/>
  <c r="P31" i="29" a="1"/>
  <c r="P31" i="29" s="1"/>
  <c r="E31" i="29" a="1"/>
  <c r="E31" i="29" s="1"/>
  <c r="I31" i="29" a="1"/>
  <c r="I31" i="29" s="1"/>
  <c r="M31" i="29" a="1"/>
  <c r="M31" i="29" s="1"/>
  <c r="Q31" i="29" a="1"/>
  <c r="Q31" i="29" s="1"/>
  <c r="B31" i="29" a="1"/>
  <c r="B31" i="29" s="1"/>
  <c r="F31" i="29" a="1"/>
  <c r="F31" i="29" s="1"/>
  <c r="J31" i="29" a="1"/>
  <c r="J31" i="29" s="1"/>
  <c r="N31" i="29" a="1"/>
  <c r="N31" i="29" s="1"/>
  <c r="L268" i="29"/>
  <c r="C267" i="29"/>
  <c r="K268" i="29" s="1"/>
  <c r="D77" i="29" l="1"/>
  <c r="D73" i="29"/>
  <c r="D267" i="29"/>
  <c r="E267" i="29" s="1"/>
  <c r="I268" i="29" s="1"/>
  <c r="D69" i="29"/>
  <c r="Y71" i="29" s="1"/>
  <c r="D53" i="29"/>
  <c r="D57" i="29"/>
  <c r="D49" i="29"/>
  <c r="D51" i="29" s="1"/>
  <c r="N2" i="29" s="1"/>
  <c r="D61" i="29"/>
  <c r="D65" i="29"/>
  <c r="K152" i="29"/>
  <c r="W178" i="29"/>
  <c r="AE100" i="29"/>
  <c r="AI280" i="29"/>
  <c r="I131" i="29"/>
  <c r="O254" i="29"/>
  <c r="AF217" i="29"/>
  <c r="E131" i="29"/>
  <c r="AE280" i="29"/>
  <c r="K226" i="29"/>
  <c r="C131" i="29"/>
  <c r="I226" i="29"/>
  <c r="AC280" i="29"/>
  <c r="I152" i="29"/>
  <c r="U178" i="29"/>
  <c r="G131" i="29"/>
  <c r="AC100" i="29"/>
  <c r="AG280" i="29"/>
  <c r="M254" i="29"/>
  <c r="AD217" i="29"/>
  <c r="J268" i="29"/>
  <c r="Z178" i="29"/>
  <c r="AL280" i="29"/>
  <c r="L131" i="29"/>
  <c r="R254" i="29"/>
  <c r="AI217" i="29"/>
  <c r="H152" i="29"/>
  <c r="F131" i="29"/>
  <c r="AF280" i="29"/>
  <c r="L254" i="29"/>
  <c r="T178" i="29"/>
  <c r="AC217" i="29"/>
  <c r="J152" i="29"/>
  <c r="V178" i="29"/>
  <c r="H131" i="29"/>
  <c r="AD100" i="29"/>
  <c r="AH280" i="29"/>
  <c r="N254" i="29"/>
  <c r="AE217" i="29"/>
  <c r="J131" i="29"/>
  <c r="AG217" i="29"/>
  <c r="X178" i="29"/>
  <c r="AJ280" i="29"/>
  <c r="P254" i="29"/>
  <c r="B131" i="29"/>
  <c r="AB280" i="29"/>
  <c r="H226" i="29"/>
  <c r="AD280" i="29"/>
  <c r="J226" i="29"/>
  <c r="D131" i="29"/>
  <c r="M131" i="29"/>
  <c r="AA178" i="29"/>
  <c r="AM280" i="29"/>
  <c r="S254" i="29"/>
  <c r="AJ217" i="29"/>
  <c r="K131" i="29"/>
  <c r="Q254" i="29"/>
  <c r="AH217" i="29"/>
  <c r="Y178" i="29"/>
  <c r="AK280" i="29"/>
  <c r="F267" i="29" l="1"/>
  <c r="U63" i="29"/>
  <c r="S63" i="29"/>
  <c r="AB63" i="29"/>
  <c r="W63" i="29"/>
  <c r="X63" i="29"/>
  <c r="R63" i="29"/>
  <c r="Z63" i="29"/>
  <c r="AD101" i="29"/>
  <c r="I59" i="29"/>
  <c r="AF59" i="29"/>
  <c r="AF82" i="29" s="1"/>
  <c r="T188" i="29" s="1"/>
  <c r="AH59" i="29"/>
  <c r="E59" i="29"/>
  <c r="V59" i="29"/>
  <c r="AK59" i="29"/>
  <c r="L59" i="29"/>
  <c r="AM59" i="29"/>
  <c r="AE59" i="29"/>
  <c r="AJ59" i="29"/>
  <c r="J59" i="29"/>
  <c r="J82" i="29" s="1"/>
  <c r="AD169" i="29" s="1"/>
  <c r="AG59" i="29"/>
  <c r="AL59" i="29"/>
  <c r="D59" i="29"/>
  <c r="AI59" i="29"/>
  <c r="AE55" i="29"/>
  <c r="N55" i="29"/>
  <c r="D55" i="29"/>
  <c r="AK55" i="29"/>
  <c r="AC55" i="29"/>
  <c r="M55" i="29"/>
  <c r="R55" i="29"/>
  <c r="AB55" i="29"/>
  <c r="V55" i="29"/>
  <c r="P55" i="29"/>
  <c r="H55" i="29"/>
  <c r="H82" i="29" s="1"/>
  <c r="AN100" i="29" s="1"/>
  <c r="AI55" i="29"/>
  <c r="W55" i="29"/>
  <c r="AD55" i="29"/>
  <c r="AD82" i="29" s="1"/>
  <c r="F152" i="29" s="1"/>
  <c r="AJ55" i="29"/>
  <c r="E55" i="29"/>
  <c r="AL55" i="29"/>
  <c r="I55" i="29"/>
  <c r="L55" i="29"/>
  <c r="G55" i="29"/>
  <c r="AM55" i="29"/>
  <c r="H227" i="29"/>
  <c r="AG75" i="29"/>
  <c r="AJ75" i="29"/>
  <c r="AH75" i="29"/>
  <c r="M75" i="29"/>
  <c r="V75" i="29"/>
  <c r="AK75" i="29"/>
  <c r="AL75" i="29"/>
  <c r="K75" i="29"/>
  <c r="K82" i="29" s="1"/>
  <c r="AC178" i="29" s="1"/>
  <c r="D75" i="29"/>
  <c r="N75" i="29"/>
  <c r="I75" i="29"/>
  <c r="AE75" i="29"/>
  <c r="AI75" i="29"/>
  <c r="AM75" i="29"/>
  <c r="R67" i="29"/>
  <c r="P67" i="29"/>
  <c r="Y67" i="29"/>
  <c r="Y82" i="29" s="1"/>
  <c r="J254" i="29" s="1"/>
  <c r="AB67" i="29"/>
  <c r="X67" i="29"/>
  <c r="AN67" i="29"/>
  <c r="AP67" i="29"/>
  <c r="AP82" i="29" s="1"/>
  <c r="F7" i="29" s="1"/>
  <c r="S67" i="29"/>
  <c r="W67" i="29"/>
  <c r="AQ67" i="29"/>
  <c r="AC67" i="29"/>
  <c r="AA67" i="29"/>
  <c r="AA82" i="29" s="1"/>
  <c r="U67" i="29"/>
  <c r="U82" i="29" s="1"/>
  <c r="B273" i="29" s="1"/>
  <c r="G67" i="29"/>
  <c r="D79" i="29"/>
  <c r="AN79" i="29"/>
  <c r="F79" i="29"/>
  <c r="F82" i="29" s="1"/>
  <c r="AA100" i="29" s="1"/>
  <c r="V79" i="29"/>
  <c r="G79" i="29"/>
  <c r="M79" i="29"/>
  <c r="O79" i="29"/>
  <c r="O82" i="29" s="1"/>
  <c r="AO131" i="29" s="1"/>
  <c r="Q79" i="29"/>
  <c r="Q82" i="29" s="1"/>
  <c r="AO280" i="29" s="1"/>
  <c r="W79" i="29"/>
  <c r="H268" i="29"/>
  <c r="G267" i="29"/>
  <c r="H153" i="29"/>
  <c r="AC82" i="29" l="1"/>
  <c r="M111" i="29" s="1"/>
  <c r="M82" i="29"/>
  <c r="AL217" i="29" s="1"/>
  <c r="AM82" i="29"/>
  <c r="AL225" i="29" s="1"/>
  <c r="AK82" i="29"/>
  <c r="AJ225" i="29" s="1"/>
  <c r="AI82" i="29"/>
  <c r="W188" i="29" s="1"/>
  <c r="F206" i="29" s="1"/>
  <c r="L82" i="29"/>
  <c r="AD178" i="29" s="1"/>
  <c r="AC180" i="29" s="1"/>
  <c r="G82" i="29"/>
  <c r="D140" i="29" s="1"/>
  <c r="I82" i="29"/>
  <c r="AC169" i="29" s="1"/>
  <c r="AC171" i="29" s="1"/>
  <c r="P82" i="29"/>
  <c r="AP131" i="29" s="1"/>
  <c r="AO132" i="29" s="1"/>
  <c r="D82" i="29"/>
  <c r="E100" i="29" s="1"/>
  <c r="AG82" i="29"/>
  <c r="U188" i="29" s="1"/>
  <c r="AS100" i="29"/>
  <c r="AP100" i="29"/>
  <c r="AQ100" i="29"/>
  <c r="AR100" i="29"/>
  <c r="AE82" i="29"/>
  <c r="AN82" i="29"/>
  <c r="N273" i="29"/>
  <c r="BG280" i="29" s="1"/>
  <c r="L273" i="29"/>
  <c r="BE280" i="29" s="1"/>
  <c r="D273" i="29"/>
  <c r="BN280" i="29" s="1"/>
  <c r="G273" i="29"/>
  <c r="BQ280" i="29" s="1"/>
  <c r="E273" i="29"/>
  <c r="BO280" i="29" s="1"/>
  <c r="I273" i="29"/>
  <c r="BB280" i="29" s="1"/>
  <c r="J273" i="29"/>
  <c r="BC280" i="29" s="1"/>
  <c r="O273" i="29"/>
  <c r="BH280" i="29" s="1"/>
  <c r="M273" i="29"/>
  <c r="BF280" i="29" s="1"/>
  <c r="H273" i="29"/>
  <c r="BA280" i="29" s="1"/>
  <c r="F273" i="29"/>
  <c r="BP280" i="29" s="1"/>
  <c r="K273" i="29"/>
  <c r="BD280" i="29" s="1"/>
  <c r="AL82" i="29"/>
  <c r="AK225" i="29" s="1"/>
  <c r="V82" i="29"/>
  <c r="F226" i="29" s="1"/>
  <c r="F204" i="29"/>
  <c r="G116" i="29"/>
  <c r="M116" i="29"/>
  <c r="H116" i="29"/>
  <c r="I116" i="29"/>
  <c r="J116" i="29"/>
  <c r="K116" i="29"/>
  <c r="L116" i="29"/>
  <c r="T256" i="29"/>
  <c r="V256" i="29"/>
  <c r="W256" i="29"/>
  <c r="O256" i="29"/>
  <c r="Q256" i="29"/>
  <c r="R256" i="29"/>
  <c r="P256" i="29"/>
  <c r="S256" i="29"/>
  <c r="X256" i="29"/>
  <c r="N256" i="29"/>
  <c r="M256" i="29"/>
  <c r="U256" i="29"/>
  <c r="AH82" i="29"/>
  <c r="V188" i="29" s="1"/>
  <c r="Y188" i="29" s="1"/>
  <c r="E82" i="29"/>
  <c r="L100" i="29" s="1"/>
  <c r="N82" i="29"/>
  <c r="AM217" i="29" s="1"/>
  <c r="AL218" i="29" s="1"/>
  <c r="AJ82" i="29"/>
  <c r="AI225" i="29" s="1"/>
  <c r="H267" i="29"/>
  <c r="G268" i="29"/>
  <c r="W135" i="29" l="1"/>
  <c r="M140" i="29" s="1"/>
  <c r="P135" i="29"/>
  <c r="F140" i="29" s="1"/>
  <c r="Y135" i="29"/>
  <c r="O140" i="29" s="1"/>
  <c r="V135" i="29"/>
  <c r="L140" i="29" s="1"/>
  <c r="S135" i="29"/>
  <c r="I140" i="29" s="1"/>
  <c r="Q135" i="29"/>
  <c r="G140" i="29" s="1"/>
  <c r="AA135" i="29"/>
  <c r="Q140" i="29" s="1"/>
  <c r="O141" i="29" s="1"/>
  <c r="X135" i="29"/>
  <c r="N140" i="29" s="1"/>
  <c r="L141" i="29" s="1"/>
  <c r="T135" i="29"/>
  <c r="J140" i="29" s="1"/>
  <c r="R135" i="29"/>
  <c r="H140" i="29" s="1"/>
  <c r="U135" i="29"/>
  <c r="K140" i="29" s="1"/>
  <c r="Z135" i="29"/>
  <c r="P140" i="29" s="1"/>
  <c r="L183" i="29"/>
  <c r="K188" i="29" s="1"/>
  <c r="S183" i="29"/>
  <c r="R188" i="29" s="1"/>
  <c r="M183" i="29"/>
  <c r="L188" i="29" s="1"/>
  <c r="N183" i="29"/>
  <c r="M188" i="29" s="1"/>
  <c r="P183" i="29"/>
  <c r="O188" i="29" s="1"/>
  <c r="O183" i="29"/>
  <c r="N188" i="29" s="1"/>
  <c r="Q183" i="29"/>
  <c r="P188" i="29" s="1"/>
  <c r="R183" i="29"/>
  <c r="Q188" i="29" s="1"/>
  <c r="T189" i="29"/>
  <c r="H204" i="29" s="1"/>
  <c r="O204" i="29"/>
  <c r="N200" i="29"/>
  <c r="O202" i="29"/>
  <c r="O200" i="29"/>
  <c r="L204" i="29"/>
  <c r="N202" i="29"/>
  <c r="M196" i="29"/>
  <c r="J198" i="29"/>
  <c r="K196" i="29"/>
  <c r="M202" i="29"/>
  <c r="L202" i="29"/>
  <c r="R174" i="29"/>
  <c r="H188" i="29" s="1"/>
  <c r="O174" i="29"/>
  <c r="E188" i="29" s="1"/>
  <c r="S174" i="29"/>
  <c r="I188" i="29" s="1"/>
  <c r="L174" i="29"/>
  <c r="B188" i="29" s="1"/>
  <c r="P174" i="29"/>
  <c r="F188" i="29" s="1"/>
  <c r="Q174" i="29"/>
  <c r="G188" i="29" s="1"/>
  <c r="M174" i="29"/>
  <c r="C188" i="29" s="1"/>
  <c r="H192" i="29" s="1"/>
  <c r="N174" i="29"/>
  <c r="D188" i="29" s="1"/>
  <c r="I192" i="29" s="1"/>
  <c r="M118" i="29"/>
  <c r="H117" i="29"/>
  <c r="L118" i="29" s="1"/>
  <c r="I117" i="29"/>
  <c r="J117" i="29" s="1"/>
  <c r="Q100" i="29"/>
  <c r="P100" i="29"/>
  <c r="N100" i="29"/>
  <c r="O100" i="29"/>
  <c r="AQ101" i="29"/>
  <c r="F268" i="29"/>
  <c r="I267" i="29"/>
  <c r="G192" i="29" l="1"/>
  <c r="I198" i="29"/>
  <c r="I200" i="29"/>
  <c r="N192" i="29"/>
  <c r="O206" i="29"/>
  <c r="L206" i="29"/>
  <c r="L198" i="29"/>
  <c r="S202" i="29"/>
  <c r="M192" i="29"/>
  <c r="I196" i="29"/>
  <c r="M206" i="29"/>
  <c r="I204" i="29"/>
  <c r="N198" i="29"/>
  <c r="M198" i="29"/>
  <c r="J204" i="29"/>
  <c r="L200" i="29"/>
  <c r="F192" i="29"/>
  <c r="N204" i="29"/>
  <c r="U202" i="29"/>
  <c r="K202" i="29"/>
  <c r="K198" i="29"/>
  <c r="L196" i="29"/>
  <c r="L192" i="29"/>
  <c r="J192" i="29"/>
  <c r="S204" i="29"/>
  <c r="N206" i="29"/>
  <c r="J202" i="29"/>
  <c r="K200" i="29"/>
  <c r="M204" i="29"/>
  <c r="I206" i="29"/>
  <c r="N196" i="29"/>
  <c r="H202" i="29"/>
  <c r="K206" i="29"/>
  <c r="K204" i="29"/>
  <c r="I202" i="29"/>
  <c r="J200" i="29"/>
  <c r="O196" i="29"/>
  <c r="H200" i="29"/>
  <c r="T200" i="29" s="1"/>
  <c r="H198" i="29"/>
  <c r="T198" i="29" s="1"/>
  <c r="O198" i="29"/>
  <c r="J196" i="29"/>
  <c r="F141" i="29"/>
  <c r="K192" i="29"/>
  <c r="S206" i="29"/>
  <c r="M200" i="29"/>
  <c r="J206" i="29"/>
  <c r="H196" i="29"/>
  <c r="T196" i="29" s="1"/>
  <c r="W192" i="29"/>
  <c r="O194" i="29" s="1"/>
  <c r="O209" i="29" s="1"/>
  <c r="I217" i="29" s="1"/>
  <c r="X221" i="29" s="1"/>
  <c r="T226" i="29" s="1"/>
  <c r="U206" i="29"/>
  <c r="H206" i="29"/>
  <c r="I141" i="29"/>
  <c r="K117" i="29"/>
  <c r="J118" i="29"/>
  <c r="O101" i="29"/>
  <c r="K118" i="29"/>
  <c r="E268" i="29"/>
  <c r="J267" i="29"/>
  <c r="T192" i="29" l="1"/>
  <c r="Q192" i="29"/>
  <c r="U192" i="29"/>
  <c r="S192" i="29"/>
  <c r="V192" i="29"/>
  <c r="P192" i="29"/>
  <c r="N193" i="29"/>
  <c r="O193" i="29" s="1"/>
  <c r="P193" i="29" s="1"/>
  <c r="L194" i="29" s="1"/>
  <c r="L209" i="29" s="1"/>
  <c r="F217" i="29" s="1"/>
  <c r="U221" i="29" s="1"/>
  <c r="Q226" i="29" s="1"/>
  <c r="R192" i="29"/>
  <c r="I118" i="29"/>
  <c r="L117" i="29"/>
  <c r="D268" i="29"/>
  <c r="K267" i="29"/>
  <c r="M194" i="29" l="1"/>
  <c r="M209" i="29" s="1"/>
  <c r="G217" i="29" s="1"/>
  <c r="V221" i="29" s="1"/>
  <c r="R226" i="29" s="1"/>
  <c r="N194" i="29"/>
  <c r="N209" i="29" s="1"/>
  <c r="H217" i="29" s="1"/>
  <c r="W221" i="29" s="1"/>
  <c r="S226" i="29" s="1"/>
  <c r="Q193" i="29"/>
  <c r="K194" i="29" s="1"/>
  <c r="K209" i="29" s="1"/>
  <c r="E217" i="29" s="1"/>
  <c r="T221" i="29" s="1"/>
  <c r="P226" i="29" s="1"/>
  <c r="R193" i="29"/>
  <c r="M117" i="29"/>
  <c r="H118" i="29"/>
  <c r="C268" i="29"/>
  <c r="L267" i="29"/>
  <c r="N117" i="29" l="1"/>
  <c r="G118" i="29"/>
  <c r="S193" i="29"/>
  <c r="J194" i="29"/>
  <c r="J209" i="29" s="1"/>
  <c r="D217" i="29" s="1"/>
  <c r="S221" i="29" s="1"/>
  <c r="O226" i="29" s="1"/>
  <c r="M267" i="29"/>
  <c r="B268" i="29"/>
  <c r="I194" i="29" l="1"/>
  <c r="I209" i="29" s="1"/>
  <c r="C217" i="29" s="1"/>
  <c r="R221" i="29" s="1"/>
  <c r="N226" i="29" s="1"/>
  <c r="T193" i="29"/>
  <c r="U193" i="29" l="1"/>
  <c r="H194" i="29"/>
  <c r="V209" i="29" l="1" a="1"/>
  <c r="V209" i="29" s="1"/>
  <c r="T194" i="29"/>
  <c r="T209" i="29" s="1"/>
  <c r="H209" i="29"/>
  <c r="B217" i="29" s="1"/>
  <c r="Q221" i="29" s="1"/>
  <c r="M226" i="29" s="1"/>
  <c r="U194" i="29"/>
  <c r="U209" i="29" s="1"/>
  <c r="S194" i="29"/>
  <c r="S209" i="29" s="1"/>
  <c r="C6" i="39"/>
  <c r="D6" i="39"/>
  <c r="E6" i="39"/>
  <c r="F6" i="39"/>
  <c r="C9" i="39"/>
  <c r="D9" i="39"/>
  <c r="E9" i="39"/>
  <c r="F9" i="39"/>
  <c r="B19" i="39"/>
  <c r="H7" i="29"/>
  <c r="O19" i="29"/>
  <c r="Q19" i="29"/>
  <c r="S19" i="29"/>
  <c r="T19" i="29"/>
  <c r="M22" i="29"/>
  <c r="Y22" i="29"/>
  <c r="Z22" i="29"/>
  <c r="AB22" i="29"/>
  <c r="AC22" i="29"/>
  <c r="AF37" i="29"/>
  <c r="AQ37" i="29"/>
  <c r="AR37" i="29"/>
  <c r="S42" i="29"/>
  <c r="T42" i="29"/>
  <c r="U42" i="29"/>
  <c r="V42" i="29"/>
  <c r="W42" i="29"/>
  <c r="X42" i="29"/>
  <c r="Y42" i="29"/>
  <c r="Z42" i="29"/>
  <c r="AA42" i="29"/>
  <c r="AB42" i="29"/>
  <c r="AC42" i="29"/>
  <c r="AD42" i="29"/>
  <c r="D45" i="29"/>
  <c r="R47" i="29"/>
  <c r="S47" i="29"/>
  <c r="W47" i="29"/>
  <c r="X47" i="29"/>
  <c r="Z47" i="29"/>
  <c r="AB47" i="29"/>
  <c r="R82" i="29"/>
  <c r="S82" i="29"/>
  <c r="W82" i="29"/>
  <c r="X82" i="29"/>
  <c r="Z82" i="29"/>
  <c r="AB82" i="29"/>
  <c r="AQ82" i="29"/>
  <c r="AR82" i="29"/>
  <c r="C84" i="29"/>
  <c r="S84" i="29"/>
  <c r="T84" i="29"/>
  <c r="W84" i="29"/>
  <c r="Z84" i="29"/>
  <c r="AA84" i="29"/>
  <c r="D89" i="29"/>
  <c r="D92" i="29"/>
  <c r="E92" i="29"/>
  <c r="F92" i="29"/>
  <c r="G92" i="29"/>
  <c r="H92" i="29"/>
  <c r="I92" i="29"/>
  <c r="J92" i="29"/>
  <c r="K92" i="29"/>
  <c r="L92" i="29"/>
  <c r="M92" i="29"/>
  <c r="N92" i="29"/>
  <c r="O92" i="29"/>
  <c r="P92" i="29"/>
  <c r="Q92" i="29"/>
  <c r="R92" i="29"/>
  <c r="S92" i="29"/>
  <c r="B104" i="29" a="1"/>
  <c r="B104" i="29"/>
  <c r="C104" i="29" a="1"/>
  <c r="C104" i="29"/>
  <c r="D104" i="29" a="1"/>
  <c r="D104" i="29"/>
  <c r="E104" i="29" a="1"/>
  <c r="E104" i="29"/>
  <c r="F104" i="29" a="1"/>
  <c r="F104" i="29"/>
  <c r="G104" i="29" a="1"/>
  <c r="G104" i="29"/>
  <c r="H104" i="29" a="1"/>
  <c r="H104" i="29"/>
  <c r="I104" i="29" a="1"/>
  <c r="I104" i="29"/>
  <c r="K104" i="29" a="1"/>
  <c r="K104" i="29"/>
  <c r="L104" i="29" a="1"/>
  <c r="L104" i="29"/>
  <c r="M104" i="29" a="1"/>
  <c r="M104" i="29"/>
  <c r="N104" i="29" a="1"/>
  <c r="N104" i="29"/>
  <c r="O104" i="29" a="1"/>
  <c r="O104" i="29"/>
  <c r="P104" i="29" a="1"/>
  <c r="P104" i="29"/>
  <c r="Q104" i="29" a="1"/>
  <c r="Q104" i="29"/>
  <c r="R104" i="29" a="1"/>
  <c r="R104" i="29"/>
  <c r="T104" i="29" a="1"/>
  <c r="T104" i="29"/>
  <c r="U104" i="29" a="1"/>
  <c r="U104" i="29"/>
  <c r="V104" i="29" a="1"/>
  <c r="V104" i="29"/>
  <c r="W104" i="29" a="1"/>
  <c r="W104" i="29"/>
  <c r="X104" i="29" a="1"/>
  <c r="X104" i="29"/>
  <c r="Y104" i="29" a="1"/>
  <c r="Y104" i="29"/>
  <c r="Z104" i="29" a="1"/>
  <c r="Z104" i="29"/>
  <c r="AA104" i="29" a="1"/>
  <c r="AA104" i="29"/>
  <c r="AC104" i="29" a="1"/>
  <c r="AC104" i="29"/>
  <c r="AD104" i="29" a="1"/>
  <c r="AD104" i="29"/>
  <c r="AE104" i="29" a="1"/>
  <c r="AE104" i="29"/>
  <c r="AF104" i="29" a="1"/>
  <c r="AF104" i="29"/>
  <c r="AG104" i="29" a="1"/>
  <c r="AG104" i="29"/>
  <c r="AH104" i="29" a="1"/>
  <c r="AH104" i="29"/>
  <c r="AI104" i="29" a="1"/>
  <c r="AI104" i="29"/>
  <c r="AJ104" i="29" a="1"/>
  <c r="AJ104" i="29"/>
  <c r="AL104" i="29" a="1"/>
  <c r="AL104" i="29"/>
  <c r="AM104" i="29" a="1"/>
  <c r="AM104" i="29"/>
  <c r="AN104" i="29" a="1"/>
  <c r="AN104" i="29"/>
  <c r="AO104" i="29" a="1"/>
  <c r="AO104" i="29"/>
  <c r="AP104" i="29" a="1"/>
  <c r="AP104" i="29"/>
  <c r="AQ104" i="29" a="1"/>
  <c r="AQ104" i="29"/>
  <c r="AR104" i="29" a="1"/>
  <c r="AR104" i="29"/>
  <c r="AS104" i="29" a="1"/>
  <c r="AS104" i="29"/>
  <c r="K111" i="29"/>
  <c r="G114" i="29"/>
  <c r="H114" i="29"/>
  <c r="I114" i="29"/>
  <c r="J114" i="29"/>
  <c r="K114" i="29"/>
  <c r="L114" i="29"/>
  <c r="M114" i="29"/>
  <c r="N114" i="29"/>
  <c r="B123" i="29"/>
  <c r="C123" i="29"/>
  <c r="D123" i="29"/>
  <c r="E123" i="29"/>
  <c r="F123" i="29"/>
  <c r="G123" i="29"/>
  <c r="H123" i="29"/>
  <c r="I123" i="29"/>
  <c r="U123" i="29"/>
  <c r="AB131" i="29"/>
  <c r="AC131" i="29"/>
  <c r="AD131" i="29"/>
  <c r="AE131" i="29"/>
  <c r="AF131" i="29"/>
  <c r="AG131" i="29"/>
  <c r="AH131" i="29"/>
  <c r="AI131" i="29"/>
  <c r="AJ131" i="29"/>
  <c r="AK131" i="29"/>
  <c r="AL131" i="29"/>
  <c r="AM131" i="29"/>
  <c r="F144" i="29" a="1"/>
  <c r="F144" i="29"/>
  <c r="G144" i="29" a="1"/>
  <c r="G144" i="29"/>
  <c r="H144" i="29" a="1"/>
  <c r="H144" i="29"/>
  <c r="I144" i="29" a="1"/>
  <c r="I144" i="29"/>
  <c r="J144" i="29" a="1"/>
  <c r="J144" i="29"/>
  <c r="K144" i="29" a="1"/>
  <c r="K144" i="29"/>
  <c r="L144" i="29" a="1"/>
  <c r="L144" i="29"/>
  <c r="M144" i="29" a="1"/>
  <c r="M144" i="29"/>
  <c r="M152" i="29"/>
  <c r="N152" i="29"/>
  <c r="O152" i="29"/>
  <c r="P152" i="29"/>
  <c r="Q152" i="29"/>
  <c r="R152" i="29"/>
  <c r="S152" i="29"/>
  <c r="T152" i="29"/>
  <c r="T169" i="29"/>
  <c r="U169" i="29"/>
  <c r="V169" i="29"/>
  <c r="W169" i="29"/>
  <c r="X169" i="29"/>
  <c r="Y169" i="29"/>
  <c r="Z169" i="29"/>
  <c r="AA169" i="29"/>
  <c r="K178" i="29"/>
  <c r="L178" i="29"/>
  <c r="M178" i="29"/>
  <c r="N178" i="29"/>
  <c r="O178" i="29"/>
  <c r="P178" i="29"/>
  <c r="Q178" i="29"/>
  <c r="R178" i="29"/>
  <c r="K217" i="29"/>
  <c r="L217" i="29"/>
  <c r="M217" i="29"/>
  <c r="N217" i="29"/>
  <c r="O217" i="29"/>
  <c r="P217" i="29"/>
  <c r="Q217" i="29"/>
  <c r="R217" i="29"/>
  <c r="T217" i="29"/>
  <c r="U217" i="29"/>
  <c r="V217" i="29"/>
  <c r="W217" i="29"/>
  <c r="X217" i="29"/>
  <c r="Y217" i="29"/>
  <c r="Z217" i="29"/>
  <c r="AA217" i="29"/>
  <c r="AM225" i="29"/>
  <c r="B244" i="29"/>
  <c r="C244" i="29"/>
  <c r="D244" i="29"/>
  <c r="E244" i="29"/>
  <c r="F244" i="29"/>
  <c r="G244" i="29"/>
  <c r="H244" i="29"/>
  <c r="I244" i="29"/>
  <c r="O244" i="29"/>
  <c r="P244" i="29"/>
  <c r="Q244" i="29"/>
  <c r="R244" i="29"/>
  <c r="T244" i="29"/>
  <c r="U244" i="29"/>
  <c r="V244" i="29"/>
  <c r="W244" i="29"/>
  <c r="X244" i="29"/>
  <c r="Y244" i="29"/>
  <c r="Z244" i="29"/>
  <c r="AA244" i="29"/>
  <c r="AB244" i="29"/>
  <c r="AC244" i="29"/>
  <c r="AD244" i="29"/>
  <c r="AE244" i="29"/>
  <c r="AG244" i="29"/>
  <c r="AH244" i="29"/>
  <c r="AG245" i="29"/>
  <c r="L248" i="29"/>
  <c r="M248" i="29"/>
  <c r="N248" i="29"/>
  <c r="O248" i="29"/>
  <c r="P248" i="29"/>
  <c r="Q248" i="29"/>
  <c r="R248" i="29"/>
  <c r="S248" i="29"/>
  <c r="T248" i="29"/>
  <c r="U248" i="29"/>
  <c r="V248" i="29"/>
  <c r="W248" i="29"/>
  <c r="H254" i="29"/>
  <c r="U254" i="29"/>
  <c r="V254" i="29"/>
  <c r="X254" i="29"/>
  <c r="Y254" i="29"/>
  <c r="Z254" i="29"/>
  <c r="AA254" i="29"/>
  <c r="AB254" i="29"/>
  <c r="AC254" i="29"/>
  <c r="AD254" i="29"/>
  <c r="AE254" i="29"/>
  <c r="AF254" i="29"/>
  <c r="AG254" i="29"/>
  <c r="AH254" i="29"/>
  <c r="AI254" i="29"/>
  <c r="M257" i="29"/>
  <c r="N257" i="29"/>
  <c r="O257" i="29"/>
  <c r="P257" i="29"/>
  <c r="Q257" i="29"/>
  <c r="R257" i="29"/>
  <c r="S257" i="29"/>
  <c r="T257" i="29"/>
  <c r="U257" i="29"/>
  <c r="V257" i="29"/>
  <c r="W257" i="29"/>
  <c r="X257" i="29"/>
  <c r="M258" i="29"/>
  <c r="N258" i="29"/>
  <c r="O258" i="29"/>
  <c r="P258" i="29"/>
  <c r="Q258" i="29"/>
  <c r="R258" i="29"/>
  <c r="S258" i="29"/>
  <c r="T258" i="29"/>
  <c r="U258" i="29"/>
  <c r="V258" i="29"/>
  <c r="W258" i="29"/>
  <c r="X258" i="29"/>
  <c r="B280" i="29"/>
  <c r="C280" i="29"/>
  <c r="D280" i="29"/>
  <c r="E280" i="29"/>
  <c r="F280" i="29"/>
  <c r="G280" i="29"/>
  <c r="H280" i="29"/>
  <c r="I280" i="29"/>
  <c r="J280" i="29"/>
  <c r="K280" i="29"/>
  <c r="L280" i="29"/>
  <c r="M280" i="29"/>
  <c r="S280" i="29"/>
  <c r="T280" i="29"/>
  <c r="U280" i="29"/>
  <c r="V280" i="29"/>
  <c r="W280" i="29"/>
  <c r="X280" i="29"/>
  <c r="Y280" i="29"/>
  <c r="Z280" i="29"/>
  <c r="AP280" i="29"/>
  <c r="AR280" i="29"/>
  <c r="AS280" i="29"/>
  <c r="AT280" i="29"/>
  <c r="AU280" i="29"/>
  <c r="AV280" i="29"/>
  <c r="AW280" i="29"/>
  <c r="AX280" i="29"/>
  <c r="AY280" i="29"/>
  <c r="BS280" i="29"/>
  <c r="BT280" i="29"/>
  <c r="AO282" i="29"/>
  <c r="BS282" i="29"/>
  <c r="R284" i="29"/>
  <c r="S284" i="29"/>
  <c r="T284" i="29"/>
  <c r="U284" i="29"/>
  <c r="V284" i="29"/>
  <c r="W284" i="29"/>
  <c r="X284" i="29"/>
  <c r="Y284" i="29"/>
  <c r="Z284" i="29"/>
  <c r="AA284" i="29"/>
  <c r="AB284" i="29"/>
  <c r="AC284" i="29"/>
  <c r="BB284" i="29"/>
  <c r="BC284" i="29"/>
  <c r="BD284" i="29"/>
  <c r="BE284" i="29"/>
  <c r="BF284" i="29"/>
  <c r="BG284" i="29"/>
  <c r="BH284" i="29"/>
  <c r="BI284" i="29"/>
  <c r="D290" i="29"/>
  <c r="H290" i="29"/>
  <c r="I290" i="29"/>
  <c r="J290" i="29"/>
  <c r="K290" i="29"/>
  <c r="L290" i="29"/>
  <c r="M290" i="29"/>
  <c r="N290" i="29"/>
  <c r="O290" i="29"/>
  <c r="P290" i="29"/>
  <c r="Q290" i="29"/>
  <c r="R290" i="29"/>
  <c r="S290" i="29"/>
  <c r="U290" i="29"/>
  <c r="V290" i="29"/>
  <c r="W290" i="29"/>
  <c r="X290" i="29"/>
  <c r="Y290" i="29"/>
  <c r="Z290" i="29"/>
  <c r="AA290" i="29"/>
  <c r="AB290" i="29"/>
  <c r="H291" i="29"/>
  <c r="K291" i="29"/>
  <c r="N291" i="29"/>
  <c r="Q291" i="29"/>
  <c r="C294" i="29"/>
  <c r="D294" i="29"/>
  <c r="E294" i="29"/>
  <c r="F294" i="29"/>
  <c r="G294" i="29"/>
  <c r="H294" i="29"/>
  <c r="I294" i="29"/>
  <c r="J294" i="29"/>
  <c r="C295" i="29"/>
  <c r="D295" i="29"/>
  <c r="E295" i="29"/>
  <c r="F295" i="29"/>
  <c r="G295" i="29"/>
  <c r="H295" i="29"/>
  <c r="I295" i="29"/>
  <c r="J295" i="29"/>
  <c r="C296" i="29"/>
  <c r="D296" i="29"/>
  <c r="E296" i="29"/>
  <c r="F296" i="29"/>
  <c r="G296" i="29"/>
  <c r="H296" i="29"/>
  <c r="I296" i="29"/>
  <c r="J296" i="29"/>
  <c r="C297" i="29"/>
  <c r="D297" i="29"/>
  <c r="E297" i="29"/>
  <c r="F297" i="29"/>
  <c r="G297" i="29"/>
  <c r="H297" i="29"/>
  <c r="I297" i="29"/>
  <c r="J297" i="29"/>
  <c r="C298" i="29"/>
  <c r="D298" i="29"/>
  <c r="E298" i="29"/>
  <c r="F298" i="29"/>
  <c r="G298" i="29"/>
  <c r="H298" i="29"/>
  <c r="I298" i="29"/>
  <c r="J298" i="29"/>
  <c r="C299" i="29"/>
  <c r="D299" i="29"/>
  <c r="E299" i="29"/>
  <c r="F299" i="29"/>
  <c r="G299" i="29"/>
  <c r="H299" i="29"/>
  <c r="I299" i="29"/>
  <c r="J299" i="29"/>
  <c r="C300" i="29"/>
  <c r="D300" i="29"/>
  <c r="E300" i="29"/>
  <c r="F300" i="29"/>
  <c r="G300" i="29"/>
  <c r="H300" i="29"/>
  <c r="I300" i="29"/>
  <c r="J300" i="29"/>
  <c r="C301" i="29"/>
  <c r="D301" i="29"/>
  <c r="E301" i="29"/>
  <c r="F301" i="29"/>
  <c r="G301" i="29"/>
  <c r="H301" i="29"/>
  <c r="I301" i="29"/>
  <c r="J301" i="2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BFEE26-9E4E-4E21-B91D-FA6F1F8923E8}" keepAlive="1" name="Query - ROM" description="Connection to the 'ROM' query in the workbook." type="5" refreshedVersion="8" background="1" refreshOnLoad="1" saveData="1">
    <dbPr connection="Provider=Microsoft.Mashup.OleDb.1;Data Source=$Workbook$;Location=ROM;Extended Properties=&quot;&quot;" command="SELECT * FROM [ROM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<sst xmlns="http://schemas.openxmlformats.org/spreadsheetml/2006/main" count="3137" uniqueCount="628">
  <si>
    <t>Carry</t>
  </si>
  <si>
    <t>Out</t>
  </si>
  <si>
    <t>8 Bit Adder</t>
  </si>
  <si>
    <t>Subtract</t>
  </si>
  <si>
    <t>Overflow</t>
  </si>
  <si>
    <t>Zero</t>
  </si>
  <si>
    <t>Negative</t>
  </si>
  <si>
    <t>8-Bit Bitwise XOR</t>
  </si>
  <si>
    <t>8-Bit Bitwise AND</t>
  </si>
  <si>
    <t>8-Bit Bitwise OR</t>
  </si>
  <si>
    <t>Opcode</t>
  </si>
  <si>
    <t>Add</t>
  </si>
  <si>
    <t>AND</t>
  </si>
  <si>
    <t>OR</t>
  </si>
  <si>
    <t>XOR</t>
  </si>
  <si>
    <t>Arithmetic</t>
  </si>
  <si>
    <t>8-Bit Shift Right</t>
  </si>
  <si>
    <t>8-Bit Logical Shift Left</t>
  </si>
  <si>
    <t>Increment</t>
  </si>
  <si>
    <t>Decrement</t>
  </si>
  <si>
    <t>Arithmetic Shift Right</t>
  </si>
  <si>
    <t>NEG</t>
  </si>
  <si>
    <t>Enable</t>
  </si>
  <si>
    <t>Clock</t>
  </si>
  <si>
    <t>Data</t>
  </si>
  <si>
    <t>Write Enable</t>
  </si>
  <si>
    <t>R1</t>
  </si>
  <si>
    <t>R2</t>
  </si>
  <si>
    <t>R3</t>
  </si>
  <si>
    <t>R4</t>
  </si>
  <si>
    <t>R5</t>
  </si>
  <si>
    <t>R6</t>
  </si>
  <si>
    <t>R7</t>
  </si>
  <si>
    <t>R0</t>
  </si>
  <si>
    <t>Write Select</t>
  </si>
  <si>
    <t>R8</t>
  </si>
  <si>
    <t>R9</t>
  </si>
  <si>
    <t>R10</t>
  </si>
  <si>
    <t>R11</t>
  </si>
  <si>
    <t>R12</t>
  </si>
  <si>
    <t>R13</t>
  </si>
  <si>
    <t>R14</t>
  </si>
  <si>
    <t>R15</t>
  </si>
  <si>
    <t>NOP</t>
  </si>
  <si>
    <t>No Operation</t>
  </si>
  <si>
    <t>NOT</t>
  </si>
  <si>
    <t>HLT</t>
  </si>
  <si>
    <t>Halt</t>
  </si>
  <si>
    <t>Bits</t>
  </si>
  <si>
    <t>ADD</t>
  </si>
  <si>
    <t>SUB</t>
  </si>
  <si>
    <t>INC</t>
  </si>
  <si>
    <t>DEC</t>
  </si>
  <si>
    <t>ASR</t>
  </si>
  <si>
    <t>Out 1</t>
  </si>
  <si>
    <t>Out 2</t>
  </si>
  <si>
    <t>Register Output</t>
  </si>
  <si>
    <t>Name</t>
  </si>
  <si>
    <t>LDI</t>
  </si>
  <si>
    <t>Load Immediate</t>
  </si>
  <si>
    <t>MOV</t>
  </si>
  <si>
    <t>Copy Register</t>
  </si>
  <si>
    <t>Argument 1</t>
  </si>
  <si>
    <t>Argument 2</t>
  </si>
  <si>
    <t>-</t>
  </si>
  <si>
    <t>Destination Register</t>
  </si>
  <si>
    <t>Source Register</t>
  </si>
  <si>
    <t>Argument 3</t>
  </si>
  <si>
    <t>JMP</t>
  </si>
  <si>
    <t>Compare</t>
  </si>
  <si>
    <t>Jump</t>
  </si>
  <si>
    <t>k</t>
  </si>
  <si>
    <t>d</t>
  </si>
  <si>
    <t>ANDI</t>
  </si>
  <si>
    <t>AND with Immediate</t>
  </si>
  <si>
    <t>ADD with Immediate</t>
  </si>
  <si>
    <t>SUBI</t>
  </si>
  <si>
    <t>SUB with immediate</t>
  </si>
  <si>
    <t>ORI</t>
  </si>
  <si>
    <t>OR with Immediate</t>
  </si>
  <si>
    <t>XOR with Immediate</t>
  </si>
  <si>
    <t>CPI</t>
  </si>
  <si>
    <t>CALL</t>
  </si>
  <si>
    <t>Call</t>
  </si>
  <si>
    <t>s</t>
  </si>
  <si>
    <t>ST</t>
  </si>
  <si>
    <t>STR</t>
  </si>
  <si>
    <t>LD</t>
  </si>
  <si>
    <t>LDR</t>
  </si>
  <si>
    <t>Store to Mem</t>
  </si>
  <si>
    <t>Register Source</t>
  </si>
  <si>
    <t>Register Destination</t>
  </si>
  <si>
    <t>One's Complement</t>
  </si>
  <si>
    <t>Two's Complement</t>
  </si>
  <si>
    <t>RET</t>
  </si>
  <si>
    <t>Return</t>
  </si>
  <si>
    <t>PUSH</t>
  </si>
  <si>
    <t>POP</t>
  </si>
  <si>
    <t>RCALL</t>
  </si>
  <si>
    <t>Relative Call</t>
  </si>
  <si>
    <t>RJMP</t>
  </si>
  <si>
    <t>Relative Jump</t>
  </si>
  <si>
    <t>Push to Stack</t>
  </si>
  <si>
    <t>Pop from Stack</t>
  </si>
  <si>
    <t>Output</t>
  </si>
  <si>
    <t>ST with Register</t>
  </si>
  <si>
    <t>LD with Register</t>
  </si>
  <si>
    <t>Pointer Register (R12:R13/R14:R15)</t>
  </si>
  <si>
    <t>Full Byte</t>
  </si>
  <si>
    <t>One</t>
  </si>
  <si>
    <t>Immediate</t>
  </si>
  <si>
    <t>Carry In</t>
  </si>
  <si>
    <t>ALU Output</t>
  </si>
  <si>
    <t>SReg Write Enable</t>
  </si>
  <si>
    <t>Register Output 1</t>
  </si>
  <si>
    <t>Register Output 2</t>
  </si>
  <si>
    <t>Status Register Output</t>
  </si>
  <si>
    <t>C == 0</t>
  </si>
  <si>
    <t>C == 1</t>
  </si>
  <si>
    <t>Z == 0</t>
  </si>
  <si>
    <t>Z == 1</t>
  </si>
  <si>
    <t>N == 0</t>
  </si>
  <si>
    <t>N == 1</t>
  </si>
  <si>
    <t>Mnemonic</t>
  </si>
  <si>
    <t>== BRCS</t>
  </si>
  <si>
    <t>== BRCC</t>
  </si>
  <si>
    <t>V == 1</t>
  </si>
  <si>
    <t>V == 0</t>
  </si>
  <si>
    <t>C == 1 &amp; Z == 0</t>
  </si>
  <si>
    <t>C == 0 || Z == 1</t>
  </si>
  <si>
    <t>N == V</t>
  </si>
  <si>
    <t>N != V</t>
  </si>
  <si>
    <t>Z == 0 &amp; N == V</t>
  </si>
  <si>
    <t>Z == 1 || N != V</t>
  </si>
  <si>
    <t>Equal</t>
  </si>
  <si>
    <t>Not Equal</t>
  </si>
  <si>
    <t>Carry Set</t>
  </si>
  <si>
    <t>Higher or Same (Unsigned)</t>
  </si>
  <si>
    <t>Carry Clear</t>
  </si>
  <si>
    <t>Lower (Unsigned)</t>
  </si>
  <si>
    <t>Positive</t>
  </si>
  <si>
    <t>No Overflow</t>
  </si>
  <si>
    <t>Higher (Unsigned)</t>
  </si>
  <si>
    <t>Lower or Same (Unsigned)</t>
  </si>
  <si>
    <t>Greater or Equal (Signed)</t>
  </si>
  <si>
    <t>Less Than (Signed)</t>
  </si>
  <si>
    <t>Greater Than (Signed)</t>
  </si>
  <si>
    <t>Less Than or Equal (Signed)</t>
  </si>
  <si>
    <t>CMP</t>
  </si>
  <si>
    <t>XORI</t>
  </si>
  <si>
    <t>12-Bit Address</t>
  </si>
  <si>
    <t>ROM 12-Bit Address</t>
  </si>
  <si>
    <t>8-Bit Signed Offset</t>
  </si>
  <si>
    <t>8-Bit Immediate</t>
  </si>
  <si>
    <t>o</t>
  </si>
  <si>
    <t>IN</t>
  </si>
  <si>
    <t>OUT</t>
  </si>
  <si>
    <t>i</t>
  </si>
  <si>
    <t>Load from I/O to Register</t>
  </si>
  <si>
    <t>Store to I/O from Register</t>
  </si>
  <si>
    <t>I/O Address</t>
  </si>
  <si>
    <t>p</t>
  </si>
  <si>
    <t>SHL</t>
  </si>
  <si>
    <t>SHR</t>
  </si>
  <si>
    <t>Shift Left</t>
  </si>
  <si>
    <t>Shift Right</t>
  </si>
  <si>
    <t>ROR</t>
  </si>
  <si>
    <t>ROL</t>
  </si>
  <si>
    <t>Rotate Left</t>
  </si>
  <si>
    <t>Rotate Right</t>
  </si>
  <si>
    <t>Rotate Through Carry</t>
  </si>
  <si>
    <t>Notes</t>
  </si>
  <si>
    <t>Sub Imm 1</t>
  </si>
  <si>
    <t>Add Imm 1</t>
  </si>
  <si>
    <t>0xff - x</t>
  </si>
  <si>
    <t>0x00 - x</t>
  </si>
  <si>
    <t>Output 1</t>
  </si>
  <si>
    <t>Output 2</t>
  </si>
  <si>
    <t>dddd</t>
  </si>
  <si>
    <t>ssss</t>
  </si>
  <si>
    <t>dddd-ssss</t>
  </si>
  <si>
    <t>Select</t>
  </si>
  <si>
    <t>Register Pair Output</t>
  </si>
  <si>
    <t>Pair Output</t>
  </si>
  <si>
    <t>Multiplexers</t>
  </si>
  <si>
    <t>0000</t>
  </si>
  <si>
    <t>ADI</t>
  </si>
  <si>
    <t>BNE</t>
  </si>
  <si>
    <t>BEQ</t>
  </si>
  <si>
    <t>BCC</t>
  </si>
  <si>
    <t>BLO</t>
  </si>
  <si>
    <t>BCS</t>
  </si>
  <si>
    <t>BHS</t>
  </si>
  <si>
    <t>BPO</t>
  </si>
  <si>
    <t>BVC</t>
  </si>
  <si>
    <t>BVS</t>
  </si>
  <si>
    <t>BLS</t>
  </si>
  <si>
    <t>BHI</t>
  </si>
  <si>
    <t>BLT</t>
  </si>
  <si>
    <t>BGE</t>
  </si>
  <si>
    <t>BLE</t>
  </si>
  <si>
    <t>BGT</t>
  </si>
  <si>
    <t>00</t>
  </si>
  <si>
    <t>01</t>
  </si>
  <si>
    <t>10</t>
  </si>
  <si>
    <t>ALU 1</t>
  </si>
  <si>
    <t>ALU 2</t>
  </si>
  <si>
    <t>Register Input</t>
  </si>
  <si>
    <t>I/O Out</t>
  </si>
  <si>
    <t>Mem Out</t>
  </si>
  <si>
    <t>Reg Out 1</t>
  </si>
  <si>
    <t>Reg Out 2</t>
  </si>
  <si>
    <t>I/O Output</t>
  </si>
  <si>
    <t>Memory Output</t>
  </si>
  <si>
    <t>Address</t>
  </si>
  <si>
    <t>Bits 8-11</t>
  </si>
  <si>
    <t>Bits 4-7</t>
  </si>
  <si>
    <t>Memory Input</t>
  </si>
  <si>
    <t>Stack Pointer</t>
  </si>
  <si>
    <t>SP + 1</t>
  </si>
  <si>
    <t>SP - 1</t>
  </si>
  <si>
    <t>Load from Mem</t>
  </si>
  <si>
    <t>Enable 2</t>
  </si>
  <si>
    <t>Enable 1</t>
  </si>
  <si>
    <t>8-Bit Rotate</t>
  </si>
  <si>
    <t>Left/Right</t>
  </si>
  <si>
    <t>ADC</t>
  </si>
  <si>
    <t>SUBC</t>
  </si>
  <si>
    <t>Add With Carry</t>
  </si>
  <si>
    <t>Subtract With Carry</t>
  </si>
  <si>
    <t>0010</t>
  </si>
  <si>
    <t>0001</t>
  </si>
  <si>
    <t>1xxx</t>
  </si>
  <si>
    <t>0xxx</t>
  </si>
  <si>
    <t>Reg In</t>
  </si>
  <si>
    <t>Mem In</t>
  </si>
  <si>
    <t>Program Counter</t>
  </si>
  <si>
    <t>2 Cycles</t>
  </si>
  <si>
    <t>PC + 1</t>
  </si>
  <si>
    <t>PC + 2</t>
  </si>
  <si>
    <t>Stop</t>
  </si>
  <si>
    <t>PC + Offset + 1</t>
  </si>
  <si>
    <t>Stack</t>
  </si>
  <si>
    <t>SP + 2</t>
  </si>
  <si>
    <t>SP - 2</t>
  </si>
  <si>
    <t>I/O Input</t>
  </si>
  <si>
    <t>iiii</t>
  </si>
  <si>
    <t>I/O In</t>
  </si>
  <si>
    <t>ALU Opcode</t>
  </si>
  <si>
    <t>ALU EN</t>
  </si>
  <si>
    <t>ALU</t>
  </si>
  <si>
    <t>Stack En</t>
  </si>
  <si>
    <t>Stack Set</t>
  </si>
  <si>
    <t>Push/Pop</t>
  </si>
  <si>
    <t>Stack Overflow</t>
  </si>
  <si>
    <t>Reset</t>
  </si>
  <si>
    <t>Carry (Right to Left)</t>
  </si>
  <si>
    <t>PC Out</t>
  </si>
  <si>
    <t>Offset</t>
  </si>
  <si>
    <t>Override High/Low</t>
  </si>
  <si>
    <t>Control Unit Override</t>
  </si>
  <si>
    <t>Stack Output High</t>
  </si>
  <si>
    <t>Stack Output Low</t>
  </si>
  <si>
    <t>Override Counter</t>
  </si>
  <si>
    <t>Previous Address</t>
  </si>
  <si>
    <t>Next Address</t>
  </si>
  <si>
    <t>Add 2nd Operand</t>
  </si>
  <si>
    <t>Addition Result</t>
  </si>
  <si>
    <t>Push Address</t>
  </si>
  <si>
    <t>Pop Address</t>
  </si>
  <si>
    <t>Memory Unit</t>
  </si>
  <si>
    <t>Memory Write Address Multiplexer</t>
  </si>
  <si>
    <t>Memory Data</t>
  </si>
  <si>
    <t>Memory Multiplexer</t>
  </si>
  <si>
    <t>Clock EN</t>
  </si>
  <si>
    <t>010x</t>
  </si>
  <si>
    <t>0111</t>
  </si>
  <si>
    <t>Stack Address</t>
  </si>
  <si>
    <t>Mem Read</t>
  </si>
  <si>
    <t>Bits 4-6</t>
  </si>
  <si>
    <t>bbb</t>
  </si>
  <si>
    <t>Pair EN</t>
  </si>
  <si>
    <t>Memory Read Mux</t>
  </si>
  <si>
    <t>Register Input Mux</t>
  </si>
  <si>
    <t>ALU Mux 1</t>
  </si>
  <si>
    <t>ALU Mux 2</t>
  </si>
  <si>
    <t>Memory Write Mux</t>
  </si>
  <si>
    <t>Add Offset</t>
  </si>
  <si>
    <t>Offset EN</t>
  </si>
  <si>
    <t>Mode</t>
  </si>
  <si>
    <t>Override</t>
  </si>
  <si>
    <t>From Stack</t>
  </si>
  <si>
    <t>Instruction</t>
  </si>
  <si>
    <t>2 Clock</t>
  </si>
  <si>
    <t>Hold</t>
  </si>
  <si>
    <t>PC OV</t>
  </si>
  <si>
    <t>Memory Write Data Multiplexer</t>
  </si>
  <si>
    <t>Program Counter Low</t>
  </si>
  <si>
    <t>Program Counter High</t>
  </si>
  <si>
    <t>Register Out 1</t>
  </si>
  <si>
    <t>Mem In Addr</t>
  </si>
  <si>
    <t>Mem In Data</t>
  </si>
  <si>
    <t>01 -&gt; 10</t>
  </si>
  <si>
    <t>1/1</t>
  </si>
  <si>
    <t>PC Hold</t>
  </si>
  <si>
    <t>OV Part</t>
  </si>
  <si>
    <t>0110</t>
  </si>
  <si>
    <t>Push PC</t>
  </si>
  <si>
    <t>High OV</t>
  </si>
  <si>
    <t>Low OV</t>
  </si>
  <si>
    <t>PC Of</t>
  </si>
  <si>
    <t>Instruction Fetch</t>
  </si>
  <si>
    <t>Immediate Address</t>
  </si>
  <si>
    <t>Write</t>
  </si>
  <si>
    <t>Save Inst</t>
  </si>
  <si>
    <t>Instruction Store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</si>
  <si>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</si>
  <si>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</si>
  <si>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</si>
  <si>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</si>
  <si>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</si>
  <si>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</si>
  <si>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</si>
  <si>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</si>
  <si>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</si>
  <si>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</si>
  <si>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</si>
  <si>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</si>
  <si>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</si>
  <si>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</si>
  <si>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</si>
  <si>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</si>
  <si>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</si>
  <si>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</si>
  <si>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</si>
  <si>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</si>
  <si>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</si>
  <si>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</si>
  <si>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</si>
  <si>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</si>
  <si>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</si>
  <si>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</si>
  <si>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</si>
  <si>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</si>
  <si>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</si>
  <si>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</si>
  <si>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</si>
  <si>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</si>
  <si>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</si>
  <si>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</si>
  <si>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</si>
  <si>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</si>
  <si>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</si>
  <si>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</si>
  <si>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</si>
  <si>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</si>
  <si>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</si>
  <si>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</si>
  <si>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</si>
  <si>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</si>
  <si>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</si>
  <si>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</si>
  <si>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</si>
  <si>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</si>
  <si>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</si>
  <si>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</si>
  <si>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</si>
  <si>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</si>
  <si>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</si>
  <si>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</si>
  <si>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</si>
  <si>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</si>
  <si>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</si>
  <si>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</si>
  <si>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</si>
  <si>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</si>
  <si>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</si>
  <si>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</si>
  <si>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</si>
  <si>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</si>
  <si>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</si>
  <si>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</si>
  <si>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</si>
  <si>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</si>
  <si>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</si>
  <si>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</si>
  <si>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</si>
  <si>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</si>
  <si>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</si>
  <si>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</si>
  <si>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</si>
  <si>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</si>
  <si>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</si>
  <si>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</si>
  <si>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</si>
  <si>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</si>
  <si>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</si>
  <si>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</si>
  <si>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</si>
  <si>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</si>
  <si>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</si>
  <si>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</si>
  <si>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</si>
  <si>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</si>
  <si>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</si>
  <si>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</si>
  <si>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</si>
  <si>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</si>
  <si>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</si>
  <si>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</si>
  <si>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</si>
  <si>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</si>
  <si>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</si>
  <si>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</si>
  <si>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</si>
  <si>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</si>
  <si>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</si>
  <si>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</si>
  <si>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</si>
  <si>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</si>
  <si>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</si>
  <si>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</si>
  <si>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</si>
  <si>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</si>
  <si>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</si>
  <si>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</si>
  <si>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</si>
  <si>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</si>
  <si>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</si>
  <si>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</si>
  <si>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</si>
  <si>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</si>
  <si>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</si>
  <si>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</si>
  <si>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</si>
  <si>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</si>
  <si>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</si>
  <si>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</si>
  <si>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</si>
  <si>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</si>
  <si>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</si>
  <si>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</si>
  <si>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</si>
  <si>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</si>
  <si>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</si>
  <si>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</si>
  <si>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</si>
  <si>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</si>
  <si>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</si>
  <si>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</si>
  <si>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</si>
  <si>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</si>
  <si>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</si>
  <si>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</si>
  <si>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</si>
  <si>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</si>
  <si>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</si>
  <si>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</si>
  <si>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</si>
  <si>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</si>
  <si>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</si>
  <si>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</si>
  <si>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</si>
  <si>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</si>
  <si>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</si>
  <si>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</si>
  <si>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</si>
  <si>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</si>
  <si>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</si>
  <si>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</si>
  <si>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</si>
  <si>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</si>
  <si>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</si>
  <si>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</si>
  <si>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</si>
  <si>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</si>
  <si>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</si>
  <si>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</si>
  <si>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</si>
  <si>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</si>
  <si>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</si>
  <si>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</si>
  <si>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</si>
  <si>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</si>
  <si>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</si>
  <si>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</si>
  <si>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</si>
  <si>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</si>
  <si>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</si>
  <si>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</si>
  <si>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</si>
  <si>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</si>
  <si>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</si>
  <si>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</si>
  <si>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</si>
  <si>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</si>
  <si>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</si>
  <si>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</si>
  <si>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</si>
  <si>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</si>
  <si>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</si>
  <si>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</si>
  <si>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</si>
  <si>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</si>
  <si>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</si>
  <si>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</si>
  <si>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</si>
  <si>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</si>
  <si>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</si>
  <si>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</si>
  <si>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</si>
  <si>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</si>
  <si>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</si>
  <si>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</si>
  <si>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</si>
  <si>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</si>
  <si>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</si>
  <si>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</si>
  <si>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</si>
  <si>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</si>
  <si>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</si>
  <si>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</si>
  <si>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</si>
  <si>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</si>
  <si>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</si>
  <si>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</si>
  <si>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</si>
  <si>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</si>
  <si>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</si>
  <si>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</si>
  <si>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</si>
  <si>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</si>
  <si>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</si>
  <si>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</si>
  <si>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</si>
  <si>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</si>
  <si>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</si>
  <si>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</si>
  <si>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</si>
  <si>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</si>
  <si>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</si>
  <si>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</si>
  <si>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</si>
  <si>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</si>
  <si>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</si>
  <si>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</si>
  <si>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</si>
  <si>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</si>
  <si>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</si>
  <si>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</si>
  <si>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</si>
  <si>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</si>
  <si>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</si>
  <si>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</si>
  <si>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</si>
  <si>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</si>
  <si>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</si>
  <si>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</si>
  <si>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</si>
  <si>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</si>
  <si>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</si>
  <si>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</si>
  <si>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</si>
  <si>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</si>
  <si>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</si>
  <si>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</si>
  <si>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</si>
  <si>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</si>
  <si>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</si>
  <si>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</si>
  <si>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</si>
  <si>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</si>
  <si>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Read Select</t>
  </si>
  <si>
    <t>CMP with Immediate</t>
  </si>
  <si>
    <t>Carries (Inverted)</t>
  </si>
  <si>
    <t>PC Override Multiplexer</t>
  </si>
  <si>
    <t>Register Input Multiplexer</t>
  </si>
  <si>
    <t>Memory Output Address Multiplexer</t>
  </si>
  <si>
    <t>Halted</t>
  </si>
  <si>
    <t>Control Unit</t>
  </si>
  <si>
    <t>Arithmetic Logic Unit</t>
  </si>
  <si>
    <t>Status Register</t>
  </si>
  <si>
    <t>ALU Input Multiplexer A</t>
  </si>
  <si>
    <t>ALU Input Multiplexer B</t>
  </si>
  <si>
    <t>Output A</t>
  </si>
  <si>
    <t>Output B</t>
  </si>
  <si>
    <t>Enable A</t>
  </si>
  <si>
    <t>Read Select A</t>
  </si>
  <si>
    <t>Enable B</t>
  </si>
  <si>
    <t>Read Select B</t>
  </si>
  <si>
    <t>Input A</t>
  </si>
  <si>
    <t>Input B</t>
  </si>
  <si>
    <t>I/O Register File</t>
  </si>
  <si>
    <t>General-Purpose Register File</t>
  </si>
  <si>
    <t>BNQ</t>
  </si>
  <si>
    <t>r</t>
  </si>
  <si>
    <t>Instruction Override</t>
  </si>
  <si>
    <t>Ack</t>
  </si>
  <si>
    <t>Interrupt</t>
  </si>
  <si>
    <t>Interrupt Controller</t>
  </si>
  <si>
    <t>IRQ0</t>
  </si>
  <si>
    <t>IRQ1</t>
  </si>
  <si>
    <t>IRQ2</t>
  </si>
  <si>
    <t>IRQ3</t>
  </si>
  <si>
    <t>RETI</t>
  </si>
  <si>
    <t>Return from Interrupt</t>
  </si>
  <si>
    <t>Interrupt Id</t>
  </si>
  <si>
    <t>Set Int Flag</t>
  </si>
  <si>
    <t>Interrupt Logic</t>
  </si>
  <si>
    <t>Pending</t>
  </si>
  <si>
    <t>Set Flag</t>
  </si>
  <si>
    <t>Int Flag</t>
  </si>
  <si>
    <t>Controller</t>
  </si>
  <si>
    <t>Up</t>
  </si>
  <si>
    <t>Left</t>
  </si>
  <si>
    <t>Right</t>
  </si>
  <si>
    <t>Down</t>
  </si>
  <si>
    <t>IRQ</t>
  </si>
  <si>
    <t>State</t>
  </si>
  <si>
    <t>Random</t>
  </si>
  <si>
    <t>Last State</t>
  </si>
  <si>
    <t>ROM Output</t>
  </si>
  <si>
    <t>Last Int</t>
  </si>
  <si>
    <t xml:space="preserve"> </t>
  </si>
  <si>
    <t>PC +1</t>
  </si>
  <si>
    <t>PC Push Multiplexer</t>
  </si>
  <si>
    <t>ISR Address</t>
  </si>
  <si>
    <t>Push PC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</si>
</sst>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6"/>
      <color theme="1"/>
      <name val="Calibri"/>
      <family val="2"/>
      <scheme val="minor"/>
    </font>
    <font>
      <sz val="20"/>
      <name val="Calibri"/>
      <family val="2"/>
      <scheme val="minor"/>
    </font>
    <font>
      <sz val="10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5DB4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11ED4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4FD1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A2ECF6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4" borderId="0" xfId="0" quotePrefix="1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8" borderId="0" xfId="0" applyFont="1" applyFill="1" applyAlignment="1">
      <alignment vertical="center"/>
    </xf>
    <xf numFmtId="0" fontId="2" fillId="14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17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0" fillId="14" borderId="0" xfId="0" applyFill="1"/>
    <xf numFmtId="0" fontId="0" fillId="14" borderId="0" xfId="0" applyFill="1" applyAlignment="1">
      <alignment horizontal="center"/>
    </xf>
    <xf numFmtId="164" fontId="0" fillId="20" borderId="0" xfId="0" applyNumberForma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21" borderId="0" xfId="0" quotePrefix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4" borderId="0" xfId="0" applyFill="1" applyAlignment="1">
      <alignment horizontal="center"/>
    </xf>
  </cellXfs>
  <cellStyles count="1">
    <cellStyle name="Normal" xfId="0" builtinId="0"/>
  </cellStyles>
  <dxfs count="40"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00FFCC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3300"/>
        </patternFill>
      </fill>
    </dxf>
    <dxf>
      <fill>
        <patternFill>
          <bgColor theme="8" tint="0.39994506668294322"/>
        </patternFill>
      </fill>
    </dxf>
    <dxf>
      <fill>
        <patternFill>
          <bgColor rgb="FFFF3300"/>
        </patternFill>
      </fill>
    </dxf>
    <dxf>
      <fill>
        <patternFill>
          <bgColor rgb="FF00FF00"/>
        </patternFill>
      </fill>
    </dxf>
    <dxf>
      <fill>
        <patternFill>
          <bgColor rgb="FF9966FF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33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33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00FFCC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FF66"/>
      <color rgb="FF66FF66"/>
      <color rgb="FF66FF33"/>
      <color rgb="FF99FF66"/>
      <color rgb="FF99CCFF"/>
      <color rgb="FFA2ECF6"/>
      <color rgb="FFCCCCFF"/>
      <color rgb="FF4FD1FF"/>
      <color rgb="FF99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CheckBox" fmlaLink="J2" lockText="1" noThreeD="1"/>
</file>

<file path=xl/ctrlProps/ctrlProp2.xml><?xml version="1.0" encoding="utf-8"?>
<formControlPr xmlns="http://schemas.microsoft.com/office/spreadsheetml/2009/9/main" objectType="CheckBox" checked="Checked" fmlaLink="H2" lockText="1" noThreeD="1"/>
</file>

<file path=xl/ctrlProps/ctrlProp3.xml><?xml version="1.0" encoding="utf-8"?>
<formControlPr xmlns="http://schemas.microsoft.com/office/spreadsheetml/2009/9/main" objectType="CheckBox" fmlaLink="T29" lockText="1" noThreeD="1"/>
</file>

<file path=xl/ctrlProps/ctrlProp4.xml><?xml version="1.0" encoding="utf-8"?>
<formControlPr xmlns="http://schemas.microsoft.com/office/spreadsheetml/2009/9/main" objectType="CheckBox" fmlaLink="E12" lockText="1" noThreeD="1"/>
</file>

<file path=xl/ctrlProps/ctrlProp5.xml><?xml version="1.0" encoding="utf-8"?>
<formControlPr xmlns="http://schemas.microsoft.com/office/spreadsheetml/2009/9/main" objectType="CheckBox" fmlaLink="D13" lockText="1" noThreeD="1"/>
</file>

<file path=xl/ctrlProps/ctrlProp6.xml><?xml version="1.0" encoding="utf-8"?>
<formControlPr xmlns="http://schemas.microsoft.com/office/spreadsheetml/2009/9/main" objectType="CheckBox" fmlaLink="F13" lockText="1" noThreeD="1"/>
</file>

<file path=xl/ctrlProps/ctrlProp7.xml><?xml version="1.0" encoding="utf-8"?>
<formControlPr xmlns="http://schemas.microsoft.com/office/spreadsheetml/2009/9/main" objectType="CheckBox" fmlaLink="E1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0</xdr:row>
          <xdr:rowOff>171450</xdr:rowOff>
        </xdr:from>
        <xdr:to>
          <xdr:col>9</xdr:col>
          <xdr:colOff>428625</xdr:colOff>
          <xdr:row>2</xdr:row>
          <xdr:rowOff>47625</xdr:rowOff>
        </xdr:to>
        <xdr:sp macro="" textlink="">
          <xdr:nvSpPr>
            <xdr:cNvPr id="33793" name="Check Box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0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0</xdr:row>
          <xdr:rowOff>171450</xdr:rowOff>
        </xdr:from>
        <xdr:to>
          <xdr:col>7</xdr:col>
          <xdr:colOff>428625</xdr:colOff>
          <xdr:row>2</xdr:row>
          <xdr:rowOff>47625</xdr:rowOff>
        </xdr:to>
        <xdr:sp macro="" textlink="">
          <xdr:nvSpPr>
            <xdr:cNvPr id="33794" name="Check Box 2" hidden="1">
              <a:extLst>
                <a:ext uri="{63B3BB69-23CF-44E3-9099-C40C66FF867C}">
                  <a14:compatExt spid="_x0000_s33794"/>
                </a:ext>
                <a:ext uri="{FF2B5EF4-FFF2-40B4-BE49-F238E27FC236}">
                  <a16:creationId xmlns:a16="http://schemas.microsoft.com/office/drawing/2014/main" id="{00000000-0008-0000-0000-00000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171450</xdr:rowOff>
        </xdr:from>
        <xdr:to>
          <xdr:col>19</xdr:col>
          <xdr:colOff>428625</xdr:colOff>
          <xdr:row>29</xdr:row>
          <xdr:rowOff>47625</xdr:rowOff>
        </xdr:to>
        <xdr:sp macro="" textlink="">
          <xdr:nvSpPr>
            <xdr:cNvPr id="33795" name="Check Box 3" hidden="1">
              <a:extLst>
                <a:ext uri="{63B3BB69-23CF-44E3-9099-C40C66FF867C}">
                  <a14:compatExt spid="_x0000_s33795"/>
                </a:ext>
                <a:ext uri="{FF2B5EF4-FFF2-40B4-BE49-F238E27FC236}">
                  <a16:creationId xmlns:a16="http://schemas.microsoft.com/office/drawing/2014/main" id="{00000000-0008-0000-0000-000003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11</xdr:row>
          <xdr:rowOff>123825</xdr:rowOff>
        </xdr:from>
        <xdr:to>
          <xdr:col>4</xdr:col>
          <xdr:colOff>342900</xdr:colOff>
          <xdr:row>11</xdr:row>
          <xdr:rowOff>342900</xdr:rowOff>
        </xdr:to>
        <xdr:sp macro="" textlink="">
          <xdr:nvSpPr>
            <xdr:cNvPr id="34818" name="Check Box 2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:a16="http://schemas.microsoft.com/office/drawing/2014/main" id="{00000000-0008-0000-01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12</xdr:row>
          <xdr:rowOff>114300</xdr:rowOff>
        </xdr:from>
        <xdr:to>
          <xdr:col>3</xdr:col>
          <xdr:colOff>361950</xdr:colOff>
          <xdr:row>12</xdr:row>
          <xdr:rowOff>333375</xdr:rowOff>
        </xdr:to>
        <xdr:sp macro="" textlink="">
          <xdr:nvSpPr>
            <xdr:cNvPr id="34819" name="Check Box 3" hidden="1">
              <a:extLst>
                <a:ext uri="{63B3BB69-23CF-44E3-9099-C40C66FF867C}">
                  <a14:compatExt spid="_x0000_s34819"/>
                </a:ext>
                <a:ext uri="{FF2B5EF4-FFF2-40B4-BE49-F238E27FC236}">
                  <a16:creationId xmlns:a16="http://schemas.microsoft.com/office/drawing/2014/main" id="{00000000-0008-0000-0100-000003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12</xdr:row>
          <xdr:rowOff>123825</xdr:rowOff>
        </xdr:from>
        <xdr:to>
          <xdr:col>5</xdr:col>
          <xdr:colOff>352425</xdr:colOff>
          <xdr:row>12</xdr:row>
          <xdr:rowOff>342900</xdr:rowOff>
        </xdr:to>
        <xdr:sp macro="" textlink="">
          <xdr:nvSpPr>
            <xdr:cNvPr id="34820" name="Check Box 4" hidden="1">
              <a:extLst>
                <a:ext uri="{63B3BB69-23CF-44E3-9099-C40C66FF867C}">
                  <a14:compatExt spid="_x0000_s34820"/>
                </a:ext>
                <a:ext uri="{FF2B5EF4-FFF2-40B4-BE49-F238E27FC236}">
                  <a16:creationId xmlns:a16="http://schemas.microsoft.com/office/drawing/2014/main" id="{00000000-0008-0000-0100-00000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13</xdr:row>
          <xdr:rowOff>104775</xdr:rowOff>
        </xdr:from>
        <xdr:to>
          <xdr:col>4</xdr:col>
          <xdr:colOff>352425</xdr:colOff>
          <xdr:row>13</xdr:row>
          <xdr:rowOff>323850</xdr:rowOff>
        </xdr:to>
        <xdr:sp macro="" textlink="">
          <xdr:nvSpPr>
            <xdr:cNvPr id="34821" name="Check Box 5" hidden="1">
              <a:extLst>
                <a:ext uri="{63B3BB69-23CF-44E3-9099-C40C66FF867C}">
                  <a14:compatExt spid="_x0000_s34821"/>
                </a:ext>
                <a:ext uri="{FF2B5EF4-FFF2-40B4-BE49-F238E27FC236}">
                  <a16:creationId xmlns:a16="http://schemas.microsoft.com/office/drawing/2014/main" id="{00000000-0008-0000-0100-000005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9A31AB24-2711-4388-B73E-2C497BB476D6}" autoFormatId="16" applyNumberFormats="0" applyBorderFormats="0" applyFontFormats="0" applyPatternFormats="0" applyAlignmentFormats="0" applyWidthHeightFormats="0">
  <queryTableRefresh nextId="257">
    <queryTableFields count="25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A6C19-80E5-4852-9B7C-8C04C193C43F}" name="ROM" displayName="ROM" ref="A1:IV257" tableType="queryTable" totalsRowShown="0">
  <autoFilter ref="A1:IV257" xr:uid="{B42A6C19-80E5-4852-9B7C-8C04C193C43F}"/>
  <tableColumns count="256">
    <tableColumn id="1" xr3:uid="{BC4A88A7-6572-4C29-9609-9C8E76CA7AC3}" uniqueName="1" name="Column1" queryTableFieldId="1"/>
    <tableColumn id="2" xr3:uid="{D8F82AA0-57F7-483B-AC1F-5EF7CBB08BDD}" uniqueName="2" name="Column2" queryTableFieldId="2"/>
    <tableColumn id="3" xr3:uid="{22CC78D6-4826-423F-AC7C-A1F4A9D8ABD4}" uniqueName="3" name="Column3" queryTableFieldId="3"/>
    <tableColumn id="4" xr3:uid="{A7E25E3D-4A92-4708-93C4-209913951EE8}" uniqueName="4" name="Column4" queryTableFieldId="4"/>
    <tableColumn id="5" xr3:uid="{160A22DC-001C-4CC7-9BA2-86383EDA7E2D}" uniqueName="5" name="Column5" queryTableFieldId="5"/>
    <tableColumn id="6" xr3:uid="{0C2CFD92-57A9-4FC6-B51F-2697D04BF667}" uniqueName="6" name="Column6" queryTableFieldId="6"/>
    <tableColumn id="7" xr3:uid="{65F35C9C-697E-4D02-86EB-7B2AB35A3409}" uniqueName="7" name="Column7" queryTableFieldId="7"/>
    <tableColumn id="8" xr3:uid="{9A9C1766-9F2F-406F-9C37-7CDFEA6B3B5F}" uniqueName="8" name="Column8" queryTableFieldId="8"/>
    <tableColumn id="9" xr3:uid="{9814455E-0EF8-4D41-B832-166B8E061932}" uniqueName="9" name="Column9" queryTableFieldId="9"/>
    <tableColumn id="10" xr3:uid="{79403D17-8F09-4839-BCAC-EF5FBBF13AB0}" uniqueName="10" name="Column10" queryTableFieldId="10"/>
    <tableColumn id="11" xr3:uid="{27388F23-D884-464D-943D-08FCDA261CF5}" uniqueName="11" name="Column11" queryTableFieldId="11"/>
    <tableColumn id="12" xr3:uid="{A79C208C-4BDE-4B9D-AB29-D081072A4562}" uniqueName="12" name="Column12" queryTableFieldId="12"/>
    <tableColumn id="13" xr3:uid="{B5844F24-462E-4180-ACA0-EE18F68D1169}" uniqueName="13" name="Column13" queryTableFieldId="13"/>
    <tableColumn id="14" xr3:uid="{875B084C-0FDF-463C-B83B-1C55657D6E0A}" uniqueName="14" name="Column14" queryTableFieldId="14"/>
    <tableColumn id="15" xr3:uid="{BBDD1BB3-71EF-4245-8E32-7ACF9AA946FB}" uniqueName="15" name="Column15" queryTableFieldId="15"/>
    <tableColumn id="16" xr3:uid="{0FB2AA4C-2C55-4F4E-96B0-ECA1365EEBFE}" uniqueName="16" name="Column16" queryTableFieldId="16"/>
    <tableColumn id="17" xr3:uid="{59F80C33-2CA9-407C-A283-A1FB6D144BA1}" uniqueName="17" name="Column17" queryTableFieldId="17"/>
    <tableColumn id="18" xr3:uid="{24A45869-8AD2-4D18-8849-9B005D46737A}" uniqueName="18" name="Column18" queryTableFieldId="18"/>
    <tableColumn id="19" xr3:uid="{F4B580D7-4E49-4F33-8F97-AD0097FDBD5A}" uniqueName="19" name="Column19" queryTableFieldId="19"/>
    <tableColumn id="20" xr3:uid="{8F98D3BD-06EF-47A6-9BB8-D4A39E8326E8}" uniqueName="20" name="Column20" queryTableFieldId="20"/>
    <tableColumn id="21" xr3:uid="{9D98B65F-48F4-4240-BD92-C19B865DAA55}" uniqueName="21" name="Column21" queryTableFieldId="21"/>
    <tableColumn id="22" xr3:uid="{1FF6AC2F-A33D-47B8-BDA5-D2DE59132D42}" uniqueName="22" name="Column22" queryTableFieldId="22"/>
    <tableColumn id="23" xr3:uid="{1BD1A9E3-8442-42D6-BB49-A8F1588D1B69}" uniqueName="23" name="Column23" queryTableFieldId="23"/>
    <tableColumn id="24" xr3:uid="{68A30551-3159-450D-982E-599CCAF74B69}" uniqueName="24" name="Column24" queryTableFieldId="24"/>
    <tableColumn id="25" xr3:uid="{F12B666E-D6F2-4B87-AD90-C90576D567E1}" uniqueName="25" name="Column25" queryTableFieldId="25"/>
    <tableColumn id="26" xr3:uid="{A27EA6AE-03BE-445A-8146-E40401C86D06}" uniqueName="26" name="Column26" queryTableFieldId="26"/>
    <tableColumn id="27" xr3:uid="{19BA49F1-E813-46F0-ACAF-E35FFE173BDC}" uniqueName="27" name="Column27" queryTableFieldId="27"/>
    <tableColumn id="28" xr3:uid="{B7A6560A-388E-490D-BBC4-FC4697E151BF}" uniqueName="28" name="Column28" queryTableFieldId="28"/>
    <tableColumn id="29" xr3:uid="{0B87B8CC-1459-4425-85B5-F0D920869515}" uniqueName="29" name="Column29" queryTableFieldId="29"/>
    <tableColumn id="30" xr3:uid="{8A3F9E5D-8191-4558-9EB5-B3C99301AF9D}" uniqueName="30" name="Column30" queryTableFieldId="30"/>
    <tableColumn id="31" xr3:uid="{A6A00554-F129-4275-89B6-5C6CC8E14FC6}" uniqueName="31" name="Column31" queryTableFieldId="31"/>
    <tableColumn id="32" xr3:uid="{C0741F9E-04C1-4194-A584-BEDD1E0F754E}" uniqueName="32" name="Column32" queryTableFieldId="32"/>
    <tableColumn id="33" xr3:uid="{CED647B4-25B3-4112-83CC-35122D1AC19B}" uniqueName="33" name="Column33" queryTableFieldId="33"/>
    <tableColumn id="34" xr3:uid="{7E6585AB-A0E0-472F-BF84-964D806C1CEA}" uniqueName="34" name="Column34" queryTableFieldId="34"/>
    <tableColumn id="35" xr3:uid="{A947A025-1FD9-4F8F-806D-F28FDDD37259}" uniqueName="35" name="Column35" queryTableFieldId="35"/>
    <tableColumn id="36" xr3:uid="{20FFD94B-BFC9-4525-8624-4621B261987D}" uniqueName="36" name="Column36" queryTableFieldId="36"/>
    <tableColumn id="37" xr3:uid="{2C48A2E7-A37E-4E3C-A8B5-E2A0D3C51EFE}" uniqueName="37" name="Column37" queryTableFieldId="37"/>
    <tableColumn id="38" xr3:uid="{491BB2BF-0641-4C1E-95F8-931E6BBE9AF3}" uniqueName="38" name="Column38" queryTableFieldId="38"/>
    <tableColumn id="39" xr3:uid="{B5785510-D877-424D-ACD8-4C75A1A25825}" uniqueName="39" name="Column39" queryTableFieldId="39"/>
    <tableColumn id="40" xr3:uid="{F8773787-CA9D-40FD-840B-B708FC7FB747}" uniqueName="40" name="Column40" queryTableFieldId="40"/>
    <tableColumn id="41" xr3:uid="{49862A06-1DD9-4100-9004-C7695DCF8C4E}" uniqueName="41" name="Column41" queryTableFieldId="41"/>
    <tableColumn id="42" xr3:uid="{9525D62F-31A9-45E9-8900-976CC1AC6439}" uniqueName="42" name="Column42" queryTableFieldId="42"/>
    <tableColumn id="43" xr3:uid="{C856FC7A-30FF-4843-807F-C31A69B660C9}" uniqueName="43" name="Column43" queryTableFieldId="43"/>
    <tableColumn id="44" xr3:uid="{7BDE2CDA-84AF-4B97-B337-D7CB34A55BFD}" uniqueName="44" name="Column44" queryTableFieldId="44"/>
    <tableColumn id="45" xr3:uid="{B12354ED-48C3-4269-B2D4-062D40B9D41F}" uniqueName="45" name="Column45" queryTableFieldId="45"/>
    <tableColumn id="46" xr3:uid="{B625576B-21EF-42E1-8A0C-5CA9E3DB04AD}" uniqueName="46" name="Column46" queryTableFieldId="46"/>
    <tableColumn id="47" xr3:uid="{FDA54461-B519-4319-A95E-765CFE935BC9}" uniqueName="47" name="Column47" queryTableFieldId="47"/>
    <tableColumn id="48" xr3:uid="{31B852D9-748B-43FC-9D31-FD64F01E1CC9}" uniqueName="48" name="Column48" queryTableFieldId="48"/>
    <tableColumn id="49" xr3:uid="{98CA4A10-7F4F-485E-898A-5CA4CEB7876F}" uniqueName="49" name="Column49" queryTableFieldId="49"/>
    <tableColumn id="50" xr3:uid="{640753B7-A63C-4745-BD6B-082D56FD26D4}" uniqueName="50" name="Column50" queryTableFieldId="50"/>
    <tableColumn id="51" xr3:uid="{8AD369A9-A5A8-4D30-B754-6DD490C27109}" uniqueName="51" name="Column51" queryTableFieldId="51"/>
    <tableColumn id="52" xr3:uid="{F96C7D85-32E8-4109-A45A-5CE325CABAF7}" uniqueName="52" name="Column52" queryTableFieldId="52"/>
    <tableColumn id="53" xr3:uid="{138EA700-A625-481D-9B4B-93EF9605CF6B}" uniqueName="53" name="Column53" queryTableFieldId="53"/>
    <tableColumn id="54" xr3:uid="{EF0DCF2E-7156-484A-8975-6F4B4478C462}" uniqueName="54" name="Column54" queryTableFieldId="54"/>
    <tableColumn id="55" xr3:uid="{ECAF6C51-57C5-4D48-9103-DB320E8F2AC0}" uniqueName="55" name="Column55" queryTableFieldId="55"/>
    <tableColumn id="56" xr3:uid="{E6450F2B-2DB7-4EB0-9A8D-DD9574117992}" uniqueName="56" name="Column56" queryTableFieldId="56"/>
    <tableColumn id="57" xr3:uid="{2DFCE81E-C6FE-4332-AB32-CA2F7738F4B0}" uniqueName="57" name="Column57" queryTableFieldId="57"/>
    <tableColumn id="58" xr3:uid="{4D59793C-AA50-43B7-A14B-91E4DAB99152}" uniqueName="58" name="Column58" queryTableFieldId="58"/>
    <tableColumn id="59" xr3:uid="{84D3E047-8C75-4139-9774-60C6AF15E824}" uniqueName="59" name="Column59" queryTableFieldId="59"/>
    <tableColumn id="60" xr3:uid="{9806680B-3CF4-4155-9187-6A1E28C94681}" uniqueName="60" name="Column60" queryTableFieldId="60"/>
    <tableColumn id="61" xr3:uid="{B6303A06-DE7F-406E-A2AB-688E5D42AE09}" uniqueName="61" name="Column61" queryTableFieldId="61"/>
    <tableColumn id="62" xr3:uid="{853675AA-39F4-4D20-A150-9BFB3107D69D}" uniqueName="62" name="Column62" queryTableFieldId="62"/>
    <tableColumn id="63" xr3:uid="{55867C0E-3EE3-471F-B0A3-00BAEB11D977}" uniqueName="63" name="Column63" queryTableFieldId="63"/>
    <tableColumn id="64" xr3:uid="{150A1935-9484-48F2-9548-B849AC4E0B85}" uniqueName="64" name="Column64" queryTableFieldId="64"/>
    <tableColumn id="65" xr3:uid="{DC63D9D0-2BF8-4141-8A2E-82473B9552DB}" uniqueName="65" name="Column65" queryTableFieldId="65"/>
    <tableColumn id="66" xr3:uid="{A51A8CAB-240F-414E-9849-1EFC2C802989}" uniqueName="66" name="Column66" queryTableFieldId="66"/>
    <tableColumn id="67" xr3:uid="{BDA026C2-387B-4C77-B438-415F980FBC61}" uniqueName="67" name="Column67" queryTableFieldId="67"/>
    <tableColumn id="68" xr3:uid="{02A1FCC7-4C58-4A40-B790-EEB90CD9D9DE}" uniqueName="68" name="Column68" queryTableFieldId="68"/>
    <tableColumn id="69" xr3:uid="{E1A72FC4-21A3-4EF7-A1C2-420A37A73E35}" uniqueName="69" name="Column69" queryTableFieldId="69"/>
    <tableColumn id="70" xr3:uid="{A9BD252A-4A2B-4C83-9DD9-7659D8FCB2D4}" uniqueName="70" name="Column70" queryTableFieldId="70"/>
    <tableColumn id="71" xr3:uid="{8E34E7DC-FA4C-4398-AE60-9151DA0DB239}" uniqueName="71" name="Column71" queryTableFieldId="71"/>
    <tableColumn id="72" xr3:uid="{261B95E7-AA1D-4ECC-97D4-47C7F0794D17}" uniqueName="72" name="Column72" queryTableFieldId="72"/>
    <tableColumn id="73" xr3:uid="{6BB5C3E1-3E17-48BB-A98D-50884C8DE69E}" uniqueName="73" name="Column73" queryTableFieldId="73"/>
    <tableColumn id="74" xr3:uid="{08C2365D-6572-49C3-B988-E338B7B37B5C}" uniqueName="74" name="Column74" queryTableFieldId="74"/>
    <tableColumn id="75" xr3:uid="{4B1CE427-F762-40E7-84D7-A0040BC2AABD}" uniqueName="75" name="Column75" queryTableFieldId="75"/>
    <tableColumn id="76" xr3:uid="{68BBDA9E-759F-4A47-80F2-E6FFB120E76F}" uniqueName="76" name="Column76" queryTableFieldId="76"/>
    <tableColumn id="77" xr3:uid="{C5671E0C-B047-4F42-A017-352C4ED5E387}" uniqueName="77" name="Column77" queryTableFieldId="77"/>
    <tableColumn id="78" xr3:uid="{75E10CB0-43CB-48AD-AFCC-FC37FE08EF6D}" uniqueName="78" name="Column78" queryTableFieldId="78"/>
    <tableColumn id="79" xr3:uid="{53973917-1A8B-42F6-BE9C-B0EC024890EA}" uniqueName="79" name="Column79" queryTableFieldId="79"/>
    <tableColumn id="80" xr3:uid="{0068E472-CE06-4673-84F2-A020AF82D7B2}" uniqueName="80" name="Column80" queryTableFieldId="80"/>
    <tableColumn id="81" xr3:uid="{A06E1BE2-3150-486C-A256-426B8DF7453F}" uniqueName="81" name="Column81" queryTableFieldId="81"/>
    <tableColumn id="82" xr3:uid="{7156E0F4-347F-409B-BEC6-5779B848839F}" uniqueName="82" name="Column82" queryTableFieldId="82"/>
    <tableColumn id="83" xr3:uid="{6225B7E6-EF42-4BB0-B8A5-81F1AAF03BFD}" uniqueName="83" name="Column83" queryTableFieldId="83"/>
    <tableColumn id="84" xr3:uid="{C2860DD1-6B52-4C60-B587-1623E815F08A}" uniqueName="84" name="Column84" queryTableFieldId="84"/>
    <tableColumn id="85" xr3:uid="{90B55B5B-A9C5-4C65-BDA2-777E3094C8ED}" uniqueName="85" name="Column85" queryTableFieldId="85"/>
    <tableColumn id="86" xr3:uid="{FA83754F-4C37-4157-884F-45BD62166EF4}" uniqueName="86" name="Column86" queryTableFieldId="86"/>
    <tableColumn id="87" xr3:uid="{9072E53A-6999-4999-934C-544FBECA2DFA}" uniqueName="87" name="Column87" queryTableFieldId="87"/>
    <tableColumn id="88" xr3:uid="{7C35667D-B91D-4104-9617-55DA51EB6DB2}" uniqueName="88" name="Column88" queryTableFieldId="88"/>
    <tableColumn id="89" xr3:uid="{5946AFB7-688D-4B83-A857-E06B577E78C1}" uniqueName="89" name="Column89" queryTableFieldId="89"/>
    <tableColumn id="90" xr3:uid="{22D35320-7212-4BED-8F88-27194DB8FDAB}" uniqueName="90" name="Column90" queryTableFieldId="90"/>
    <tableColumn id="91" xr3:uid="{C6343D4B-3724-435C-A7A1-16719BFF2897}" uniqueName="91" name="Column91" queryTableFieldId="91"/>
    <tableColumn id="92" xr3:uid="{58B8319F-5D1F-4377-A2C8-D95D1919E0C5}" uniqueName="92" name="Column92" queryTableFieldId="92"/>
    <tableColumn id="93" xr3:uid="{120A2AE0-322E-434D-84A7-83BC57F1D980}" uniqueName="93" name="Column93" queryTableFieldId="93"/>
    <tableColumn id="94" xr3:uid="{FEECC697-ADA3-4048-858D-16444336F472}" uniqueName="94" name="Column94" queryTableFieldId="94"/>
    <tableColumn id="95" xr3:uid="{4DB1EFE2-979F-4686-8403-90FD9610AB66}" uniqueName="95" name="Column95" queryTableFieldId="95"/>
    <tableColumn id="96" xr3:uid="{55799A72-FEC7-4587-AD80-E931C3FB6F59}" uniqueName="96" name="Column96" queryTableFieldId="96"/>
    <tableColumn id="97" xr3:uid="{F58CFE0C-54BE-47DA-BE1D-B313EC5B7D1B}" uniqueName="97" name="Column97" queryTableFieldId="97"/>
    <tableColumn id="98" xr3:uid="{ECB4AA0F-D4D4-4E72-AB78-10EDA730BE9C}" uniqueName="98" name="Column98" queryTableFieldId="98"/>
    <tableColumn id="99" xr3:uid="{393A8324-AB2B-4B9C-9136-512C7B9C30D6}" uniqueName="99" name="Column99" queryTableFieldId="99"/>
    <tableColumn id="100" xr3:uid="{49BCE0FE-901B-468B-AA22-6CAB5A78D543}" uniqueName="100" name="Column100" queryTableFieldId="100"/>
    <tableColumn id="101" xr3:uid="{2BE1FA25-505C-48EF-9E1A-7347C42CCD06}" uniqueName="101" name="Column101" queryTableFieldId="101"/>
    <tableColumn id="102" xr3:uid="{0E5EC433-9202-41A5-A887-51ACF542B027}" uniqueName="102" name="Column102" queryTableFieldId="102"/>
    <tableColumn id="103" xr3:uid="{FE4CA315-6DAF-4920-8CCC-A259002440D1}" uniqueName="103" name="Column103" queryTableFieldId="103"/>
    <tableColumn id="104" xr3:uid="{2775AE26-0F26-4958-B58B-BE923491419F}" uniqueName="104" name="Column104" queryTableFieldId="104"/>
    <tableColumn id="105" xr3:uid="{A5AA10C0-FAA9-45F6-915B-01DCC9AD10EA}" uniqueName="105" name="Column105" queryTableFieldId="105"/>
    <tableColumn id="106" xr3:uid="{1EC56288-B86A-4B19-BA2A-99CC5B3D1A5A}" uniqueName="106" name="Column106" queryTableFieldId="106"/>
    <tableColumn id="107" xr3:uid="{966A476E-2352-4EC5-9EB3-03ED3F614526}" uniqueName="107" name="Column107" queryTableFieldId="107"/>
    <tableColumn id="108" xr3:uid="{A182FCAF-BA7A-4046-97F2-FBEF7C626471}" uniqueName="108" name="Column108" queryTableFieldId="108"/>
    <tableColumn id="109" xr3:uid="{E8F87640-778F-49C4-965E-2F6F4173A818}" uniqueName="109" name="Column109" queryTableFieldId="109"/>
    <tableColumn id="110" xr3:uid="{74E30411-AF56-4735-BCBF-7BE50072B87F}" uniqueName="110" name="Column110" queryTableFieldId="110"/>
    <tableColumn id="111" xr3:uid="{2A721B80-810D-4CF4-A04F-0EEA9AE83419}" uniqueName="111" name="Column111" queryTableFieldId="111"/>
    <tableColumn id="112" xr3:uid="{4752B50B-69EE-4FD8-8C95-42441B76EB0E}" uniqueName="112" name="Column112" queryTableFieldId="112"/>
    <tableColumn id="113" xr3:uid="{FF9F71F6-461E-4DB2-AFC7-8F6587EA87D8}" uniqueName="113" name="Column113" queryTableFieldId="113"/>
    <tableColumn id="114" xr3:uid="{764E4BB3-6345-4B56-A8D5-281695EC5EF9}" uniqueName="114" name="Column114" queryTableFieldId="114"/>
    <tableColumn id="115" xr3:uid="{AD6DD169-DE00-4997-9075-3DB1AA3EECF9}" uniqueName="115" name="Column115" queryTableFieldId="115"/>
    <tableColumn id="116" xr3:uid="{7802C795-A8AD-4D0E-9148-1EDBD88FD99D}" uniqueName="116" name="Column116" queryTableFieldId="116"/>
    <tableColumn id="117" xr3:uid="{3A1AE7E1-4EBA-4511-8647-24D96C6E71B7}" uniqueName="117" name="Column117" queryTableFieldId="117"/>
    <tableColumn id="118" xr3:uid="{0C2CE6E7-DB52-49EF-B359-D4BA166C070D}" uniqueName="118" name="Column118" queryTableFieldId="118"/>
    <tableColumn id="119" xr3:uid="{29BB0D8F-80BA-4EA4-BE5A-23D070F8AA3E}" uniqueName="119" name="Column119" queryTableFieldId="119"/>
    <tableColumn id="120" xr3:uid="{D60728D4-9D12-46AB-93DD-CE771C049EBF}" uniqueName="120" name="Column120" queryTableFieldId="120"/>
    <tableColumn id="121" xr3:uid="{E4BC714F-C375-4877-976C-D6206E536C56}" uniqueName="121" name="Column121" queryTableFieldId="121"/>
    <tableColumn id="122" xr3:uid="{D94B99E1-B6F1-488A-9AA5-8336EC7F6C2B}" uniqueName="122" name="Column122" queryTableFieldId="122"/>
    <tableColumn id="123" xr3:uid="{419B4777-0AFE-4642-8808-8C144A50ED7A}" uniqueName="123" name="Column123" queryTableFieldId="123"/>
    <tableColumn id="124" xr3:uid="{CAB23412-4515-4101-BBA2-D4CEF166D1CB}" uniqueName="124" name="Column124" queryTableFieldId="124"/>
    <tableColumn id="125" xr3:uid="{94A74B11-B50E-483B-B33A-388A43424E68}" uniqueName="125" name="Column125" queryTableFieldId="125"/>
    <tableColumn id="126" xr3:uid="{AF50524E-016D-45BA-A931-2F39B7FE7FF0}" uniqueName="126" name="Column126" queryTableFieldId="126"/>
    <tableColumn id="127" xr3:uid="{D193A92C-6C4D-4D52-A077-4E2CCC3AB5F5}" uniqueName="127" name="Column127" queryTableFieldId="127"/>
    <tableColumn id="128" xr3:uid="{90F5603E-7A40-449A-B2DD-8D029EF727D8}" uniqueName="128" name="Column128" queryTableFieldId="128"/>
    <tableColumn id="129" xr3:uid="{EAB9D033-4A07-4EDA-8C46-4B7B51FAE413}" uniqueName="129" name="Column129" queryTableFieldId="129"/>
    <tableColumn id="130" xr3:uid="{6F7B27ED-1003-4439-B693-3D7BE031AE83}" uniqueName="130" name="Column130" queryTableFieldId="130"/>
    <tableColumn id="131" xr3:uid="{D105B617-456E-4A93-A4CE-ED081C279497}" uniqueName="131" name="Column131" queryTableFieldId="131"/>
    <tableColumn id="132" xr3:uid="{0B59001B-B86E-40F5-B355-6CF50935A53E}" uniqueName="132" name="Column132" queryTableFieldId="132"/>
    <tableColumn id="133" xr3:uid="{EA16A08B-8B48-4976-9598-C9310B2E1236}" uniqueName="133" name="Column133" queryTableFieldId="133"/>
    <tableColumn id="134" xr3:uid="{A4675BB4-7824-4E9E-8A13-3EB510DB7639}" uniqueName="134" name="Column134" queryTableFieldId="134"/>
    <tableColumn id="135" xr3:uid="{FFB553F4-9210-466B-9A97-1368F964E9ED}" uniqueName="135" name="Column135" queryTableFieldId="135"/>
    <tableColumn id="136" xr3:uid="{69002996-924A-4724-B52A-4F354FB2E485}" uniqueName="136" name="Column136" queryTableFieldId="136"/>
    <tableColumn id="137" xr3:uid="{404B60B2-171D-4B97-97BC-7433FA96A490}" uniqueName="137" name="Column137" queryTableFieldId="137"/>
    <tableColumn id="138" xr3:uid="{BCD56C00-D383-4232-B7B9-3B68CFC95EFA}" uniqueName="138" name="Column138" queryTableFieldId="138"/>
    <tableColumn id="139" xr3:uid="{99BF783F-9E7B-4015-A3AA-AC945219495E}" uniqueName="139" name="Column139" queryTableFieldId="139"/>
    <tableColumn id="140" xr3:uid="{AC9624F9-390E-454A-8915-0C106CF3BB7B}" uniqueName="140" name="Column140" queryTableFieldId="140"/>
    <tableColumn id="141" xr3:uid="{E35F90C4-F367-4C26-AE8C-C277CB230A89}" uniqueName="141" name="Column141" queryTableFieldId="141"/>
    <tableColumn id="142" xr3:uid="{71AB60F2-AEF1-487E-9405-519460F3FABF}" uniqueName="142" name="Column142" queryTableFieldId="142"/>
    <tableColumn id="143" xr3:uid="{518C10B1-ED06-4C2F-853D-38A7918A4223}" uniqueName="143" name="Column143" queryTableFieldId="143"/>
    <tableColumn id="144" xr3:uid="{6B3A4D11-6C18-4BD2-A846-F08A87D2B6A1}" uniqueName="144" name="Column144" queryTableFieldId="144"/>
    <tableColumn id="145" xr3:uid="{71A1662E-789A-4AD0-92E3-710E20DCFB88}" uniqueName="145" name="Column145" queryTableFieldId="145"/>
    <tableColumn id="146" xr3:uid="{187ED2F6-F168-40D9-A55E-02C03BD7405B}" uniqueName="146" name="Column146" queryTableFieldId="146"/>
    <tableColumn id="147" xr3:uid="{68A87AAE-086A-4A6D-8AF2-1129365559D4}" uniqueName="147" name="Column147" queryTableFieldId="147"/>
    <tableColumn id="148" xr3:uid="{C61BCA16-C75A-42C2-85E1-C3A7B01732B2}" uniqueName="148" name="Column148" queryTableFieldId="148"/>
    <tableColumn id="149" xr3:uid="{4897D116-1AD9-4F81-86D7-2885875DB0B0}" uniqueName="149" name="Column149" queryTableFieldId="149"/>
    <tableColumn id="150" xr3:uid="{78D25996-6567-49C3-8ABF-DE4B3F3B0E3E}" uniqueName="150" name="Column150" queryTableFieldId="150"/>
    <tableColumn id="151" xr3:uid="{A3EEE00C-8FCA-4622-8F41-11FA403C7543}" uniqueName="151" name="Column151" queryTableFieldId="151"/>
    <tableColumn id="152" xr3:uid="{E806A614-FFDA-495B-B1F7-97A6A19362DD}" uniqueName="152" name="Column152" queryTableFieldId="152"/>
    <tableColumn id="153" xr3:uid="{6748C488-53AB-471D-8787-1941E137B002}" uniqueName="153" name="Column153" queryTableFieldId="153"/>
    <tableColumn id="154" xr3:uid="{C731570D-4C3E-4980-B2B6-F7CD0964AF12}" uniqueName="154" name="Column154" queryTableFieldId="154"/>
    <tableColumn id="155" xr3:uid="{94240DF0-2443-400C-8474-D45EE7101983}" uniqueName="155" name="Column155" queryTableFieldId="155"/>
    <tableColumn id="156" xr3:uid="{BC7A78E9-CAC2-45FC-86A8-78B94F601EC9}" uniqueName="156" name="Column156" queryTableFieldId="156"/>
    <tableColumn id="157" xr3:uid="{EA35B4C5-7226-4D84-BB22-F1EE5770C2DC}" uniqueName="157" name="Column157" queryTableFieldId="157"/>
    <tableColumn id="158" xr3:uid="{38D1CAC0-4CE2-416D-9DAE-B73BF7BF0D17}" uniqueName="158" name="Column158" queryTableFieldId="158"/>
    <tableColumn id="159" xr3:uid="{72047ABC-A9B5-488B-944F-B8787AF487CC}" uniqueName="159" name="Column159" queryTableFieldId="159"/>
    <tableColumn id="160" xr3:uid="{7976D5F3-803B-43C7-B298-A06CC0663BF8}" uniqueName="160" name="Column160" queryTableFieldId="160"/>
    <tableColumn id="161" xr3:uid="{69C980C1-F499-482A-82F3-082069FB311F}" uniqueName="161" name="Column161" queryTableFieldId="161"/>
    <tableColumn id="162" xr3:uid="{6F723DDF-CF7E-43B7-8D58-D12321458DAF}" uniqueName="162" name="Column162" queryTableFieldId="162"/>
    <tableColumn id="163" xr3:uid="{26255959-7F87-454D-9EEF-DCEDB0A430D9}" uniqueName="163" name="Column163" queryTableFieldId="163"/>
    <tableColumn id="164" xr3:uid="{F72782E7-E39F-4C24-9827-CEEAA09F182F}" uniqueName="164" name="Column164" queryTableFieldId="164"/>
    <tableColumn id="165" xr3:uid="{CFF39E62-DAE5-45A1-A640-A6ED36E7D6E2}" uniqueName="165" name="Column165" queryTableFieldId="165"/>
    <tableColumn id="166" xr3:uid="{444A4103-DA64-4444-A8AD-23EB512E4C62}" uniqueName="166" name="Column166" queryTableFieldId="166"/>
    <tableColumn id="167" xr3:uid="{4E5CE3C9-AB98-442A-967C-296C5BE90D91}" uniqueName="167" name="Column167" queryTableFieldId="167"/>
    <tableColumn id="168" xr3:uid="{9F94741B-90A1-4A21-8C78-A30ABFCBAF49}" uniqueName="168" name="Column168" queryTableFieldId="168"/>
    <tableColumn id="169" xr3:uid="{D79D60FD-52D6-4491-A28B-5E4C365802D3}" uniqueName="169" name="Column169" queryTableFieldId="169"/>
    <tableColumn id="170" xr3:uid="{1739BCA6-36E3-4F98-BF19-CEEE92AF0E92}" uniqueName="170" name="Column170" queryTableFieldId="170"/>
    <tableColumn id="171" xr3:uid="{02D8AEAD-55A2-49F1-BB94-EE557A08A70F}" uniqueName="171" name="Column171" queryTableFieldId="171"/>
    <tableColumn id="172" xr3:uid="{8F2A8B01-16DA-4B7F-84E2-9E2673E9592D}" uniqueName="172" name="Column172" queryTableFieldId="172"/>
    <tableColumn id="173" xr3:uid="{FFE904B9-8E08-4BBF-BB59-491D1417BCD3}" uniqueName="173" name="Column173" queryTableFieldId="173"/>
    <tableColumn id="174" xr3:uid="{8A853BB8-4411-4EDF-AE68-B36BEC5D38CC}" uniqueName="174" name="Column174" queryTableFieldId="174"/>
    <tableColumn id="175" xr3:uid="{43AE93DC-1DF4-482B-96AD-18587380F5C1}" uniqueName="175" name="Column175" queryTableFieldId="175"/>
    <tableColumn id="176" xr3:uid="{713912F4-4ABE-4704-8B8E-97700C21BF12}" uniqueName="176" name="Column176" queryTableFieldId="176"/>
    <tableColumn id="177" xr3:uid="{E031F495-C931-43AF-93C6-B83A36F54C64}" uniqueName="177" name="Column177" queryTableFieldId="177"/>
    <tableColumn id="178" xr3:uid="{0CDC9618-41D5-4695-B92F-34A719415217}" uniqueName="178" name="Column178" queryTableFieldId="178"/>
    <tableColumn id="179" xr3:uid="{9FF1698E-582C-45F8-802E-C53B8C417689}" uniqueName="179" name="Column179" queryTableFieldId="179"/>
    <tableColumn id="180" xr3:uid="{1E582C0C-1946-41B4-9D12-23613CB53239}" uniqueName="180" name="Column180" queryTableFieldId="180"/>
    <tableColumn id="181" xr3:uid="{CCA37ABD-1981-4678-9779-E10538D8ED70}" uniqueName="181" name="Column181" queryTableFieldId="181"/>
    <tableColumn id="182" xr3:uid="{1949BC2B-3793-4462-86BE-C3F00E8559FF}" uniqueName="182" name="Column182" queryTableFieldId="182"/>
    <tableColumn id="183" xr3:uid="{28BA57DA-A388-41CF-AE45-5CA6FF3E3D8A}" uniqueName="183" name="Column183" queryTableFieldId="183"/>
    <tableColumn id="184" xr3:uid="{B7F875A5-CDDF-45F5-AB7B-04811EC02E20}" uniqueName="184" name="Column184" queryTableFieldId="184"/>
    <tableColumn id="185" xr3:uid="{9CDBB298-2A57-4A94-AD0F-F045D9D3ED6C}" uniqueName="185" name="Column185" queryTableFieldId="185"/>
    <tableColumn id="186" xr3:uid="{680E13B0-11A7-423D-9522-C7168E79661D}" uniqueName="186" name="Column186" queryTableFieldId="186"/>
    <tableColumn id="187" xr3:uid="{4AC2B61D-A8AC-4084-A713-F6D16D651ED2}" uniqueName="187" name="Column187" queryTableFieldId="187"/>
    <tableColumn id="188" xr3:uid="{E052DDE9-FB73-49AB-BDF3-FB70BD82CC03}" uniqueName="188" name="Column188" queryTableFieldId="188"/>
    <tableColumn id="189" xr3:uid="{6B85F3FE-0591-4AF0-BB17-16614CF046D8}" uniqueName="189" name="Column189" queryTableFieldId="189"/>
    <tableColumn id="190" xr3:uid="{5A6B0795-061A-4A55-8B9F-07947BB33691}" uniqueName="190" name="Column190" queryTableFieldId="190"/>
    <tableColumn id="191" xr3:uid="{C65D4150-4C60-4333-B62F-E4F17E700473}" uniqueName="191" name="Column191" queryTableFieldId="191"/>
    <tableColumn id="192" xr3:uid="{75B1CA5C-229C-41C6-BD88-AE87524FAA93}" uniqueName="192" name="Column192" queryTableFieldId="192"/>
    <tableColumn id="193" xr3:uid="{DAE8727A-4C26-421F-A01C-B71B74F3871A}" uniqueName="193" name="Column193" queryTableFieldId="193"/>
    <tableColumn id="194" xr3:uid="{D32B9235-D382-4AE1-9417-B2E71F55260F}" uniqueName="194" name="Column194" queryTableFieldId="194"/>
    <tableColumn id="195" xr3:uid="{E0EAF62B-A0FA-42E1-AC33-956332990ED0}" uniqueName="195" name="Column195" queryTableFieldId="195"/>
    <tableColumn id="196" xr3:uid="{F4B69C50-A259-4B2E-A317-CB3C6F69F247}" uniqueName="196" name="Column196" queryTableFieldId="196"/>
    <tableColumn id="197" xr3:uid="{7BF6C3AA-2CCC-4698-8AD6-B802A220EFA1}" uniqueName="197" name="Column197" queryTableFieldId="197"/>
    <tableColumn id="198" xr3:uid="{ECBDAE45-48F4-4E0D-BFCA-EF53D4937947}" uniqueName="198" name="Column198" queryTableFieldId="198"/>
    <tableColumn id="199" xr3:uid="{06041A5C-C204-4AF9-9A31-2E15EE96AE0B}" uniqueName="199" name="Column199" queryTableFieldId="199"/>
    <tableColumn id="200" xr3:uid="{050756D1-DD40-472E-8D1E-7ED4154A6E11}" uniqueName="200" name="Column200" queryTableFieldId="200"/>
    <tableColumn id="201" xr3:uid="{AE681164-62B9-4F34-A6B5-0C75DD469E92}" uniqueName="201" name="Column201" queryTableFieldId="201"/>
    <tableColumn id="202" xr3:uid="{B93B3BD9-E93B-41E1-8A43-84CBB9225F46}" uniqueName="202" name="Column202" queryTableFieldId="202"/>
    <tableColumn id="203" xr3:uid="{E2BC26CA-9820-457B-A2A6-186D4247BA5B}" uniqueName="203" name="Column203" queryTableFieldId="203"/>
    <tableColumn id="204" xr3:uid="{8A0CA49E-1D9F-4ECE-AEFB-6E8899328850}" uniqueName="204" name="Column204" queryTableFieldId="204"/>
    <tableColumn id="205" xr3:uid="{84A887D1-6785-46D4-8E31-626197455E15}" uniqueName="205" name="Column205" queryTableFieldId="205"/>
    <tableColumn id="206" xr3:uid="{37BE962A-D66B-4677-9003-3FEFBF6796EE}" uniqueName="206" name="Column206" queryTableFieldId="206"/>
    <tableColumn id="207" xr3:uid="{D3E903CD-F218-47D4-9E3A-970738B7DD39}" uniqueName="207" name="Column207" queryTableFieldId="207"/>
    <tableColumn id="208" xr3:uid="{7562ACD1-D569-4610-AABF-02107A21482A}" uniqueName="208" name="Column208" queryTableFieldId="208"/>
    <tableColumn id="209" xr3:uid="{F39C1ED3-A281-4C56-A823-A8998F5F2AEC}" uniqueName="209" name="Column209" queryTableFieldId="209"/>
    <tableColumn id="210" xr3:uid="{2DC76A61-5615-4DE5-95E0-39907A9A446E}" uniqueName="210" name="Column210" queryTableFieldId="210"/>
    <tableColumn id="211" xr3:uid="{C2ECC7E1-AF12-4421-9ECD-B3420A51A17D}" uniqueName="211" name="Column211" queryTableFieldId="211"/>
    <tableColumn id="212" xr3:uid="{87AC9251-F75D-447E-BE94-66FE02691FAF}" uniqueName="212" name="Column212" queryTableFieldId="212"/>
    <tableColumn id="213" xr3:uid="{863E71E7-56FF-488B-A48D-8D8618B4009A}" uniqueName="213" name="Column213" queryTableFieldId="213"/>
    <tableColumn id="214" xr3:uid="{90E8E85C-AE8B-4339-B0A2-6DF425FF7614}" uniqueName="214" name="Column214" queryTableFieldId="214"/>
    <tableColumn id="215" xr3:uid="{8D055B5B-76C0-4464-BE24-CB53B40B2BF5}" uniqueName="215" name="Column215" queryTableFieldId="215"/>
    <tableColumn id="216" xr3:uid="{46B12A29-8122-4D16-A344-2428D8825FC8}" uniqueName="216" name="Column216" queryTableFieldId="216"/>
    <tableColumn id="217" xr3:uid="{DD47A3F8-D8D3-4316-93DF-F4AAFB1C8E80}" uniqueName="217" name="Column217" queryTableFieldId="217"/>
    <tableColumn id="218" xr3:uid="{FD3BDBF4-1DD4-4172-B5B7-EEFD268BF5BE}" uniqueName="218" name="Column218" queryTableFieldId="218"/>
    <tableColumn id="219" xr3:uid="{5CF2963E-D69E-46D4-AC58-8EB6674BB2A4}" uniqueName="219" name="Column219" queryTableFieldId="219"/>
    <tableColumn id="220" xr3:uid="{C088E420-BED6-403A-A599-B6BC9540E262}" uniqueName="220" name="Column220" queryTableFieldId="220"/>
    <tableColumn id="221" xr3:uid="{2BB07423-2103-45E4-A01D-681337F64127}" uniqueName="221" name="Column221" queryTableFieldId="221"/>
    <tableColumn id="222" xr3:uid="{816B4F5D-F480-470D-AD42-869DD565A078}" uniqueName="222" name="Column222" queryTableFieldId="222"/>
    <tableColumn id="223" xr3:uid="{B5DB3F7F-9CFD-4287-B55D-CEE665BFE3B5}" uniqueName="223" name="Column223" queryTableFieldId="223"/>
    <tableColumn id="224" xr3:uid="{1FE99848-CE3F-4154-BFEC-DCCDE503C071}" uniqueName="224" name="Column224" queryTableFieldId="224"/>
    <tableColumn id="225" xr3:uid="{D4D8ECFB-37D9-45F5-8EF8-B36B676FBF6B}" uniqueName="225" name="Column225" queryTableFieldId="225"/>
    <tableColumn id="226" xr3:uid="{7EE18D1E-9CAB-42E3-86F5-D1A792758328}" uniqueName="226" name="Column226" queryTableFieldId="226"/>
    <tableColumn id="227" xr3:uid="{697A6019-D8A7-4FD9-867F-4FCC1D51D5BD}" uniqueName="227" name="Column227" queryTableFieldId="227"/>
    <tableColumn id="228" xr3:uid="{9EDC1E36-7174-4D2C-AAB7-86979E68C9A6}" uniqueName="228" name="Column228" queryTableFieldId="228"/>
    <tableColumn id="229" xr3:uid="{57AF7357-D504-4A9D-8FF4-CEC18C1E95FD}" uniqueName="229" name="Column229" queryTableFieldId="229"/>
    <tableColumn id="230" xr3:uid="{F3C7275D-2703-4D22-80EA-22431E1D7EDF}" uniqueName="230" name="Column230" queryTableFieldId="230"/>
    <tableColumn id="231" xr3:uid="{68DD0B02-EBD6-4CF3-BF05-69D4445EC4EC}" uniqueName="231" name="Column231" queryTableFieldId="231"/>
    <tableColumn id="232" xr3:uid="{5752AF6E-9C23-4104-A755-7B0E073E7F38}" uniqueName="232" name="Column232" queryTableFieldId="232"/>
    <tableColumn id="233" xr3:uid="{5C14D2F0-2005-4AD3-9CF8-C12E3830F37F}" uniqueName="233" name="Column233" queryTableFieldId="233"/>
    <tableColumn id="234" xr3:uid="{D75160DB-FA19-4ABA-A457-960FF5147D70}" uniqueName="234" name="Column234" queryTableFieldId="234"/>
    <tableColumn id="235" xr3:uid="{1AB51212-0E87-4A0F-8DAD-B90C2AF85323}" uniqueName="235" name="Column235" queryTableFieldId="235"/>
    <tableColumn id="236" xr3:uid="{F7B80AE8-647D-499A-A4B9-1703FA8C93E4}" uniqueName="236" name="Column236" queryTableFieldId="236"/>
    <tableColumn id="237" xr3:uid="{1ADA65DC-95A0-4CAA-BC33-66F60087318A}" uniqueName="237" name="Column237" queryTableFieldId="237"/>
    <tableColumn id="238" xr3:uid="{2079F3F6-F2CB-494A-A7D6-90505D02E7B9}" uniqueName="238" name="Column238" queryTableFieldId="238"/>
    <tableColumn id="239" xr3:uid="{0775464A-1460-4C26-8EBB-2960C76B3EE5}" uniqueName="239" name="Column239" queryTableFieldId="239"/>
    <tableColumn id="240" xr3:uid="{13DF1549-74A5-4859-8550-F08FC00DB018}" uniqueName="240" name="Column240" queryTableFieldId="240"/>
    <tableColumn id="241" xr3:uid="{7FD81B0B-74C6-460E-8EC4-031DDF7E1EEF}" uniqueName="241" name="Column241" queryTableFieldId="241"/>
    <tableColumn id="242" xr3:uid="{416A2FAE-40D8-4B16-9F6F-CC84D8C54924}" uniqueName="242" name="Column242" queryTableFieldId="242"/>
    <tableColumn id="243" xr3:uid="{D534D0D5-A00F-4A69-A747-C12B19C3F103}" uniqueName="243" name="Column243" queryTableFieldId="243"/>
    <tableColumn id="244" xr3:uid="{101DD47B-C0AA-46CD-B941-F1026B2DC966}" uniqueName="244" name="Column244" queryTableFieldId="244"/>
    <tableColumn id="245" xr3:uid="{E1D0C067-F37F-4AC7-9A11-5809976F60BE}" uniqueName="245" name="Column245" queryTableFieldId="245"/>
    <tableColumn id="246" xr3:uid="{B397B0A7-66F7-44B5-AC11-95B4ED29A731}" uniqueName="246" name="Column246" queryTableFieldId="246"/>
    <tableColumn id="247" xr3:uid="{96EB04E2-0B51-4DED-98E5-73CF1D30209C}" uniqueName="247" name="Column247" queryTableFieldId="247"/>
    <tableColumn id="248" xr3:uid="{3D6BC41B-7221-4960-8D6F-8EC5C8DE06A5}" uniqueName="248" name="Column248" queryTableFieldId="248"/>
    <tableColumn id="249" xr3:uid="{91BF84F8-A535-45BD-980C-FF4FA87C75F0}" uniqueName="249" name="Column249" queryTableFieldId="249"/>
    <tableColumn id="250" xr3:uid="{CF326648-25BE-4203-8548-1C25D76D04BF}" uniqueName="250" name="Column250" queryTableFieldId="250"/>
    <tableColumn id="251" xr3:uid="{5C515BE7-D8EC-47C8-B478-140CF3B42F8A}" uniqueName="251" name="Column251" queryTableFieldId="251"/>
    <tableColumn id="252" xr3:uid="{F0167C07-9CBB-4CCC-AD7F-3B62D96C2EBB}" uniqueName="252" name="Column252" queryTableFieldId="252"/>
    <tableColumn id="253" xr3:uid="{D0A077B1-C58B-4003-AF46-82A7320A58BB}" uniqueName="253" name="Column253" queryTableFieldId="253"/>
    <tableColumn id="254" xr3:uid="{02DB14DE-EF2B-4454-A9A4-98E6D9541220}" uniqueName="254" name="Column254" queryTableFieldId="254"/>
    <tableColumn id="255" xr3:uid="{71BB53A5-2F3C-45A9-AB5B-0BCB6385CDBA}" uniqueName="255" name="Column255" queryTableFieldId="255"/>
    <tableColumn id="256" xr3:uid="{683B443D-CD77-469E-830D-A66A5CC0CDBB}" uniqueName="256" name="Column256" queryTableFieldId="2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060A-1092-4A2B-ACA0-7CA6AAFFE185}">
  <sheetPr transitionEvaluation="1" codeName="Sheet3">
    <pageSetUpPr autoPageBreaks="0"/>
  </sheetPr>
  <dimension ref="A1:SS366"/>
  <sheetViews>
    <sheetView tabSelected="1" zoomScale="97" zoomScaleNormal="200" workbookViewId="0">
      <pane ySplit="2" topLeftCell="A20" activePane="bottomLeft" state="frozen"/>
      <selection pane="bottomLeft" sqref="A1:E1"/>
    </sheetView>
  </sheetViews>
  <sheetFormatPr defaultRowHeight="15" customHeight="1" x14ac:dyDescent="0.25"/>
  <cols>
    <col min="1" max="1" width="9.140625" style="1" customWidth="1"/>
    <col min="2" max="22" width="9.140625" style="1"/>
    <col min="23" max="23" width="9.140625" style="1" customWidth="1"/>
    <col min="24" max="60" width="9.140625" style="1"/>
    <col min="61" max="253" width="9.140625" style="1" customWidth="1"/>
    <col min="254" max="271" width="9.140625" style="1"/>
    <col min="272" max="272" width="9.140625" style="1" customWidth="1"/>
    <col min="273" max="299" width="9.140625" style="1"/>
    <col min="300" max="300" width="9.140625" style="1" customWidth="1"/>
    <col min="301" max="16384" width="9.140625" style="1"/>
  </cols>
  <sheetData>
    <row r="1" spans="1:29" ht="15" customHeight="1" x14ac:dyDescent="0.25">
      <c r="A1" s="54" t="str" cm="1">
        <f t="array" aca="1" ref="A1" ca="1">LEFT(CELL("filename"),FIND("[",CELL("filename"))-1)</f>
        <v>C:\</v>
      </c>
      <c r="B1" s="54"/>
      <c r="C1" s="54"/>
      <c r="D1" s="54"/>
      <c r="E1" s="54"/>
      <c r="H1" s="22" t="s">
        <v>255</v>
      </c>
      <c r="J1" s="22" t="s">
        <v>274</v>
      </c>
      <c r="L1" s="22" t="s">
        <v>23</v>
      </c>
      <c r="N1" s="22" t="s">
        <v>578</v>
      </c>
    </row>
    <row r="2" spans="1:29" ht="15" customHeight="1" x14ac:dyDescent="0.25">
      <c r="H2" s="22" t="b">
        <v>1</v>
      </c>
      <c r="J2" s="22" t="b">
        <v>0</v>
      </c>
      <c r="L2" s="22">
        <f>IF(H2,0,IF(J2,IF(L2=0,1,0),L2))</f>
        <v>0</v>
      </c>
      <c r="N2" s="22" t="b">
        <f>D51</f>
        <v>0</v>
      </c>
    </row>
    <row r="4" spans="1:29" ht="15" customHeight="1" x14ac:dyDescent="0.25">
      <c r="B4" s="49" t="s">
        <v>599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1:29" ht="15" customHeight="1" x14ac:dyDescent="0.25"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1:29" ht="15" customHeight="1" x14ac:dyDescent="0.25">
      <c r="B6" s="2" t="s">
        <v>23</v>
      </c>
      <c r="C6" s="3"/>
      <c r="D6" s="2" t="s">
        <v>255</v>
      </c>
      <c r="E6" s="3"/>
      <c r="F6" s="2" t="s">
        <v>597</v>
      </c>
      <c r="G6" s="3"/>
      <c r="H6" s="2" t="s">
        <v>600</v>
      </c>
      <c r="I6" s="3"/>
      <c r="J6" s="2" t="s">
        <v>601</v>
      </c>
      <c r="K6" s="3"/>
      <c r="L6" s="2" t="s">
        <v>602</v>
      </c>
      <c r="M6" s="3"/>
      <c r="N6" s="2" t="s">
        <v>603</v>
      </c>
    </row>
    <row r="7" spans="1:29" ht="15" customHeight="1" x14ac:dyDescent="0.25">
      <c r="B7" s="2">
        <f>$L$2</f>
        <v>0</v>
      </c>
      <c r="C7" s="3"/>
      <c r="D7" s="2" t="b">
        <f>$H$2</f>
        <v>1</v>
      </c>
      <c r="E7" s="3"/>
      <c r="F7" s="2" t="b">
        <f>AP82</f>
        <v>0</v>
      </c>
      <c r="G7" s="3"/>
      <c r="H7" s="2">
        <f ca="1">Contoller!B19</f>
        <v>0</v>
      </c>
      <c r="I7" s="3"/>
      <c r="J7" s="2">
        <v>0</v>
      </c>
      <c r="K7" s="3"/>
      <c r="L7" s="2">
        <v>0</v>
      </c>
      <c r="M7" s="3"/>
      <c r="N7" s="2">
        <v>0</v>
      </c>
    </row>
    <row r="8" spans="1:29" ht="15" customHeight="1" x14ac:dyDescent="0.25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29" ht="15" customHeight="1" x14ac:dyDescent="0.25">
      <c r="B9" s="66" t="s">
        <v>606</v>
      </c>
      <c r="C9" s="66"/>
      <c r="D9" s="3"/>
      <c r="E9" s="3"/>
      <c r="F9" s="3"/>
      <c r="G9" s="3"/>
      <c r="H9" s="29" t="s">
        <v>600</v>
      </c>
      <c r="I9" s="3"/>
      <c r="J9" s="29" t="s">
        <v>601</v>
      </c>
      <c r="K9" s="3"/>
      <c r="L9" s="29" t="s">
        <v>602</v>
      </c>
      <c r="M9" s="3"/>
      <c r="N9" s="29" t="s">
        <v>603</v>
      </c>
    </row>
    <row r="10" spans="1:29" ht="15" customHeight="1" x14ac:dyDescent="0.25">
      <c r="B10" s="29">
        <f>IF($D$7,0,IF($H$10=1,0,IF($J$10=1,0,IF($L$10=1,1,IF($N$10=1,1,0)))))</f>
        <v>0</v>
      </c>
      <c r="C10" s="29">
        <f>IF($D$7,0,IF($H$10=1,0,IF($J$10=1,1,IF($L$10=1,0,IF($N$10=1,1,0)))))</f>
        <v>0</v>
      </c>
      <c r="D10" s="3"/>
      <c r="E10" s="3"/>
      <c r="F10" s="3"/>
      <c r="G10" s="3"/>
      <c r="H10" s="29">
        <f>IF($D$7,0,IF(H7,1,IF($B$7,IF($F$7,IF($B$10=0,IF($C$10=0,0,H10),H10),H10),H10)))</f>
        <v>0</v>
      </c>
      <c r="I10" s="3"/>
      <c r="J10" s="29">
        <f>IF($D$7,0,IF(F7,0,IF(J7,1,IF($B$7,IF($F$7,IF($B$10=0,IF($C$10=0,0,J10),J10),J10),J10))))</f>
        <v>0</v>
      </c>
      <c r="K10" s="3"/>
      <c r="L10" s="29">
        <f>IF($D$7,0,IF(H7,0,IF(L7,1,IF($B$7,IF($F$7,IF($B$10=0,IF($C$10=0,0,L10),L10),L10),L10))))</f>
        <v>0</v>
      </c>
      <c r="M10" s="3"/>
      <c r="N10" s="29">
        <f>IF($D$7,0,IF(J7,0,IF(N7,1,IF($B$7,IF($F$7,IF($B$10=0,IF($C$10=0,0,N10),N10),N10),N10))))</f>
        <v>0</v>
      </c>
    </row>
    <row r="11" spans="1:29" ht="15" customHeight="1" x14ac:dyDescent="0.25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</row>
    <row r="12" spans="1:29" ht="15" customHeight="1" x14ac:dyDescent="0.25">
      <c r="B12" s="3"/>
      <c r="C12" s="3"/>
      <c r="D12" s="19" t="s">
        <v>609</v>
      </c>
      <c r="E12" s="3"/>
      <c r="F12" s="3"/>
      <c r="G12" s="3"/>
      <c r="H12" s="3"/>
      <c r="I12" s="48" t="s">
        <v>606</v>
      </c>
      <c r="J12" s="48"/>
      <c r="K12" s="3"/>
      <c r="L12" s="3"/>
      <c r="M12" s="3"/>
      <c r="N12" s="3"/>
    </row>
    <row r="13" spans="1:29" ht="15" customHeight="1" x14ac:dyDescent="0.25">
      <c r="B13" s="3"/>
      <c r="C13" s="3"/>
      <c r="D13" s="19" t="b">
        <f>OR(H10,J10,L10,N10)</f>
        <v>0</v>
      </c>
      <c r="E13" s="3"/>
      <c r="F13" s="3"/>
      <c r="G13" s="3"/>
      <c r="H13" s="3"/>
      <c r="I13" s="19">
        <f>B10</f>
        <v>0</v>
      </c>
      <c r="J13" s="19">
        <f>C10</f>
        <v>0</v>
      </c>
      <c r="K13" s="3"/>
      <c r="L13" s="3"/>
      <c r="M13" s="3"/>
      <c r="N13" s="3"/>
    </row>
    <row r="16" spans="1:29" ht="15" customHeight="1" x14ac:dyDescent="0.25">
      <c r="B16" s="49" t="s">
        <v>116</v>
      </c>
      <c r="C16" s="49"/>
      <c r="D16" s="49"/>
      <c r="E16" s="49"/>
      <c r="F16" s="49"/>
      <c r="G16" s="49"/>
      <c r="H16" s="49"/>
      <c r="I16" s="49"/>
      <c r="J16" s="49"/>
      <c r="K16" s="49"/>
      <c r="M16" s="49" t="s">
        <v>608</v>
      </c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</row>
    <row r="17" spans="2:37" ht="15" customHeight="1" x14ac:dyDescent="0.25">
      <c r="B17" s="49"/>
      <c r="C17" s="49"/>
      <c r="D17" s="49"/>
      <c r="E17" s="49"/>
      <c r="F17" s="49"/>
      <c r="G17" s="49"/>
      <c r="H17" s="49"/>
      <c r="I17" s="49"/>
      <c r="J17" s="49"/>
      <c r="K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2:37" ht="15" customHeight="1" x14ac:dyDescent="0.25">
      <c r="B18" s="19" t="s">
        <v>23</v>
      </c>
      <c r="C18" s="3"/>
      <c r="D18" s="19" t="s">
        <v>255</v>
      </c>
      <c r="E18" s="3"/>
      <c r="F18" s="19" t="s">
        <v>0</v>
      </c>
      <c r="G18" s="19" t="s">
        <v>6</v>
      </c>
      <c r="H18" s="19" t="s">
        <v>4</v>
      </c>
      <c r="I18" s="19" t="s">
        <v>5</v>
      </c>
      <c r="J18" s="3" t="s">
        <v>622</v>
      </c>
      <c r="K18" s="19" t="s">
        <v>598</v>
      </c>
      <c r="M18" s="2" t="s">
        <v>23</v>
      </c>
      <c r="N18" s="3"/>
      <c r="O18" s="2" t="s">
        <v>22</v>
      </c>
      <c r="P18" s="3"/>
      <c r="Q18" s="2" t="s">
        <v>609</v>
      </c>
      <c r="R18" s="3"/>
      <c r="S18" s="47" t="s">
        <v>606</v>
      </c>
      <c r="T18" s="47"/>
      <c r="U18" s="3"/>
      <c r="V18" s="3"/>
      <c r="W18" s="3"/>
      <c r="X18" s="3"/>
      <c r="Y18" s="3"/>
      <c r="Z18" s="3"/>
      <c r="AA18" s="3"/>
      <c r="AB18" s="3"/>
      <c r="AC18" s="3"/>
    </row>
    <row r="19" spans="2:37" ht="15" customHeight="1" x14ac:dyDescent="0.25">
      <c r="B19" s="19">
        <f>L2</f>
        <v>0</v>
      </c>
      <c r="C19" s="3"/>
      <c r="D19" s="19" t="b">
        <f>H2</f>
        <v>1</v>
      </c>
      <c r="E19" s="3"/>
      <c r="F19" s="19">
        <f>IF(D19,0,IF($B$19,AH228,F19))</f>
        <v>0</v>
      </c>
      <c r="G19" s="19">
        <f>IF(D19,0,IF($B$19,AJ228,G19))</f>
        <v>0</v>
      </c>
      <c r="H19" s="19">
        <f>IF(D19,0,IF($B$19,AH229,H19))</f>
        <v>0</v>
      </c>
      <c r="I19" s="19">
        <f>IF(D19,0,IF($B$19,AJ229,I19))</f>
        <v>0</v>
      </c>
      <c r="J19" s="3">
        <f>IF(D19,0,IF(M19,K19,J19))</f>
        <v>0</v>
      </c>
      <c r="K19" s="19">
        <f>IF(D19,0,IF($B$19,AH230,K19))</f>
        <v>0</v>
      </c>
      <c r="M19" s="2">
        <f>L2</f>
        <v>0</v>
      </c>
      <c r="N19" s="3"/>
      <c r="O19" s="2" t="b">
        <f ca="1">IF(M19,IF(K19,AO82,NOT(J19)),O19)</f>
        <v>1</v>
      </c>
      <c r="P19" s="3"/>
      <c r="Q19" s="2" t="b">
        <f ca="1">IF($M$19,D13,Q19)</f>
        <v>0</v>
      </c>
      <c r="R19" s="3"/>
      <c r="S19" s="2">
        <f ca="1">IF($M$19,I13,S19)</f>
        <v>0</v>
      </c>
      <c r="T19" s="2">
        <f ca="1">IF($M$19,J13,T19)</f>
        <v>0</v>
      </c>
      <c r="U19" s="3"/>
      <c r="V19" s="3"/>
      <c r="W19" s="3"/>
      <c r="X19" s="3"/>
      <c r="Y19" s="3"/>
      <c r="Z19" s="3"/>
      <c r="AA19" s="3"/>
      <c r="AB19" s="3"/>
      <c r="AC19" s="3"/>
    </row>
    <row r="20" spans="2:37" ht="15" customHeight="1" x14ac:dyDescent="0.25"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2:37" ht="15" customHeight="1" x14ac:dyDescent="0.25">
      <c r="M21" s="19" t="s">
        <v>290</v>
      </c>
      <c r="N21" s="3"/>
      <c r="O21" s="48" t="s">
        <v>626</v>
      </c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3"/>
      <c r="AB21" s="19" t="s">
        <v>610</v>
      </c>
      <c r="AC21" s="19" t="s">
        <v>611</v>
      </c>
    </row>
    <row r="22" spans="2:37" ht="15" customHeight="1" x14ac:dyDescent="0.25">
      <c r="M22" s="19" t="b">
        <f ca="1">AND(O19,Q19)</f>
        <v>0</v>
      </c>
      <c r="N22" s="3"/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f ca="1">S19</f>
        <v>0</v>
      </c>
      <c r="Z22" s="19">
        <f ca="1">T19</f>
        <v>0</v>
      </c>
      <c r="AA22" s="3"/>
      <c r="AB22" s="19" t="b">
        <f ca="1">M22</f>
        <v>0</v>
      </c>
      <c r="AC22" s="19" t="b">
        <f ca="1">M22</f>
        <v>0</v>
      </c>
    </row>
    <row r="25" spans="2:37" ht="15" customHeight="1" x14ac:dyDescent="0.25">
      <c r="B25" s="49" t="s">
        <v>311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</row>
    <row r="26" spans="2:37" ht="15" customHeight="1" x14ac:dyDescent="0.25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T26" s="49" t="s">
        <v>596</v>
      </c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</row>
    <row r="27" spans="2:37" ht="15" customHeight="1" x14ac:dyDescent="0.25">
      <c r="B27" s="3"/>
      <c r="C27" s="2" t="s">
        <v>23</v>
      </c>
      <c r="D27" s="3"/>
      <c r="E27" s="47" t="s">
        <v>214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3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</row>
    <row r="28" spans="2:37" ht="15" customHeight="1" x14ac:dyDescent="0.25">
      <c r="B28" s="3"/>
      <c r="C28" s="2">
        <f>L2</f>
        <v>0</v>
      </c>
      <c r="D28" s="3"/>
      <c r="E28" s="2">
        <f t="shared" ref="E28:J28" si="0">M261</f>
        <v>0</v>
      </c>
      <c r="F28" s="2">
        <f t="shared" si="0"/>
        <v>0</v>
      </c>
      <c r="G28" s="2">
        <f t="shared" si="0"/>
        <v>0</v>
      </c>
      <c r="H28" s="2">
        <f t="shared" si="0"/>
        <v>0</v>
      </c>
      <c r="I28" s="2">
        <f t="shared" si="0"/>
        <v>0</v>
      </c>
      <c r="J28" s="2">
        <f t="shared" si="0"/>
        <v>0</v>
      </c>
      <c r="K28" s="2">
        <f t="shared" ref="K28:P28" si="1">S261</f>
        <v>0</v>
      </c>
      <c r="L28" s="2">
        <f t="shared" si="1"/>
        <v>0</v>
      </c>
      <c r="M28" s="2">
        <f t="shared" si="1"/>
        <v>0</v>
      </c>
      <c r="N28" s="2">
        <f t="shared" si="1"/>
        <v>1</v>
      </c>
      <c r="O28" s="2">
        <f t="shared" si="1"/>
        <v>0</v>
      </c>
      <c r="P28" s="2">
        <f t="shared" si="1"/>
        <v>0</v>
      </c>
      <c r="Q28" s="3"/>
      <c r="T28" s="19" t="s">
        <v>290</v>
      </c>
      <c r="U28" s="3"/>
      <c r="V28" s="48" t="s">
        <v>292</v>
      </c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pans="2:37" ht="15" customHeight="1" x14ac:dyDescent="0.25">
      <c r="B29" s="7"/>
      <c r="C29" s="7"/>
      <c r="D29" s="7"/>
      <c r="E29" s="50">
        <f>(E28*128)+(F28*64)+(G28*32)+(H28*16)+(I28*8)+(J28*4)+(K28*2)+(L28*1)+1</f>
        <v>1</v>
      </c>
      <c r="F29" s="50"/>
      <c r="G29" s="50"/>
      <c r="H29" s="50"/>
      <c r="I29" s="50">
        <f>(((I28*8)+(J28*4)+(K28*2)+(L28*1))*16)+1</f>
        <v>1</v>
      </c>
      <c r="J29" s="50"/>
      <c r="K29" s="50"/>
      <c r="L29" s="50"/>
      <c r="M29" s="55">
        <f>(((M28*8)+(N28*4)+(O28*2)+(P28*1))*16)+1</f>
        <v>65</v>
      </c>
      <c r="N29" s="55"/>
      <c r="O29" s="55"/>
      <c r="P29" s="55"/>
      <c r="Q29" s="7"/>
      <c r="T29" s="19" t="b">
        <v>0</v>
      </c>
      <c r="U29" s="3"/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</row>
    <row r="30" spans="2:37" ht="15" customHeight="1" x14ac:dyDescent="0.25">
      <c r="B30" s="48" t="s">
        <v>621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spans="2:37" ht="15" customHeight="1" x14ac:dyDescent="0.25">
      <c r="B31" s="19" cm="1">
        <f t="array" ref="B31">INDEX(ROM[],$E$29,$M$29+(COLUMN()-COLUMN($B$31)))</f>
        <v>0</v>
      </c>
      <c r="C31" s="19" cm="1">
        <f t="array" ref="C31">INDEX(ROM[],$E$29,$M$29+(COLUMN()-COLUMN($B$31)))</f>
        <v>0</v>
      </c>
      <c r="D31" s="19" cm="1">
        <f t="array" ref="D31">INDEX(ROM[],$E$29,$M$29+(COLUMN()-COLUMN($B$31)))</f>
        <v>1</v>
      </c>
      <c r="E31" s="19" cm="1">
        <f t="array" ref="E31">INDEX(ROM[],$E$29,$M$29+(COLUMN()-COLUMN($B$31)))</f>
        <v>0</v>
      </c>
      <c r="F31" s="19" cm="1">
        <f t="array" ref="F31">INDEX(ROM[],$E$29,$M$29+(COLUMN()-COLUMN($B$31)))</f>
        <v>1</v>
      </c>
      <c r="G31" s="19" cm="1">
        <f t="array" ref="G31">INDEX(ROM[],$E$29,$M$29+(COLUMN()-COLUMN($B$31)))</f>
        <v>1</v>
      </c>
      <c r="H31" s="19" cm="1">
        <f t="array" ref="H31">INDEX(ROM[],$E$29,$M$29+(COLUMN()-COLUMN($B$31)))</f>
        <v>1</v>
      </c>
      <c r="I31" s="19" cm="1">
        <f t="array" ref="I31">INDEX(ROM[],$E$29,$M$29+(COLUMN()-COLUMN($B$31)))</f>
        <v>1</v>
      </c>
      <c r="J31" s="19" cm="1">
        <f t="array" ref="J31">INDEX(ROM[],$E$29,$M$29+(COLUMN()-COLUMN($B$31)))</f>
        <v>1</v>
      </c>
      <c r="K31" s="19" cm="1">
        <f t="array" ref="K31">INDEX(ROM[],$E$29,$M$29+(COLUMN()-COLUMN($B$31)))</f>
        <v>1</v>
      </c>
      <c r="L31" s="19" cm="1">
        <f t="array" ref="L31">INDEX(ROM[],$E$29,$M$29+(COLUMN()-COLUMN($B$31)))</f>
        <v>1</v>
      </c>
      <c r="M31" s="19" cm="1">
        <f t="array" ref="M31">INDEX(ROM[],$E$29,$M$29+(COLUMN()-COLUMN($B$31)))</f>
        <v>1</v>
      </c>
      <c r="N31" s="19" cm="1">
        <f t="array" ref="N31">INDEX(ROM[],$E$29,$M$29+(COLUMN()-COLUMN($B$31)))</f>
        <v>1</v>
      </c>
      <c r="O31" s="19" cm="1">
        <f t="array" ref="O31">INDEX(ROM[],$E$29,$M$29+(COLUMN()-COLUMN($B$31)))</f>
        <v>1</v>
      </c>
      <c r="P31" s="19" cm="1">
        <f t="array" ref="P31">INDEX(ROM[],$E$29,$M$29+(COLUMN()-COLUMN($B$31)))</f>
        <v>1</v>
      </c>
      <c r="Q31" s="19" cm="1">
        <f t="array" ref="Q31">INDEX(ROM[],$E$29,$M$29+(COLUMN()-COLUMN($B$31)))</f>
        <v>1</v>
      </c>
    </row>
    <row r="33" spans="2:44" ht="15" customHeight="1" x14ac:dyDescent="0.25">
      <c r="D33" s="1" t="s">
        <v>623</v>
      </c>
    </row>
    <row r="34" spans="2:44" ht="15" customHeight="1" x14ac:dyDescent="0.25">
      <c r="B34" s="49" t="s">
        <v>579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</row>
    <row r="35" spans="2:44" ht="15" customHeight="1" x14ac:dyDescent="0.25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</row>
    <row r="36" spans="2:44" ht="15" customHeight="1" x14ac:dyDescent="0.25">
      <c r="B36" s="3"/>
      <c r="C36" s="3"/>
      <c r="D36" s="3"/>
      <c r="E36" s="3"/>
      <c r="F36" s="3"/>
      <c r="G36" s="3"/>
      <c r="H36" s="3"/>
      <c r="I36" s="3"/>
      <c r="J36" s="3"/>
      <c r="K36" s="2" t="s">
        <v>23</v>
      </c>
      <c r="L36" s="3"/>
      <c r="M36" s="2" t="s">
        <v>255</v>
      </c>
      <c r="N36" s="3"/>
      <c r="O36" s="47" t="s">
        <v>292</v>
      </c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3"/>
      <c r="AF36" s="2" t="s">
        <v>598</v>
      </c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2" t="s">
        <v>610</v>
      </c>
      <c r="AR36" s="2" t="s">
        <v>611</v>
      </c>
    </row>
    <row r="37" spans="2:44" ht="15" customHeight="1" x14ac:dyDescent="0.25">
      <c r="B37" s="3"/>
      <c r="C37" s="3"/>
      <c r="D37" s="3"/>
      <c r="E37" s="3"/>
      <c r="F37" s="3"/>
      <c r="G37" s="3"/>
      <c r="H37" s="3"/>
      <c r="I37" s="3"/>
      <c r="J37" s="3"/>
      <c r="K37" s="2">
        <f>L2</f>
        <v>0</v>
      </c>
      <c r="L37" s="3"/>
      <c r="M37" s="2" t="b">
        <f>H2</f>
        <v>1</v>
      </c>
      <c r="N37" s="3"/>
      <c r="O37" s="2">
        <f t="shared" ref="O37:AD37" si="2">IF($M$37,0,IF($T$29,V29,IF($K$37,IF(AND($AN$82,$D$89),F89,B31),O37)))</f>
        <v>0</v>
      </c>
      <c r="P37" s="2">
        <f t="shared" si="2"/>
        <v>0</v>
      </c>
      <c r="Q37" s="2">
        <f t="shared" si="2"/>
        <v>0</v>
      </c>
      <c r="R37" s="2">
        <f t="shared" si="2"/>
        <v>0</v>
      </c>
      <c r="S37" s="2">
        <f t="shared" si="2"/>
        <v>0</v>
      </c>
      <c r="T37" s="2">
        <f t="shared" si="2"/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2">
        <f t="shared" si="2"/>
        <v>0</v>
      </c>
      <c r="Y37" s="2">
        <f t="shared" si="2"/>
        <v>0</v>
      </c>
      <c r="Z37" s="2">
        <f t="shared" si="2"/>
        <v>0</v>
      </c>
      <c r="AA37" s="2">
        <f t="shared" si="2"/>
        <v>0</v>
      </c>
      <c r="AB37" s="2">
        <f t="shared" si="2"/>
        <v>0</v>
      </c>
      <c r="AC37" s="2">
        <f t="shared" si="2"/>
        <v>0</v>
      </c>
      <c r="AD37" s="2">
        <f t="shared" si="2"/>
        <v>0</v>
      </c>
      <c r="AE37" s="3"/>
      <c r="AF37" s="2" t="b">
        <f ca="1">M22</f>
        <v>0</v>
      </c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2" t="b">
        <f ca="1">AB22</f>
        <v>0</v>
      </c>
      <c r="AR37" s="2" t="b">
        <f ca="1">AC22</f>
        <v>0</v>
      </c>
    </row>
    <row r="38" spans="2:44" ht="15" customHeight="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0">
        <f>(P37*4)+(Q37*2)+(R37*1)</f>
        <v>0</v>
      </c>
      <c r="Q38" s="50"/>
      <c r="R38" s="50"/>
      <c r="S38" s="55">
        <f>(S37*8)+(T37*4)+(U37*2)+(V37*1)</f>
        <v>0</v>
      </c>
      <c r="T38" s="55"/>
      <c r="U38" s="55"/>
      <c r="V38" s="55"/>
      <c r="W38" s="3"/>
      <c r="X38" s="3"/>
      <c r="Y38" s="3"/>
      <c r="Z38" s="3"/>
      <c r="AA38" s="51">
        <f>(AA37*8)+(AB37*4)+(AC37*2)+(AD37*1)</f>
        <v>0</v>
      </c>
      <c r="AB38" s="51"/>
      <c r="AC38" s="51"/>
      <c r="AD38" s="51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2:44" ht="15" customHeight="1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0">
        <f>(P37*2)+(Q37*1)</f>
        <v>0</v>
      </c>
      <c r="Q39" s="50"/>
      <c r="R39" s="3"/>
      <c r="S39" s="55">
        <f>(S37*4)+(T37*2)+(U37*1)</f>
        <v>0</v>
      </c>
      <c r="T39" s="55"/>
      <c r="U39" s="55"/>
      <c r="V39" s="3"/>
      <c r="W39" s="3"/>
      <c r="X39" s="3"/>
      <c r="Y39" s="3"/>
      <c r="Z39" s="3"/>
      <c r="AA39" s="51">
        <f>(AA37*4)+(AB37*2)+(AC37*1)</f>
        <v>0</v>
      </c>
      <c r="AB39" s="51"/>
      <c r="AC39" s="51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ht="15" customHeight="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2:4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7" t="s">
        <v>312</v>
      </c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2:44" ht="15" customHeight="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2">
        <f t="shared" ref="S42:AD42" ca="1" si="3">IF($AF$37,O22,S37)</f>
        <v>0</v>
      </c>
      <c r="T42" s="2">
        <f t="shared" ca="1" si="3"/>
        <v>0</v>
      </c>
      <c r="U42" s="2">
        <f t="shared" ca="1" si="3"/>
        <v>0</v>
      </c>
      <c r="V42" s="2">
        <f t="shared" ca="1" si="3"/>
        <v>0</v>
      </c>
      <c r="W42" s="2">
        <f t="shared" ca="1" si="3"/>
        <v>0</v>
      </c>
      <c r="X42" s="2">
        <f t="shared" ca="1" si="3"/>
        <v>0</v>
      </c>
      <c r="Y42" s="2">
        <f t="shared" ca="1" si="3"/>
        <v>0</v>
      </c>
      <c r="Z42" s="2">
        <f t="shared" ca="1" si="3"/>
        <v>0</v>
      </c>
      <c r="AA42" s="2">
        <f t="shared" ca="1" si="3"/>
        <v>0</v>
      </c>
      <c r="AB42" s="2">
        <f t="shared" ca="1" si="3"/>
        <v>0</v>
      </c>
      <c r="AC42" s="2">
        <f t="shared" ca="1" si="3"/>
        <v>0</v>
      </c>
      <c r="AD42" s="2">
        <f t="shared" ca="1" si="3"/>
        <v>0</v>
      </c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2:44" ht="15" customHeight="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2:44" ht="15" customHeight="1" x14ac:dyDescent="0.25">
      <c r="B44" s="7"/>
      <c r="C44" s="7"/>
      <c r="D44" s="56" t="s">
        <v>598</v>
      </c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</row>
    <row r="45" spans="2:44" ht="15" customHeight="1" x14ac:dyDescent="0.25">
      <c r="B45" s="7"/>
      <c r="C45" s="7"/>
      <c r="D45" s="56" t="b">
        <f ca="1">AF37</f>
        <v>0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</row>
    <row r="46" spans="2:44" ht="15" customHeight="1" x14ac:dyDescent="0.25">
      <c r="B46" s="7"/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48" t="s">
        <v>286</v>
      </c>
      <c r="R46" s="48"/>
      <c r="S46" s="48" t="s">
        <v>307</v>
      </c>
      <c r="T46" s="48"/>
      <c r="U46" s="3"/>
      <c r="V46" s="3"/>
      <c r="W46" s="19" t="s">
        <v>235</v>
      </c>
      <c r="X46" s="19" t="s">
        <v>304</v>
      </c>
      <c r="Y46" s="3"/>
      <c r="Z46" s="19" t="s">
        <v>295</v>
      </c>
      <c r="AA46" s="3"/>
      <c r="AB46" s="19" t="s">
        <v>251</v>
      </c>
      <c r="AC46" s="19" t="s">
        <v>252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2:44" ht="15" customHeight="1" x14ac:dyDescent="0.25">
      <c r="B47" s="7"/>
      <c r="C47" s="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9">
        <v>0</v>
      </c>
      <c r="R47" s="19" t="b">
        <f ca="1">D45</f>
        <v>0</v>
      </c>
      <c r="S47" s="48" t="b">
        <f ca="1">D45</f>
        <v>0</v>
      </c>
      <c r="T47" s="48"/>
      <c r="U47" s="3"/>
      <c r="V47" s="3"/>
      <c r="W47" s="19" t="b">
        <f ca="1">D45</f>
        <v>0</v>
      </c>
      <c r="X47" s="19" t="b">
        <f ca="1">D45</f>
        <v>0</v>
      </c>
      <c r="Y47" s="3"/>
      <c r="Z47" s="19" t="b">
        <f ca="1">D45</f>
        <v>0</v>
      </c>
      <c r="AA47" s="3"/>
      <c r="AB47" s="19" t="b">
        <f ca="1">D45</f>
        <v>0</v>
      </c>
      <c r="AC47" s="19">
        <v>0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2:44" ht="15" customHeight="1" x14ac:dyDescent="0.25">
      <c r="B48" s="62" t="s">
        <v>233</v>
      </c>
      <c r="C48" s="62" t="b">
        <f>NOT(O37)</f>
        <v>1</v>
      </c>
      <c r="D48" s="56" t="s">
        <v>185</v>
      </c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</row>
    <row r="49" spans="2:44" ht="15" customHeight="1" x14ac:dyDescent="0.25">
      <c r="B49" s="62"/>
      <c r="C49" s="62"/>
      <c r="D49" s="57" t="b">
        <f>IF(C48, P38=0, 0)</f>
        <v>1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</row>
    <row r="50" spans="2:44" ht="15" customHeight="1" x14ac:dyDescent="0.25">
      <c r="B50" s="62"/>
      <c r="C50" s="62"/>
      <c r="D50" s="19" t="s">
        <v>46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2:44" ht="15" customHeight="1" x14ac:dyDescent="0.25">
      <c r="B51" s="62"/>
      <c r="C51" s="62"/>
      <c r="D51" s="19" t="b">
        <f>IF(D49,AA38=1,0)</f>
        <v>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2:44" ht="15" customHeight="1" x14ac:dyDescent="0.25">
      <c r="B52" s="62"/>
      <c r="C52" s="62"/>
      <c r="D52" s="56" t="s">
        <v>231</v>
      </c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</row>
    <row r="53" spans="2:44" ht="15" customHeight="1" x14ac:dyDescent="0.25">
      <c r="B53" s="62"/>
      <c r="C53" s="62"/>
      <c r="D53" s="57" t="b">
        <f>IF(C48, P38=1, 0)</f>
        <v>0</v>
      </c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</row>
    <row r="54" spans="2:44" ht="15" customHeight="1" x14ac:dyDescent="0.25">
      <c r="B54" s="62"/>
      <c r="C54" s="62"/>
      <c r="D54" s="19" t="s">
        <v>210</v>
      </c>
      <c r="E54" s="19" t="s">
        <v>211</v>
      </c>
      <c r="F54" s="3"/>
      <c r="G54" s="19" t="s">
        <v>209</v>
      </c>
      <c r="H54" s="19" t="s">
        <v>208</v>
      </c>
      <c r="I54" s="48" t="s">
        <v>284</v>
      </c>
      <c r="J54" s="48"/>
      <c r="K54" s="48" t="s">
        <v>285</v>
      </c>
      <c r="L54" s="48"/>
      <c r="M54" s="48" t="s">
        <v>283</v>
      </c>
      <c r="N54" s="48"/>
      <c r="O54" s="48" t="s">
        <v>282</v>
      </c>
      <c r="P54" s="48"/>
      <c r="Q54" s="48" t="s">
        <v>286</v>
      </c>
      <c r="R54" s="48"/>
      <c r="S54" s="3"/>
      <c r="T54" s="3"/>
      <c r="U54" s="3"/>
      <c r="V54" s="19" t="s">
        <v>234</v>
      </c>
      <c r="W54" s="19" t="s">
        <v>235</v>
      </c>
      <c r="X54" s="3"/>
      <c r="Y54" s="3"/>
      <c r="Z54" s="3"/>
      <c r="AA54" s="3"/>
      <c r="AB54" s="19" t="s">
        <v>251</v>
      </c>
      <c r="AC54" s="19" t="s">
        <v>252</v>
      </c>
      <c r="AD54" s="19" t="s">
        <v>247</v>
      </c>
      <c r="AE54" s="19" t="s">
        <v>249</v>
      </c>
      <c r="AF54" s="48" t="s">
        <v>248</v>
      </c>
      <c r="AG54" s="48"/>
      <c r="AH54" s="48"/>
      <c r="AI54" s="48"/>
      <c r="AJ54" s="19" t="s">
        <v>0</v>
      </c>
      <c r="AK54" s="19" t="s">
        <v>6</v>
      </c>
      <c r="AL54" s="19" t="s">
        <v>4</v>
      </c>
      <c r="AM54" s="19" t="s">
        <v>5</v>
      </c>
      <c r="AN54" s="3"/>
      <c r="AO54" s="3"/>
      <c r="AP54" s="3"/>
      <c r="AQ54" s="3"/>
      <c r="AR54" s="3"/>
    </row>
    <row r="55" spans="2:44" ht="15" customHeight="1" x14ac:dyDescent="0.25">
      <c r="B55" s="62"/>
      <c r="C55" s="62"/>
      <c r="D55" s="19">
        <f>IF(D53, OR(AA38=1, AA38=2, AA38=5), 0)</f>
        <v>0</v>
      </c>
      <c r="E55" s="19">
        <f>IF(D53, AA38&lt;=1,0)</f>
        <v>0</v>
      </c>
      <c r="F55" s="3"/>
      <c r="G55" s="19">
        <f>IF(D53, AA38=3, 0)</f>
        <v>0</v>
      </c>
      <c r="H55" s="19">
        <f>IF(D53, AA38=4, 0)</f>
        <v>0</v>
      </c>
      <c r="I55" s="19">
        <f>IF(D53, AA38=1, 0)</f>
        <v>0</v>
      </c>
      <c r="J55" s="19">
        <v>0</v>
      </c>
      <c r="K55" s="19">
        <v>0</v>
      </c>
      <c r="L55" s="19">
        <f>IF(D53, AA38&lt;=1, 0)</f>
        <v>0</v>
      </c>
      <c r="M55" s="19" t="b">
        <f>IF(D53,AA38=3)</f>
        <v>0</v>
      </c>
      <c r="N55" s="19" t="b">
        <f>IF(D53,AA38=4)</f>
        <v>0</v>
      </c>
      <c r="O55" s="19">
        <v>0</v>
      </c>
      <c r="P55" s="19" t="b">
        <f>IF(D53,AA38=3)</f>
        <v>0</v>
      </c>
      <c r="Q55" s="19">
        <v>0</v>
      </c>
      <c r="R55" s="19" t="b">
        <f>IF(D53,AA38=2)</f>
        <v>0</v>
      </c>
      <c r="S55" s="3"/>
      <c r="T55" s="3"/>
      <c r="U55" s="3"/>
      <c r="V55" s="19" t="b">
        <f>IF(D53,OR(AA38=0,AA38=3,AA38=4))</f>
        <v>0</v>
      </c>
      <c r="W55" s="19" t="b">
        <f>IF(D53,AA38=2)</f>
        <v>0</v>
      </c>
      <c r="X55" s="3"/>
      <c r="Y55" s="3"/>
      <c r="Z55" s="3"/>
      <c r="AA55" s="3"/>
      <c r="AB55" s="19">
        <f>IF(D53, OR(AA38=2,AA38=3),0)</f>
        <v>0</v>
      </c>
      <c r="AC55" s="19">
        <f>IF(D53,AA38=3,0)</f>
        <v>0</v>
      </c>
      <c r="AD55" s="19">
        <f>IF(D53, AA38=5, 0)</f>
        <v>0</v>
      </c>
      <c r="AE55" s="19" t="b">
        <f>IF(D53,AA38=1)</f>
        <v>0</v>
      </c>
      <c r="AF55" s="19">
        <v>0</v>
      </c>
      <c r="AG55" s="19">
        <v>0</v>
      </c>
      <c r="AH55" s="19">
        <v>0</v>
      </c>
      <c r="AI55" s="19" t="b">
        <f>IF(D53,AA38=1)</f>
        <v>0</v>
      </c>
      <c r="AJ55" s="19" t="b">
        <f>IF(D53,AA38=1)</f>
        <v>0</v>
      </c>
      <c r="AK55" s="19" t="b">
        <f>IF(D53,AA38=1)</f>
        <v>0</v>
      </c>
      <c r="AL55" s="19" t="b">
        <f>IF(D53,AA38=1)</f>
        <v>0</v>
      </c>
      <c r="AM55" s="19" t="b">
        <f>IF(D53,AA38=1)</f>
        <v>0</v>
      </c>
      <c r="AN55" s="3"/>
      <c r="AO55" s="3"/>
      <c r="AP55" s="3"/>
      <c r="AQ55" s="3"/>
      <c r="AR55" s="3"/>
    </row>
    <row r="56" spans="2:44" ht="15" customHeight="1" x14ac:dyDescent="0.25">
      <c r="B56" s="62"/>
      <c r="C56" s="62"/>
      <c r="D56" s="56" t="s">
        <v>230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</row>
    <row r="57" spans="2:44" ht="15" customHeight="1" x14ac:dyDescent="0.25">
      <c r="B57" s="62"/>
      <c r="C57" s="62"/>
      <c r="D57" s="57">
        <f>IF(C48, IF(P38=2, 1, 0), 0)</f>
        <v>0</v>
      </c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</row>
    <row r="58" spans="2:44" ht="15" customHeight="1" x14ac:dyDescent="0.25">
      <c r="B58" s="62"/>
      <c r="C58" s="62"/>
      <c r="D58" s="19" t="s">
        <v>210</v>
      </c>
      <c r="E58" s="19" t="s">
        <v>211</v>
      </c>
      <c r="F58" s="3"/>
      <c r="G58" s="3"/>
      <c r="H58" s="3"/>
      <c r="I58" s="48" t="s">
        <v>284</v>
      </c>
      <c r="J58" s="48"/>
      <c r="K58" s="48" t="s">
        <v>285</v>
      </c>
      <c r="L58" s="48"/>
      <c r="M58" s="48" t="s">
        <v>283</v>
      </c>
      <c r="N58" s="48"/>
      <c r="O58" s="3"/>
      <c r="P58" s="3"/>
      <c r="Q58" s="3"/>
      <c r="R58" s="3"/>
      <c r="S58" s="48" t="s">
        <v>301</v>
      </c>
      <c r="T58" s="48"/>
      <c r="U58" s="3"/>
      <c r="V58" s="19" t="s">
        <v>234</v>
      </c>
      <c r="W58" s="3"/>
      <c r="X58" s="3"/>
      <c r="Y58" s="3"/>
      <c r="Z58" s="3"/>
      <c r="AA58" s="3"/>
      <c r="AB58" s="3"/>
      <c r="AC58" s="3"/>
      <c r="AD58" s="3"/>
      <c r="AE58" s="19" t="s">
        <v>249</v>
      </c>
      <c r="AF58" s="48" t="s">
        <v>248</v>
      </c>
      <c r="AG58" s="48"/>
      <c r="AH58" s="48"/>
      <c r="AI58" s="48"/>
      <c r="AJ58" s="19" t="s">
        <v>0</v>
      </c>
      <c r="AK58" s="19" t="s">
        <v>6</v>
      </c>
      <c r="AL58" s="19" t="s">
        <v>4</v>
      </c>
      <c r="AM58" s="19" t="s">
        <v>5</v>
      </c>
      <c r="AN58" s="3"/>
      <c r="AO58" s="3"/>
      <c r="AP58" s="3"/>
      <c r="AQ58" s="3"/>
      <c r="AR58" s="3"/>
    </row>
    <row r="59" spans="2:44" ht="15" customHeight="1" x14ac:dyDescent="0.25">
      <c r="B59" s="62"/>
      <c r="C59" s="62"/>
      <c r="D59" s="19">
        <f>IF(D57, AA38&gt;=2, 0)</f>
        <v>0</v>
      </c>
      <c r="E59" s="19">
        <f>IF(D57, OR(AA38&lt;=1, AA38&gt;=9), 0)</f>
        <v>0</v>
      </c>
      <c r="F59" s="3"/>
      <c r="G59" s="3"/>
      <c r="H59" s="3"/>
      <c r="I59" s="19" t="b">
        <f>IF(D57,AA38&gt;=2)</f>
        <v>0</v>
      </c>
      <c r="J59" s="19" t="b">
        <f>IF(D57, AA38=0)</f>
        <v>0</v>
      </c>
      <c r="K59" s="19">
        <v>0</v>
      </c>
      <c r="L59" s="19" t="b">
        <f>IF(D57,OR(AA38&lt;=1,AA38&gt;=9))</f>
        <v>0</v>
      </c>
      <c r="M59" s="19">
        <v>0</v>
      </c>
      <c r="N59" s="19">
        <v>0</v>
      </c>
      <c r="O59" s="3"/>
      <c r="P59" s="3"/>
      <c r="Q59" s="3"/>
      <c r="R59" s="3"/>
      <c r="S59" s="19">
        <v>0</v>
      </c>
      <c r="T59" s="19">
        <v>0</v>
      </c>
      <c r="U59" s="3"/>
      <c r="V59" s="19">
        <f>D57</f>
        <v>0</v>
      </c>
      <c r="W59" s="3"/>
      <c r="X59" s="3"/>
      <c r="Y59" s="3"/>
      <c r="Z59" s="3"/>
      <c r="AA59" s="3"/>
      <c r="AB59" s="3"/>
      <c r="AC59" s="3"/>
      <c r="AD59" s="3"/>
      <c r="AE59" s="19">
        <f>D57</f>
        <v>0</v>
      </c>
      <c r="AF59" s="19">
        <f>IF(D57,AND(AA38&gt;=5,AA38&lt;=8),0)</f>
        <v>0</v>
      </c>
      <c r="AG59" s="19">
        <f>IF(D57, OR(AA38=4, AA38&gt;=13), 0)</f>
        <v>0</v>
      </c>
      <c r="AH59" s="19">
        <f>IF(D57,OR(AA38=4,AA38=6,AA38=7,AA38=11,AA38=12,AA38=15),0)</f>
        <v>0</v>
      </c>
      <c r="AI59" s="19" t="b">
        <f>IF(D57, NOT(OR(AA38=2, AA38=5, AA38=6, AA38=9, AA38=11, AA38=13, AA38=15)))</f>
        <v>0</v>
      </c>
      <c r="AJ59" s="19" t="b">
        <f>IF(D57, NOT(OR(AA38=0, AA38=2, AA38=3, AA38&gt;=13)))</f>
        <v>0</v>
      </c>
      <c r="AK59" s="19" t="b">
        <f>IF(D57,OR(AA38&lt;=3,AA38&gt;=9))</f>
        <v>0</v>
      </c>
      <c r="AL59" s="19" t="b">
        <f>IF(D57,NOT(OR(AA38=0,AA38=5,AA38=8,AA38&gt;=13)))</f>
        <v>0</v>
      </c>
      <c r="AM59" s="19" t="b">
        <f>IF(D57,NOT(OR(AA38=6,AA38=7)))</f>
        <v>0</v>
      </c>
      <c r="AN59" s="3"/>
      <c r="AO59" s="3"/>
      <c r="AP59" s="3"/>
      <c r="AQ59" s="3"/>
      <c r="AR59" s="3"/>
    </row>
    <row r="60" spans="2:44" ht="15" customHeight="1" x14ac:dyDescent="0.25">
      <c r="B60" s="62"/>
      <c r="C60" s="62"/>
      <c r="D60" s="56" t="s">
        <v>275</v>
      </c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</row>
    <row r="61" spans="2:44" ht="15" customHeight="1" x14ac:dyDescent="0.25">
      <c r="B61" s="62"/>
      <c r="C61" s="62"/>
      <c r="D61" s="56" t="b">
        <f>IF(C48,P39=2)</f>
        <v>0</v>
      </c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</row>
    <row r="62" spans="2:44" ht="15" customHeight="1" x14ac:dyDescent="0.25">
      <c r="B62" s="62"/>
      <c r="C62" s="6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48" t="s">
        <v>286</v>
      </c>
      <c r="R62" s="48"/>
      <c r="S62" s="48" t="s">
        <v>307</v>
      </c>
      <c r="T62" s="48"/>
      <c r="U62" s="19" t="s">
        <v>624</v>
      </c>
      <c r="V62" s="3"/>
      <c r="W62" s="19" t="s">
        <v>235</v>
      </c>
      <c r="X62" s="19" t="s">
        <v>304</v>
      </c>
      <c r="Y62" s="3"/>
      <c r="Z62" s="19" t="s">
        <v>295</v>
      </c>
      <c r="AA62" s="3"/>
      <c r="AB62" s="19" t="s">
        <v>251</v>
      </c>
      <c r="AC62" s="19" t="s">
        <v>252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2:44" ht="15" customHeight="1" x14ac:dyDescent="0.25">
      <c r="B63" s="62"/>
      <c r="C63" s="6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9">
        <v>0</v>
      </c>
      <c r="R63" s="19" t="b">
        <f>D61</f>
        <v>0</v>
      </c>
      <c r="S63" s="48" t="b">
        <f>IF(D61,R37)</f>
        <v>0</v>
      </c>
      <c r="T63" s="48"/>
      <c r="U63" s="19" t="b">
        <f>IF(D61,R37)</f>
        <v>0</v>
      </c>
      <c r="V63" s="3"/>
      <c r="W63" s="19" t="b">
        <f>IF(D61,R37)</f>
        <v>0</v>
      </c>
      <c r="X63" s="19" t="b">
        <f>IF(D61,R37)</f>
        <v>0</v>
      </c>
      <c r="Y63" s="3"/>
      <c r="Z63" s="19" t="b">
        <f>D61</f>
        <v>0</v>
      </c>
      <c r="AA63" s="3"/>
      <c r="AB63" s="19" t="b">
        <f>IF(D61,R37)</f>
        <v>0</v>
      </c>
      <c r="AC63" s="19">
        <v>0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2:44" ht="15" customHeight="1" x14ac:dyDescent="0.25">
      <c r="B64" s="62"/>
      <c r="C64" s="62"/>
      <c r="D64" s="56" t="s">
        <v>306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</row>
    <row r="65" spans="2:44" ht="15" customHeight="1" x14ac:dyDescent="0.25">
      <c r="B65" s="62"/>
      <c r="C65" s="62"/>
      <c r="D65" s="56" t="b">
        <f>IF(C48,P38=6)</f>
        <v>0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</row>
    <row r="66" spans="2:44" ht="15" customHeight="1" x14ac:dyDescent="0.25">
      <c r="B66" s="62"/>
      <c r="C66" s="62"/>
      <c r="D66" s="3"/>
      <c r="E66" s="3"/>
      <c r="F66" s="3"/>
      <c r="G66" s="19" t="s">
        <v>209</v>
      </c>
      <c r="H66" s="3"/>
      <c r="I66" s="3"/>
      <c r="J66" s="3"/>
      <c r="K66" s="3"/>
      <c r="L66" s="3"/>
      <c r="M66" s="3"/>
      <c r="N66" s="3"/>
      <c r="O66" s="48" t="s">
        <v>282</v>
      </c>
      <c r="P66" s="48"/>
      <c r="Q66" s="48" t="s">
        <v>286</v>
      </c>
      <c r="R66" s="48"/>
      <c r="S66" s="48" t="s">
        <v>307</v>
      </c>
      <c r="T66" s="48"/>
      <c r="U66" s="19" t="s">
        <v>624</v>
      </c>
      <c r="V66" s="3"/>
      <c r="W66" s="19" t="s">
        <v>235</v>
      </c>
      <c r="X66" s="19" t="s">
        <v>304</v>
      </c>
      <c r="Y66" s="19" t="s">
        <v>310</v>
      </c>
      <c r="Z66" s="3"/>
      <c r="AA66" s="19" t="s">
        <v>305</v>
      </c>
      <c r="AB66" s="19" t="s">
        <v>251</v>
      </c>
      <c r="AC66" s="19" t="s">
        <v>252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23" t="s">
        <v>314</v>
      </c>
      <c r="AO66" s="3"/>
      <c r="AP66" s="19" t="s">
        <v>597</v>
      </c>
      <c r="AQ66" s="19" t="s">
        <v>607</v>
      </c>
      <c r="AR66" s="19" t="s">
        <v>598</v>
      </c>
    </row>
    <row r="67" spans="2:44" ht="15" customHeight="1" x14ac:dyDescent="0.25">
      <c r="B67" s="62"/>
      <c r="C67" s="62"/>
      <c r="D67" s="3"/>
      <c r="E67" s="3"/>
      <c r="F67" s="3"/>
      <c r="G67" s="19" t="b">
        <f>IF(D65,S38=0)</f>
        <v>0</v>
      </c>
      <c r="H67" s="3"/>
      <c r="I67" s="3"/>
      <c r="J67" s="3"/>
      <c r="K67" s="3"/>
      <c r="L67" s="3"/>
      <c r="M67" s="3"/>
      <c r="N67" s="3"/>
      <c r="O67" s="19">
        <v>0</v>
      </c>
      <c r="P67" s="19" t="b">
        <f>IF(D65,S38=0)</f>
        <v>0</v>
      </c>
      <c r="Q67" s="19">
        <v>0</v>
      </c>
      <c r="R67" s="19" t="b">
        <f>IF(D65,S38=3)</f>
        <v>0</v>
      </c>
      <c r="S67" s="48" t="b">
        <f>IF(D65,S38=3)</f>
        <v>0</v>
      </c>
      <c r="T67" s="48"/>
      <c r="U67" s="19" t="b">
        <f>IF(D65,S38=3)</f>
        <v>0</v>
      </c>
      <c r="V67" s="3"/>
      <c r="W67" s="19" t="b">
        <f>IF(D65,S38=3)</f>
        <v>0</v>
      </c>
      <c r="X67" s="19" t="b">
        <f>IF(D65,OR(S38=0,S38=3))</f>
        <v>0</v>
      </c>
      <c r="Y67" s="19" t="b">
        <f>IF(D65,S39=1)</f>
        <v>0</v>
      </c>
      <c r="Z67" s="3"/>
      <c r="AA67" s="19" t="b">
        <f>IF(D65,S38=0)</f>
        <v>0</v>
      </c>
      <c r="AB67" s="19" t="b">
        <f>IF(D65,OR(S38=0,S38=3))</f>
        <v>0</v>
      </c>
      <c r="AC67" s="19" t="b">
        <f>IF(D65,S38=0)</f>
        <v>0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19" t="b">
        <f>IF(D65,S38=0)</f>
        <v>0</v>
      </c>
      <c r="AO67" s="3"/>
      <c r="AP67" s="19" t="b">
        <f>IF(D65,AND(S38=0,AD37=1))</f>
        <v>0</v>
      </c>
      <c r="AQ67" s="19" t="b">
        <f>IF(D65,AND(S38=0,AD37=1))</f>
        <v>0</v>
      </c>
      <c r="AR67" s="19">
        <v>0</v>
      </c>
    </row>
    <row r="68" spans="2:44" ht="15" customHeight="1" x14ac:dyDescent="0.25">
      <c r="B68" s="62"/>
      <c r="C68" s="62"/>
      <c r="D68" s="56" t="s">
        <v>276</v>
      </c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</row>
    <row r="69" spans="2:44" ht="15" customHeight="1" x14ac:dyDescent="0.25">
      <c r="B69" s="62"/>
      <c r="C69" s="62"/>
      <c r="D69" s="57" t="b">
        <f>IF(C48,P38=7)</f>
        <v>0</v>
      </c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</row>
    <row r="70" spans="2:44" ht="15" customHeight="1" x14ac:dyDescent="0.25">
      <c r="B70" s="62"/>
      <c r="C70" s="6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19" t="s">
        <v>310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2:44" ht="15" customHeight="1" x14ac:dyDescent="0.25">
      <c r="B71" s="62"/>
      <c r="C71" s="6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19" t="b">
        <f>IF(D69,CHOOSE(S38+1,NOT(I19),I19,NOT(F19),F19,NOT(G19),G19,NOT(H19),H19,OR(NOT(F19),I19),AND(F19,NOT(I19)),G19&lt;&gt;H19,G19=H19,OR(I19,G19&lt;&gt;H19),AND(NOT(I19),G19=H19)))</f>
        <v>0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2:44" ht="15" customHeight="1" x14ac:dyDescent="0.25">
      <c r="B72" s="58" t="s">
        <v>232</v>
      </c>
      <c r="C72" s="58">
        <f>O37</f>
        <v>0</v>
      </c>
      <c r="D72" s="56" t="s">
        <v>232</v>
      </c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</row>
    <row r="73" spans="2:44" ht="15" customHeight="1" x14ac:dyDescent="0.25">
      <c r="B73" s="58"/>
      <c r="C73" s="58"/>
      <c r="D73" s="57" t="b">
        <f>IF(C72,P38&lt;&gt;7)</f>
        <v>0</v>
      </c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</row>
    <row r="74" spans="2:44" ht="15" customHeight="1" x14ac:dyDescent="0.25">
      <c r="B74" s="58"/>
      <c r="C74" s="58"/>
      <c r="D74" s="19" t="s">
        <v>210</v>
      </c>
      <c r="E74" s="24"/>
      <c r="F74" s="24"/>
      <c r="G74" s="24"/>
      <c r="H74" s="24"/>
      <c r="I74" s="48" t="s">
        <v>284</v>
      </c>
      <c r="J74" s="48"/>
      <c r="K74" s="48" t="s">
        <v>285</v>
      </c>
      <c r="L74" s="48"/>
      <c r="M74" s="48" t="s">
        <v>283</v>
      </c>
      <c r="N74" s="48"/>
      <c r="O74" s="24"/>
      <c r="P74" s="24"/>
      <c r="Q74" s="24"/>
      <c r="R74" s="24"/>
      <c r="S74" s="24"/>
      <c r="T74" s="24"/>
      <c r="U74" s="24"/>
      <c r="V74" s="19" t="s">
        <v>234</v>
      </c>
      <c r="W74" s="24"/>
      <c r="X74" s="24"/>
      <c r="Y74" s="24"/>
      <c r="Z74" s="24"/>
      <c r="AA74" s="24"/>
      <c r="AB74" s="24"/>
      <c r="AC74" s="24"/>
      <c r="AD74" s="24"/>
      <c r="AE74" s="19" t="s">
        <v>249</v>
      </c>
      <c r="AF74" s="48" t="s">
        <v>248</v>
      </c>
      <c r="AG74" s="48"/>
      <c r="AH74" s="48"/>
      <c r="AI74" s="48"/>
      <c r="AJ74" s="19" t="s">
        <v>0</v>
      </c>
      <c r="AK74" s="19" t="s">
        <v>6</v>
      </c>
      <c r="AL74" s="19" t="s">
        <v>4</v>
      </c>
      <c r="AM74" s="19" t="s">
        <v>5</v>
      </c>
      <c r="AN74" s="24"/>
      <c r="AO74" s="3"/>
      <c r="AP74" s="3"/>
      <c r="AQ74" s="3"/>
      <c r="AR74" s="3"/>
    </row>
    <row r="75" spans="2:44" ht="15" customHeight="1" x14ac:dyDescent="0.25">
      <c r="B75" s="58"/>
      <c r="C75" s="58"/>
      <c r="D75" s="23" t="b">
        <f>IF(D73,P38&lt;&gt;0)</f>
        <v>0</v>
      </c>
      <c r="E75" s="24"/>
      <c r="F75" s="24"/>
      <c r="G75" s="24"/>
      <c r="H75" s="24"/>
      <c r="I75" s="23" t="b">
        <f>IF(D73,P38&lt;&gt;0)</f>
        <v>0</v>
      </c>
      <c r="J75" s="23">
        <v>0</v>
      </c>
      <c r="K75" s="23" t="b">
        <f>IF(D73,P38&lt;&gt;0)</f>
        <v>0</v>
      </c>
      <c r="L75" s="23">
        <v>0</v>
      </c>
      <c r="M75" s="23" t="b">
        <f>IF(D73,P38=0)</f>
        <v>0</v>
      </c>
      <c r="N75" s="23" t="b">
        <f>IF(D73,P38=0)</f>
        <v>0</v>
      </c>
      <c r="O75" s="24"/>
      <c r="P75" s="24"/>
      <c r="Q75" s="24"/>
      <c r="R75" s="24"/>
      <c r="S75" s="24"/>
      <c r="T75" s="24"/>
      <c r="U75" s="24"/>
      <c r="V75" s="23" t="b">
        <f>IF(D73,P38&lt;&gt;1)</f>
        <v>0</v>
      </c>
      <c r="W75" s="24"/>
      <c r="X75" s="24"/>
      <c r="Y75" s="24"/>
      <c r="Z75" s="24"/>
      <c r="AA75" s="24"/>
      <c r="AB75" s="24"/>
      <c r="AC75" s="24"/>
      <c r="AD75" s="24"/>
      <c r="AE75" s="23" t="b">
        <f>IF(D73,P38&gt;=1)</f>
        <v>0</v>
      </c>
      <c r="AF75" s="23">
        <v>0</v>
      </c>
      <c r="AG75" s="23" t="b">
        <f>IF(D73,P38&gt;=4)</f>
        <v>0</v>
      </c>
      <c r="AH75" s="23" t="b">
        <f>IF(D73,P38=6)</f>
        <v>0</v>
      </c>
      <c r="AI75" s="23" t="b">
        <f>IF(D73,OR(P38=1,P38=3,P38=5))</f>
        <v>0</v>
      </c>
      <c r="AJ75" s="23" t="b">
        <f>IF(D73,OR(P38=1,P38=2,P38=3))</f>
        <v>0</v>
      </c>
      <c r="AK75" s="23" t="b">
        <f>IF(D73,P38&gt;=1)</f>
        <v>0</v>
      </c>
      <c r="AL75" s="23" t="b">
        <f>IF(D73,OR(P38=1,P38=2,P38=3))</f>
        <v>0</v>
      </c>
      <c r="AM75" s="23" t="b">
        <f>IF(D73,P38&gt;=1)</f>
        <v>0</v>
      </c>
      <c r="AN75" s="24"/>
      <c r="AO75" s="3"/>
      <c r="AP75" s="3"/>
      <c r="AQ75" s="3"/>
      <c r="AR75" s="3"/>
    </row>
    <row r="76" spans="2:44" ht="15" customHeight="1" x14ac:dyDescent="0.25">
      <c r="B76" s="58"/>
      <c r="C76" s="58"/>
      <c r="D76" s="56">
        <v>1111</v>
      </c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</row>
    <row r="77" spans="2:44" ht="15" customHeight="1" x14ac:dyDescent="0.25">
      <c r="B77" s="58"/>
      <c r="C77" s="58"/>
      <c r="D77" s="57" t="b">
        <f>IF(C72,P38=7)</f>
        <v>0</v>
      </c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</row>
    <row r="78" spans="2:44" ht="15" customHeight="1" x14ac:dyDescent="0.25">
      <c r="B78" s="58"/>
      <c r="C78" s="58"/>
      <c r="D78" s="19" t="s">
        <v>210</v>
      </c>
      <c r="E78" s="3"/>
      <c r="F78" s="19" t="s">
        <v>281</v>
      </c>
      <c r="G78" s="19" t="s">
        <v>209</v>
      </c>
      <c r="H78" s="3"/>
      <c r="I78" s="3"/>
      <c r="J78" s="3"/>
      <c r="K78" s="3"/>
      <c r="L78" s="3"/>
      <c r="M78" s="48" t="s">
        <v>283</v>
      </c>
      <c r="N78" s="48"/>
      <c r="O78" s="48" t="s">
        <v>282</v>
      </c>
      <c r="P78" s="48"/>
      <c r="Q78" s="48" t="s">
        <v>286</v>
      </c>
      <c r="R78" s="48"/>
      <c r="S78" s="3"/>
      <c r="T78" s="3"/>
      <c r="U78" s="3"/>
      <c r="V78" s="19" t="s">
        <v>234</v>
      </c>
      <c r="W78" s="19" t="s">
        <v>235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23" t="s">
        <v>314</v>
      </c>
      <c r="AO78" s="3"/>
      <c r="AP78" s="3"/>
      <c r="AQ78" s="3"/>
      <c r="AR78" s="3"/>
    </row>
    <row r="79" spans="2:44" ht="15" customHeight="1" x14ac:dyDescent="0.25">
      <c r="B79" s="58"/>
      <c r="C79" s="58"/>
      <c r="D79" s="19" t="b">
        <f>IF(D77,OR(AA38=0,AA38=2))</f>
        <v>0</v>
      </c>
      <c r="E79" s="3"/>
      <c r="F79" s="19" t="b">
        <f>IF(D77,AA39=0)</f>
        <v>0</v>
      </c>
      <c r="G79" s="19" t="b">
        <f>IF(D77,OR(AA38=1,AA38=3))</f>
        <v>0</v>
      </c>
      <c r="H79" s="3"/>
      <c r="I79" s="3"/>
      <c r="J79" s="3"/>
      <c r="K79" s="3"/>
      <c r="L79" s="3"/>
      <c r="M79" s="19" t="b">
        <f>IF(D77,OR(AA38=1,AA38=3))</f>
        <v>0</v>
      </c>
      <c r="N79" s="19">
        <v>0</v>
      </c>
      <c r="O79" s="19" t="b">
        <f>IF(D77,AA38=1)</f>
        <v>0</v>
      </c>
      <c r="P79" s="19">
        <v>0</v>
      </c>
      <c r="Q79" s="19" t="b">
        <f>IF(D77,AA38=2)</f>
        <v>0</v>
      </c>
      <c r="R79" s="19">
        <v>0</v>
      </c>
      <c r="S79" s="3"/>
      <c r="T79" s="3"/>
      <c r="U79" s="3"/>
      <c r="V79" s="19" t="b">
        <f>IF(D77,OR(AA38=1,AA38=3))</f>
        <v>0</v>
      </c>
      <c r="W79" s="19" t="b">
        <f>IF(D77,OR(AA38=0,AA38=2))</f>
        <v>0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19" t="b">
        <f>IF(D77,AA39=1)</f>
        <v>0</v>
      </c>
      <c r="AO79" s="3"/>
      <c r="AP79" s="3"/>
      <c r="AQ79" s="3"/>
      <c r="AR79" s="3"/>
    </row>
    <row r="80" spans="2:44" ht="15" customHeight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2:44" ht="15" customHeight="1" x14ac:dyDescent="0.25">
      <c r="B81" s="3"/>
      <c r="C81" s="3"/>
      <c r="D81" s="19" t="s">
        <v>210</v>
      </c>
      <c r="E81" s="19" t="s">
        <v>211</v>
      </c>
      <c r="F81" s="19" t="s">
        <v>281</v>
      </c>
      <c r="G81" s="19" t="s">
        <v>209</v>
      </c>
      <c r="H81" s="19" t="s">
        <v>208</v>
      </c>
      <c r="I81" s="48" t="s">
        <v>284</v>
      </c>
      <c r="J81" s="48"/>
      <c r="K81" s="48" t="s">
        <v>285</v>
      </c>
      <c r="L81" s="48"/>
      <c r="M81" s="48" t="s">
        <v>283</v>
      </c>
      <c r="N81" s="48"/>
      <c r="O81" s="48" t="s">
        <v>282</v>
      </c>
      <c r="P81" s="48"/>
      <c r="Q81" s="48" t="s">
        <v>286</v>
      </c>
      <c r="R81" s="48"/>
      <c r="S81" s="48" t="s">
        <v>307</v>
      </c>
      <c r="T81" s="48"/>
      <c r="U81" s="19" t="s">
        <v>624</v>
      </c>
      <c r="V81" s="19" t="s">
        <v>234</v>
      </c>
      <c r="W81" s="19" t="s">
        <v>235</v>
      </c>
      <c r="X81" s="19" t="s">
        <v>304</v>
      </c>
      <c r="Y81" s="19" t="s">
        <v>310</v>
      </c>
      <c r="Z81" s="19" t="s">
        <v>295</v>
      </c>
      <c r="AA81" s="19" t="s">
        <v>305</v>
      </c>
      <c r="AB81" s="19" t="s">
        <v>251</v>
      </c>
      <c r="AC81" s="19" t="s">
        <v>252</v>
      </c>
      <c r="AD81" s="19" t="s">
        <v>247</v>
      </c>
      <c r="AE81" s="19" t="s">
        <v>249</v>
      </c>
      <c r="AF81" s="48" t="s">
        <v>248</v>
      </c>
      <c r="AG81" s="48"/>
      <c r="AH81" s="48"/>
      <c r="AI81" s="48"/>
      <c r="AJ81" s="19" t="s">
        <v>0</v>
      </c>
      <c r="AK81" s="19" t="s">
        <v>6</v>
      </c>
      <c r="AL81" s="19" t="s">
        <v>4</v>
      </c>
      <c r="AM81" s="19" t="s">
        <v>5</v>
      </c>
      <c r="AN81" s="23" t="s">
        <v>314</v>
      </c>
      <c r="AO81" s="19" t="s">
        <v>293</v>
      </c>
      <c r="AP81" s="19" t="s">
        <v>597</v>
      </c>
      <c r="AQ81" s="19" t="s">
        <v>607</v>
      </c>
      <c r="AR81" s="19" t="s">
        <v>598</v>
      </c>
    </row>
    <row r="82" spans="2:44" ht="15" customHeight="1" x14ac:dyDescent="0.25">
      <c r="B82" s="3"/>
      <c r="C82" s="3"/>
      <c r="D82" s="19">
        <f>D55+D59+D75+D79</f>
        <v>0</v>
      </c>
      <c r="E82" s="19">
        <f>E55+E59</f>
        <v>0</v>
      </c>
      <c r="F82" s="19" t="b">
        <f>F79</f>
        <v>0</v>
      </c>
      <c r="G82" s="19">
        <f>G55+G67+G79</f>
        <v>0</v>
      </c>
      <c r="H82" s="19">
        <f>H55</f>
        <v>0</v>
      </c>
      <c r="I82" s="19">
        <f>I55+I59+I75</f>
        <v>0</v>
      </c>
      <c r="J82" s="19">
        <f>J55+J59+J75</f>
        <v>0</v>
      </c>
      <c r="K82" s="19">
        <f>K55+K59+K75</f>
        <v>0</v>
      </c>
      <c r="L82" s="19">
        <f>L55+L59+L75</f>
        <v>0</v>
      </c>
      <c r="M82" s="19">
        <f>M55+M59+M75+M79</f>
        <v>0</v>
      </c>
      <c r="N82" s="19">
        <f>N55+N59+N75+N79</f>
        <v>0</v>
      </c>
      <c r="O82" s="19">
        <f>O55+O67+O79</f>
        <v>0</v>
      </c>
      <c r="P82" s="19">
        <f>P55+P67+P79</f>
        <v>0</v>
      </c>
      <c r="Q82" s="19">
        <f>Q47+Q55+Q63+Q67+Q79</f>
        <v>0</v>
      </c>
      <c r="R82" s="19">
        <f ca="1">R47+R55+R63+R67+R79</f>
        <v>0</v>
      </c>
      <c r="S82" s="48">
        <f ca="1">S47+S63+S67</f>
        <v>0</v>
      </c>
      <c r="T82" s="48"/>
      <c r="U82" s="19">
        <f>U63+U67</f>
        <v>0</v>
      </c>
      <c r="V82" s="19">
        <f>V55+V59+V75+V79</f>
        <v>0</v>
      </c>
      <c r="W82" s="19">
        <f ca="1">W47+W55+W63+W67+W79</f>
        <v>0</v>
      </c>
      <c r="X82" s="19">
        <f ca="1">X47+X63+X67</f>
        <v>0</v>
      </c>
      <c r="Y82" s="19">
        <f>Y67+Y71</f>
        <v>0</v>
      </c>
      <c r="Z82" s="19">
        <f ca="1">Z47+Z63</f>
        <v>0</v>
      </c>
      <c r="AA82" s="19" t="b">
        <f>AA67</f>
        <v>0</v>
      </c>
      <c r="AB82" s="19">
        <f ca="1">AB47+AB55+AB63+AB67</f>
        <v>0</v>
      </c>
      <c r="AC82" s="19">
        <f>AC47+AC55+AC63+AC67</f>
        <v>0</v>
      </c>
      <c r="AD82" s="19">
        <f>AD55</f>
        <v>0</v>
      </c>
      <c r="AE82" s="19">
        <f t="shared" ref="AE82:AM82" si="4">+AE55+AE59+AE75</f>
        <v>0</v>
      </c>
      <c r="AF82" s="19">
        <f t="shared" si="4"/>
        <v>0</v>
      </c>
      <c r="AG82" s="19">
        <f t="shared" si="4"/>
        <v>0</v>
      </c>
      <c r="AH82" s="19">
        <f t="shared" si="4"/>
        <v>0</v>
      </c>
      <c r="AI82" s="19">
        <f t="shared" si="4"/>
        <v>0</v>
      </c>
      <c r="AJ82" s="19">
        <f t="shared" si="4"/>
        <v>0</v>
      </c>
      <c r="AK82" s="19">
        <f t="shared" si="4"/>
        <v>0</v>
      </c>
      <c r="AL82" s="19">
        <f t="shared" si="4"/>
        <v>0</v>
      </c>
      <c r="AM82" s="19">
        <f t="shared" si="4"/>
        <v>0</v>
      </c>
      <c r="AN82" s="19">
        <f>AN67+AN79</f>
        <v>0</v>
      </c>
      <c r="AO82" s="19">
        <f>IF(M37,0,IF(K37,IF(OR(X82,AN82),IF(AO82=0,1,0),AO82),AO82))</f>
        <v>0</v>
      </c>
      <c r="AP82" s="19" t="b">
        <f>AP67</f>
        <v>0</v>
      </c>
      <c r="AQ82" s="19" t="b">
        <f ca="1">OR(AQ37,AQ67)</f>
        <v>0</v>
      </c>
      <c r="AR82" s="19" t="b">
        <f ca="1">OR(AR37,AR67)</f>
        <v>0</v>
      </c>
    </row>
    <row r="83" spans="2:44" ht="15" customHeight="1" x14ac:dyDescent="0.25">
      <c r="B83" s="3"/>
      <c r="C83" s="19" t="s">
        <v>18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48" t="s">
        <v>301</v>
      </c>
      <c r="T83" s="48"/>
      <c r="U83" s="3"/>
      <c r="V83" s="3"/>
      <c r="W83" s="19" t="s">
        <v>235</v>
      </c>
      <c r="X83" s="3"/>
      <c r="Y83" s="3"/>
      <c r="Z83" s="19" t="s">
        <v>308</v>
      </c>
      <c r="AA83" s="19" t="s">
        <v>309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2:44" ht="15" customHeight="1" x14ac:dyDescent="0.25">
      <c r="B84" s="3"/>
      <c r="C84" s="19">
        <f ca="1">IF(D51, 0, 1-(X82*AO82))</f>
        <v>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19" t="b">
        <f ca="1">IF(S82,ABS(AO82-1))</f>
        <v>0</v>
      </c>
      <c r="T84" s="19" t="b">
        <f ca="1">IF(S82,AO82)</f>
        <v>0</v>
      </c>
      <c r="U84" s="3"/>
      <c r="V84" s="3"/>
      <c r="W84" s="19">
        <f ca="1">IF(AN82,AO82=0,W82)</f>
        <v>0</v>
      </c>
      <c r="X84" s="3"/>
      <c r="Y84" s="3"/>
      <c r="Z84" s="19">
        <f ca="1">IF(Z82,NOT(AO82))+AA82*AO82</f>
        <v>0</v>
      </c>
      <c r="AA84" s="19">
        <f ca="1">IF(Z82,NOT(AO82))+AA82*ABS(AO82-1)</f>
        <v>0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6" spans="2:44" ht="15" customHeight="1" x14ac:dyDescent="0.25">
      <c r="B86" s="49" t="s">
        <v>315</v>
      </c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 spans="2:44" ht="15" customHeight="1" x14ac:dyDescent="0.25"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spans="2:44" ht="15" customHeight="1" x14ac:dyDescent="0.25">
      <c r="B88" s="2" t="s">
        <v>23</v>
      </c>
      <c r="C88" s="3"/>
      <c r="D88" s="2" t="s">
        <v>313</v>
      </c>
      <c r="E88" s="3"/>
      <c r="F88" s="47" t="s">
        <v>292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</row>
    <row r="89" spans="2:44" ht="15" customHeight="1" x14ac:dyDescent="0.25">
      <c r="B89" s="2">
        <f>L2</f>
        <v>0</v>
      </c>
      <c r="C89" s="3"/>
      <c r="D89" s="2" t="b">
        <f ca="1">OR(IF(B89,AND(AO82,AN82),D89),H2)</f>
        <v>1</v>
      </c>
      <c r="E89" s="3"/>
      <c r="F89" s="2">
        <f t="shared" ref="F89:U89" si="5">O37</f>
        <v>0</v>
      </c>
      <c r="G89" s="2">
        <f t="shared" si="5"/>
        <v>0</v>
      </c>
      <c r="H89" s="2">
        <f t="shared" si="5"/>
        <v>0</v>
      </c>
      <c r="I89" s="2">
        <f t="shared" si="5"/>
        <v>0</v>
      </c>
      <c r="J89" s="2">
        <f t="shared" ref="J89:R89" si="6">S37</f>
        <v>0</v>
      </c>
      <c r="K89" s="2">
        <f t="shared" si="6"/>
        <v>0</v>
      </c>
      <c r="L89" s="2">
        <f t="shared" si="6"/>
        <v>0</v>
      </c>
      <c r="M89" s="2">
        <f t="shared" si="6"/>
        <v>0</v>
      </c>
      <c r="N89" s="2">
        <f t="shared" si="6"/>
        <v>0</v>
      </c>
      <c r="O89" s="2">
        <f t="shared" si="6"/>
        <v>0</v>
      </c>
      <c r="P89" s="2">
        <f t="shared" si="6"/>
        <v>0</v>
      </c>
      <c r="Q89" s="2">
        <f t="shared" si="6"/>
        <v>0</v>
      </c>
      <c r="R89" s="2">
        <f t="shared" si="6"/>
        <v>0</v>
      </c>
      <c r="S89" s="2">
        <f t="shared" si="5"/>
        <v>0</v>
      </c>
      <c r="T89" s="2">
        <f t="shared" si="5"/>
        <v>0</v>
      </c>
      <c r="U89" s="2">
        <f t="shared" si="5"/>
        <v>0</v>
      </c>
    </row>
    <row r="90" spans="2:44" ht="15" customHeight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2:44" ht="15" customHeight="1" x14ac:dyDescent="0.25">
      <c r="B91" s="3"/>
      <c r="C91" s="3"/>
      <c r="D91" s="48" t="s">
        <v>104</v>
      </c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3"/>
      <c r="U91" s="3"/>
    </row>
    <row r="92" spans="2:44" ht="15" customHeight="1" x14ac:dyDescent="0.25">
      <c r="B92" s="3"/>
      <c r="C92" s="3"/>
      <c r="D92" s="19">
        <f t="shared" ref="D92:S92" ca="1" si="7">IF(AND($B$89,$D$89),F89,D92)</f>
        <v>0</v>
      </c>
      <c r="E92" s="19">
        <f t="shared" ca="1" si="7"/>
        <v>1</v>
      </c>
      <c r="F92" s="19">
        <f t="shared" ca="1" si="7"/>
        <v>1</v>
      </c>
      <c r="G92" s="19">
        <f t="shared" ca="1" si="7"/>
        <v>0</v>
      </c>
      <c r="H92" s="19">
        <f t="shared" ca="1" si="7"/>
        <v>0</v>
      </c>
      <c r="I92" s="19">
        <f t="shared" ca="1" si="7"/>
        <v>0</v>
      </c>
      <c r="J92" s="19">
        <f t="shared" ca="1" si="7"/>
        <v>0</v>
      </c>
      <c r="K92" s="19">
        <f t="shared" ca="1" si="7"/>
        <v>0</v>
      </c>
      <c r="L92" s="19">
        <f t="shared" ca="1" si="7"/>
        <v>0</v>
      </c>
      <c r="M92" s="19">
        <f t="shared" ca="1" si="7"/>
        <v>0</v>
      </c>
      <c r="N92" s="19">
        <f t="shared" ca="1" si="7"/>
        <v>0</v>
      </c>
      <c r="O92" s="19">
        <f t="shared" ca="1" si="7"/>
        <v>0</v>
      </c>
      <c r="P92" s="19">
        <f t="shared" ca="1" si="7"/>
        <v>0</v>
      </c>
      <c r="Q92" s="19">
        <f ca="1">IF(AND($B$89,$D$89),S89,Q92)</f>
        <v>0</v>
      </c>
      <c r="R92" s="19">
        <f ca="1">IF(AND($B$89,$D$89),T89,R92)</f>
        <v>0</v>
      </c>
      <c r="S92" s="19">
        <f t="shared" ca="1" si="7"/>
        <v>0</v>
      </c>
      <c r="T92" s="3"/>
      <c r="U92" s="3"/>
    </row>
    <row r="97" spans="1:45" ht="15" customHeight="1" x14ac:dyDescent="0.25">
      <c r="B97" s="49" t="s">
        <v>56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T97" s="61" t="s">
        <v>182</v>
      </c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L97" s="49" t="s">
        <v>212</v>
      </c>
      <c r="AM97" s="49"/>
      <c r="AN97" s="49"/>
      <c r="AO97" s="49"/>
      <c r="AP97" s="49"/>
      <c r="AQ97" s="49"/>
      <c r="AR97" s="49"/>
      <c r="AS97" s="49"/>
    </row>
    <row r="98" spans="1:45" ht="15" customHeight="1" x14ac:dyDescent="0.25"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L98" s="49"/>
      <c r="AM98" s="49"/>
      <c r="AN98" s="49"/>
      <c r="AO98" s="49"/>
      <c r="AP98" s="49"/>
      <c r="AQ98" s="49"/>
      <c r="AR98" s="49"/>
      <c r="AS98" s="49"/>
    </row>
    <row r="99" spans="1:45" ht="15" customHeight="1" x14ac:dyDescent="0.25">
      <c r="B99" s="3"/>
      <c r="C99" s="2" t="s">
        <v>23</v>
      </c>
      <c r="D99" s="3"/>
      <c r="E99" s="2" t="s">
        <v>586</v>
      </c>
      <c r="F99" s="3"/>
      <c r="G99" s="47" t="s">
        <v>587</v>
      </c>
      <c r="H99" s="47"/>
      <c r="I99" s="47"/>
      <c r="J99" s="47"/>
      <c r="K99" s="3"/>
      <c r="L99" s="2" t="s">
        <v>588</v>
      </c>
      <c r="M99" s="3"/>
      <c r="N99" s="47" t="s">
        <v>589</v>
      </c>
      <c r="O99" s="47"/>
      <c r="P99" s="47"/>
      <c r="Q99" s="47"/>
      <c r="R99" s="3"/>
      <c r="T99" s="3"/>
      <c r="U99" s="3"/>
      <c r="V99" s="3"/>
      <c r="W99" s="3"/>
      <c r="X99" s="3"/>
      <c r="Y99" s="2" t="s">
        <v>23</v>
      </c>
      <c r="Z99" s="3"/>
      <c r="AA99" s="2" t="s">
        <v>22</v>
      </c>
      <c r="AB99" s="3"/>
      <c r="AC99" s="47" t="s">
        <v>181</v>
      </c>
      <c r="AD99" s="47"/>
      <c r="AE99" s="47"/>
      <c r="AF99" s="3"/>
      <c r="AG99" s="3"/>
      <c r="AH99" s="3"/>
      <c r="AI99" s="3"/>
      <c r="AJ99" s="3"/>
      <c r="AL99" s="2" t="s">
        <v>23</v>
      </c>
      <c r="AM99" s="3"/>
      <c r="AN99" s="2" t="s">
        <v>22</v>
      </c>
      <c r="AO99" s="3"/>
      <c r="AP99" s="47" t="s">
        <v>572</v>
      </c>
      <c r="AQ99" s="47"/>
      <c r="AR99" s="47"/>
      <c r="AS99" s="47"/>
    </row>
    <row r="100" spans="1:45" ht="15" customHeight="1" x14ac:dyDescent="0.25">
      <c r="B100" s="3"/>
      <c r="C100" s="2">
        <f>ABS(L2)</f>
        <v>0</v>
      </c>
      <c r="D100" s="3"/>
      <c r="E100" s="2">
        <f>D82</f>
        <v>0</v>
      </c>
      <c r="F100" s="3"/>
      <c r="G100" s="2">
        <f>S37</f>
        <v>0</v>
      </c>
      <c r="H100" s="2">
        <f>T37</f>
        <v>0</v>
      </c>
      <c r="I100" s="2">
        <f>U37</f>
        <v>0</v>
      </c>
      <c r="J100" s="2">
        <f>V37</f>
        <v>0</v>
      </c>
      <c r="K100" s="3"/>
      <c r="L100" s="2">
        <f>E82</f>
        <v>0</v>
      </c>
      <c r="M100" s="3"/>
      <c r="N100" s="2" t="b">
        <f>IF($L$100,J31)</f>
        <v>0</v>
      </c>
      <c r="O100" s="2" t="b">
        <f>IF($L$100,K31)</f>
        <v>0</v>
      </c>
      <c r="P100" s="2" t="b">
        <f>IF($L$100,L31)</f>
        <v>0</v>
      </c>
      <c r="Q100" s="2" t="b">
        <f>IF($L$100,M31)</f>
        <v>0</v>
      </c>
      <c r="R100" s="3"/>
      <c r="T100" s="3"/>
      <c r="U100" s="3"/>
      <c r="V100" s="3"/>
      <c r="W100" s="3"/>
      <c r="X100" s="3"/>
      <c r="Y100" s="2">
        <f>ABS(L2)</f>
        <v>0</v>
      </c>
      <c r="Z100" s="3"/>
      <c r="AA100" s="2" t="b">
        <f>F82</f>
        <v>0</v>
      </c>
      <c r="AB100" s="3"/>
      <c r="AC100" s="2">
        <f>K31</f>
        <v>1</v>
      </c>
      <c r="AD100" s="2">
        <f>L31</f>
        <v>1</v>
      </c>
      <c r="AE100" s="2">
        <f>M31</f>
        <v>1</v>
      </c>
      <c r="AF100" s="3"/>
      <c r="AG100" s="3"/>
      <c r="AH100" s="3"/>
      <c r="AI100" s="3"/>
      <c r="AJ100" s="3"/>
      <c r="AL100" s="2">
        <f>L2</f>
        <v>0</v>
      </c>
      <c r="AM100" s="3"/>
      <c r="AN100" s="2">
        <f>H82</f>
        <v>0</v>
      </c>
      <c r="AO100" s="3"/>
      <c r="AP100" s="2" t="b">
        <f>IF($AN$100,J31)</f>
        <v>0</v>
      </c>
      <c r="AQ100" s="2" t="b">
        <f>IF($AN$100,K31)</f>
        <v>0</v>
      </c>
      <c r="AR100" s="2" t="b">
        <f>IF($AN$100,L31)</f>
        <v>0</v>
      </c>
      <c r="AS100" s="2" t="b">
        <f>IF($AN$100,M31)</f>
        <v>0</v>
      </c>
    </row>
    <row r="101" spans="1:45" ht="15" customHeight="1" x14ac:dyDescent="0.25">
      <c r="B101" s="3"/>
      <c r="C101" s="3"/>
      <c r="D101" s="3"/>
      <c r="E101" s="3"/>
      <c r="F101" s="3"/>
      <c r="G101" s="3"/>
      <c r="H101" s="50">
        <f>(H100*4)+(I100*2)+(J100*1)+1</f>
        <v>1</v>
      </c>
      <c r="I101" s="50"/>
      <c r="J101" s="50"/>
      <c r="K101" s="3"/>
      <c r="L101" s="3"/>
      <c r="M101" s="3"/>
      <c r="N101" s="3"/>
      <c r="O101" s="50">
        <f>(O100*4)+(P100*2)+(Q100*1)+1</f>
        <v>1</v>
      </c>
      <c r="P101" s="50"/>
      <c r="Q101" s="50"/>
      <c r="R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50">
        <f>(AD100*2)+(AE100*1)+1</f>
        <v>4</v>
      </c>
      <c r="AE101" s="50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Q101" s="50">
        <f>(AQ100*4)+(AR100*2)+(AS100*1)+1</f>
        <v>1</v>
      </c>
      <c r="AR101" s="50"/>
      <c r="AS101" s="50"/>
    </row>
    <row r="102" spans="1:45" ht="15" customHeight="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L102" s="7"/>
      <c r="AM102" s="7"/>
      <c r="AN102" s="7"/>
      <c r="AO102" s="7"/>
      <c r="AP102" s="7"/>
      <c r="AQ102" s="7"/>
      <c r="AR102" s="7"/>
      <c r="AS102" s="7"/>
    </row>
    <row r="103" spans="1:45" ht="15" customHeight="1" x14ac:dyDescent="0.25">
      <c r="A103" s="8"/>
      <c r="B103" s="48" t="s">
        <v>584</v>
      </c>
      <c r="C103" s="48"/>
      <c r="D103" s="48"/>
      <c r="E103" s="48"/>
      <c r="F103" s="48"/>
      <c r="G103" s="48"/>
      <c r="H103" s="48"/>
      <c r="I103" s="48"/>
      <c r="J103" s="3"/>
      <c r="K103" s="48" t="s">
        <v>585</v>
      </c>
      <c r="L103" s="48"/>
      <c r="M103" s="48"/>
      <c r="N103" s="48"/>
      <c r="O103" s="48"/>
      <c r="P103" s="48"/>
      <c r="Q103" s="48"/>
      <c r="R103" s="48"/>
      <c r="T103" s="48" t="s">
        <v>54</v>
      </c>
      <c r="U103" s="48"/>
      <c r="V103" s="48"/>
      <c r="W103" s="48"/>
      <c r="X103" s="48"/>
      <c r="Y103" s="48"/>
      <c r="Z103" s="48"/>
      <c r="AA103" s="48"/>
      <c r="AB103" s="3"/>
      <c r="AC103" s="48" t="s">
        <v>55</v>
      </c>
      <c r="AD103" s="48"/>
      <c r="AE103" s="48"/>
      <c r="AF103" s="48"/>
      <c r="AG103" s="48"/>
      <c r="AH103" s="48"/>
      <c r="AI103" s="48"/>
      <c r="AJ103" s="48"/>
      <c r="AL103" s="48" t="s">
        <v>1</v>
      </c>
      <c r="AM103" s="48"/>
      <c r="AN103" s="48"/>
      <c r="AO103" s="48"/>
      <c r="AP103" s="48"/>
      <c r="AQ103" s="48"/>
      <c r="AR103" s="48"/>
      <c r="AS103" s="48"/>
    </row>
    <row r="104" spans="1:45" ht="15" customHeight="1" x14ac:dyDescent="0.25">
      <c r="A104" s="8"/>
      <c r="B104" s="19" cm="1">
        <f t="array" aca="1" ref="B104" ca="1">IF($C$100, INDEX((C229:C236,M229:M236),$H$101,1,$G$100+1), B104)</f>
        <v>0</v>
      </c>
      <c r="C104" s="19" cm="1">
        <f t="array" aca="1" ref="C104" ca="1">IF($C$100, INDEX((D229:D236,N229:N236),$H$101,1,$G$100+1), C104)</f>
        <v>0</v>
      </c>
      <c r="D104" s="19" cm="1">
        <f t="array" aca="1" ref="D104" ca="1">IF($C$100, INDEX((E229:E236,O229:O236),$H$101,1,$G$100+1), D104)</f>
        <v>0</v>
      </c>
      <c r="E104" s="19" cm="1">
        <f t="array" aca="1" ref="E104" ca="1">IF($C$100, INDEX((F229:F236,P229:P236),$H$101,1,$G$100+1), E104)</f>
        <v>0</v>
      </c>
      <c r="F104" s="19" cm="1">
        <f t="array" aca="1" ref="F104" ca="1">IF($C$100, INDEX((G229:G236,Q229:Q236),$H$101,1,$G$100+1), F104)</f>
        <v>0</v>
      </c>
      <c r="G104" s="19" cm="1">
        <f t="array" aca="1" ref="G104" ca="1">IF($C$100, INDEX((H229:H236,R229:R236),$H$101,1,$G$100+1), G104)</f>
        <v>0</v>
      </c>
      <c r="H104" s="19" cm="1">
        <f t="array" aca="1" ref="H104" ca="1">IF($C$100, INDEX((I229:I236,S229:S236),$H$101,1,$G$100+1), H104)</f>
        <v>0</v>
      </c>
      <c r="I104" s="19" cm="1">
        <f t="array" aca="1" ref="I104" ca="1">IF($C$100, INDEX((J229:J236,T229:T236),$H$101,1,$G$100+1), I104)</f>
        <v>0</v>
      </c>
      <c r="J104" s="3"/>
      <c r="K104" s="19" cm="1">
        <f t="array" aca="1" ref="K104" ca="1">IF($C$100, INDEX((C229:C236,M229:M236),$O$101,1,$N$100+1), K104)</f>
        <v>0</v>
      </c>
      <c r="L104" s="19" cm="1">
        <f t="array" aca="1" ref="L104" ca="1">IF($C$100, INDEX((D229:D236,N229:N236),$O$101,1,$N$100+1), L104)</f>
        <v>0</v>
      </c>
      <c r="M104" s="19" cm="1">
        <f t="array" aca="1" ref="M104" ca="1">IF($C$100, INDEX((E229:E236,O229:O236),$O$101,1,$N$100+1), M104)</f>
        <v>0</v>
      </c>
      <c r="N104" s="19" cm="1">
        <f t="array" aca="1" ref="N104" ca="1">IF($C$100, INDEX((F229:F236,P229:P236),$O$101,1,$N$100+1), N104)</f>
        <v>0</v>
      </c>
      <c r="O104" s="19" cm="1">
        <f t="array" aca="1" ref="O104" ca="1">IF($C$100, INDEX((G229:G236,Q229:Q236),$O$101,1,$N$100+1), O104)</f>
        <v>0</v>
      </c>
      <c r="P104" s="19" cm="1">
        <f t="array" aca="1" ref="P104" ca="1">IF($C$100, INDEX((H229:H236,R229:R236),$O$101,1,$N$100+1), P104)</f>
        <v>0</v>
      </c>
      <c r="Q104" s="19" cm="1">
        <f t="array" aca="1" ref="Q104" ca="1">IF($C$100, INDEX((I229:I236,S229:S236),$O$101,1,$N$100+1), Q104)</f>
        <v>0</v>
      </c>
      <c r="R104" s="19" cm="1">
        <f t="array" aca="1" ref="R104" ca="1">IF($C$100, INDEX((J229:J236,T229:T236),$O$101,1,$N$100+1), R104)</f>
        <v>0</v>
      </c>
      <c r="T104" s="19" cm="1">
        <f t="array" aca="1" ref="T104" ca="1">IF($Y$100, INDEX((C229:C236,M229:M236),($AD$101*2)-1,1,$AC$100+1), T104)</f>
        <v>0</v>
      </c>
      <c r="U104" s="19" cm="1">
        <f t="array" aca="1" ref="U104" ca="1">IF($Y$100, INDEX((D229:D236,N229:N236),($AD$101*2)-1,1,$AC$100+1), U104)</f>
        <v>0</v>
      </c>
      <c r="V104" s="19" cm="1">
        <f t="array" aca="1" ref="V104" ca="1">IF($Y$100, INDEX((E229:E236,O229:O236),($AD$101*2)-1,1,$AC$100+1), V104)</f>
        <v>0</v>
      </c>
      <c r="W104" s="19" cm="1">
        <f t="array" aca="1" ref="W104" ca="1">IF($Y$100, INDEX((F229:F236,P229:P236),($AD$101*2)-1,1,$AC$100+1), W104)</f>
        <v>0</v>
      </c>
      <c r="X104" s="19" cm="1">
        <f t="array" aca="1" ref="X104" ca="1">IF($Y$100, INDEX((G229:G236,Q229:Q236),($AD$101*2)-1,1,$AC$100+1), X104)</f>
        <v>0</v>
      </c>
      <c r="Y104" s="19" cm="1">
        <f t="array" aca="1" ref="Y104" ca="1">IF($Y$100, INDEX((H229:H236,R229:R236),($AD$101*2)-1,1,$AC$100+1), Y104)</f>
        <v>0</v>
      </c>
      <c r="Z104" s="19" cm="1">
        <f t="array" aca="1" ref="Z104" ca="1">IF($Y$100, INDEX((I229:I236,S229:S236),($AD$101*2)-1,1,$AC$100+1), Z104)</f>
        <v>0</v>
      </c>
      <c r="AA104" s="19" cm="1">
        <f t="array" aca="1" ref="AA104" ca="1">IF($Y$100, INDEX((J229:J236,T229:T236),($AD$101*2)-1,1,$AC$100+1), AA104)</f>
        <v>0</v>
      </c>
      <c r="AB104" s="3"/>
      <c r="AC104" s="19" cm="1">
        <f t="array" aca="1" ref="AC104" ca="1">IF($Y$100, INDEX((C229:C236,M229:M236),($AD$101*2),1,$AC$100+1), AC104)</f>
        <v>0</v>
      </c>
      <c r="AD104" s="19" cm="1">
        <f t="array" aca="1" ref="AD104" ca="1">IF($Y$100, INDEX((D229:D236,N229:N236),($AD$101*2),1,$AC$100+1), AD104)</f>
        <v>0</v>
      </c>
      <c r="AE104" s="19" cm="1">
        <f t="array" aca="1" ref="AE104" ca="1">IF($Y$100, INDEX((E229:E236,O229:O236),($AD$101*2),1,$AC$100+1), AE104)</f>
        <v>0</v>
      </c>
      <c r="AF104" s="19" cm="1">
        <f t="array" aca="1" ref="AF104" ca="1">IF($Y$100, INDEX((F229:F236,P229:P236),($AD$101*2),1,$AC$100+1), AF104)</f>
        <v>0</v>
      </c>
      <c r="AG104" s="19" cm="1">
        <f t="array" aca="1" ref="AG104" ca="1">IF($Y$100, INDEX((G229:G236,Q229:Q236),($AD$101*2),1,$AC$100+1), AG104)</f>
        <v>0</v>
      </c>
      <c r="AH104" s="19" cm="1">
        <f t="array" aca="1" ref="AH104" ca="1">IF($Y$100, INDEX((H229:H236,R229:R236),($AD$101*2),1,$AC$100+1), AH104)</f>
        <v>0</v>
      </c>
      <c r="AI104" s="19" cm="1">
        <f t="array" aca="1" ref="AI104" ca="1">IF($Y$100, INDEX((I229:I236,S229:S236),($AD$101*2),1,$AC$100+1), AI104)</f>
        <v>0</v>
      </c>
      <c r="AJ104" s="19" cm="1">
        <f t="array" aca="1" ref="AJ104" ca="1">IF($Y$100, INDEX((J229:J236,T229:T236),($AD$101*2),1,$AC$100+1), AJ104)</f>
        <v>0</v>
      </c>
      <c r="AL104" s="19" cm="1">
        <f t="array" aca="1" ref="AL104" ca="1">IF($AL$100, INDEX((C155:C162,M155:M162),$AQ$101,1,$AP$100+1), AL104)</f>
        <v>0</v>
      </c>
      <c r="AM104" s="19" cm="1">
        <f t="array" aca="1" ref="AM104" ca="1">IF($AL$100, INDEX((D155:D162,N155:N162),$AQ$101,1,$AP$100+1), AM104)</f>
        <v>0</v>
      </c>
      <c r="AN104" s="19" cm="1">
        <f t="array" aca="1" ref="AN104" ca="1">IF($AL$100, INDEX((E155:E162,O155:O162),$AQ$101,1,$AP$100+1), AN104)</f>
        <v>0</v>
      </c>
      <c r="AO104" s="19" cm="1">
        <f t="array" aca="1" ref="AO104" ca="1">IF($AL$100, INDEX((F155:F162,P155:P162),$AQ$101,1,$AP$100+1), AO104)</f>
        <v>0</v>
      </c>
      <c r="AP104" s="19" cm="1">
        <f t="array" aca="1" ref="AP104" ca="1">IF($AL$100, INDEX((G155:G162,Q155:Q162),$AQ$101,1,$AP$100+1), AP104)</f>
        <v>0</v>
      </c>
      <c r="AQ104" s="19" cm="1">
        <f t="array" aca="1" ref="AQ104" ca="1">IF($AL$100, INDEX((H155:H162,R155:R162),$AQ$101,1,$AP$100+1), AQ104)</f>
        <v>0</v>
      </c>
      <c r="AR104" s="19" cm="1">
        <f t="array" aca="1" ref="AR104" ca="1">IF($AL$100, INDEX((I155:I162,S155:S162),$AQ$101,1,$AP$100+1), AR104)</f>
        <v>0</v>
      </c>
      <c r="AS104" s="19" cm="1">
        <f t="array" aca="1" ref="AS104" ca="1">IF($AL$100, INDEX((J155:J162,T155:T162),$AQ$101,1,$AP$100+1), AS104)</f>
        <v>0</v>
      </c>
    </row>
    <row r="105" spans="1:45" ht="15" customHeight="1" x14ac:dyDescent="0.25">
      <c r="A105" s="8"/>
    </row>
    <row r="106" spans="1:45" ht="15" customHeight="1" x14ac:dyDescent="0.25">
      <c r="A106" s="8"/>
    </row>
    <row r="107" spans="1:45" ht="15" customHeight="1" x14ac:dyDescent="0.25">
      <c r="A107" s="8"/>
    </row>
    <row r="108" spans="1:45" ht="15" customHeight="1" x14ac:dyDescent="0.25">
      <c r="A108" s="8"/>
    </row>
    <row r="109" spans="1:45" ht="15" customHeight="1" x14ac:dyDescent="0.25">
      <c r="A109" s="8"/>
      <c r="B109" s="49" t="s">
        <v>218</v>
      </c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</row>
    <row r="110" spans="1:45" ht="15" customHeight="1" x14ac:dyDescent="0.25">
      <c r="A110" s="8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</row>
    <row r="111" spans="1:45" ht="15" customHeight="1" x14ac:dyDescent="0.25">
      <c r="A111" s="8"/>
      <c r="B111" s="3"/>
      <c r="C111" s="3"/>
      <c r="D111" s="3"/>
      <c r="E111" s="3"/>
      <c r="F111" s="3"/>
      <c r="G111" s="3"/>
      <c r="H111" s="3"/>
      <c r="I111" s="11">
        <f>L2</f>
        <v>0</v>
      </c>
      <c r="J111" s="3"/>
      <c r="K111" s="2">
        <f ca="1">AB82</f>
        <v>0</v>
      </c>
      <c r="L111" s="3"/>
      <c r="M111" s="2">
        <f>AC82</f>
        <v>0</v>
      </c>
      <c r="N111" s="3"/>
      <c r="O111" s="2" t="b">
        <f>H2</f>
        <v>1</v>
      </c>
      <c r="P111" s="3"/>
      <c r="Q111" s="3"/>
      <c r="R111" s="3"/>
      <c r="S111" s="3"/>
      <c r="T111" s="3"/>
      <c r="U111" s="3"/>
      <c r="V111" s="3"/>
    </row>
    <row r="112" spans="1:45" ht="15" customHeight="1" x14ac:dyDescent="0.25">
      <c r="A112" s="8"/>
      <c r="B112" s="3"/>
      <c r="C112" s="3"/>
      <c r="D112" s="3"/>
      <c r="E112" s="3"/>
      <c r="F112" s="3"/>
      <c r="G112" s="3"/>
      <c r="H112" s="3"/>
      <c r="I112" s="2" t="s">
        <v>23</v>
      </c>
      <c r="J112" s="3"/>
      <c r="K112" s="2" t="s">
        <v>22</v>
      </c>
      <c r="L112" s="3"/>
      <c r="M112" s="2" t="s">
        <v>253</v>
      </c>
      <c r="N112" s="3"/>
      <c r="O112" s="2" t="s">
        <v>255</v>
      </c>
      <c r="P112" s="3"/>
      <c r="Q112" s="3"/>
      <c r="R112" s="3"/>
      <c r="S112" s="3"/>
      <c r="T112" s="3"/>
      <c r="U112" s="3"/>
      <c r="V112" s="3"/>
    </row>
    <row r="113" spans="1:42" ht="15" customHeight="1" x14ac:dyDescent="0.25">
      <c r="A113" s="8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42" ht="15" customHeight="1" x14ac:dyDescent="0.25">
      <c r="A114" s="8"/>
      <c r="B114" s="3"/>
      <c r="C114" s="3"/>
      <c r="D114" s="3"/>
      <c r="E114" s="3"/>
      <c r="F114" s="3"/>
      <c r="G114" s="18">
        <f t="shared" ref="G114:N114" ca="1" si="8">IF($I$111,G119,G114)</f>
        <v>1</v>
      </c>
      <c r="H114" s="18">
        <f t="shared" ca="1" si="8"/>
        <v>1</v>
      </c>
      <c r="I114" s="18">
        <f t="shared" ca="1" si="8"/>
        <v>1</v>
      </c>
      <c r="J114" s="18">
        <f t="shared" ca="1" si="8"/>
        <v>1</v>
      </c>
      <c r="K114" s="18">
        <f t="shared" ca="1" si="8"/>
        <v>1</v>
      </c>
      <c r="L114" s="18">
        <f t="shared" ca="1" si="8"/>
        <v>1</v>
      </c>
      <c r="M114" s="18">
        <f t="shared" ca="1" si="8"/>
        <v>1</v>
      </c>
      <c r="N114" s="18">
        <f t="shared" ca="1" si="8"/>
        <v>1</v>
      </c>
      <c r="O114" s="3"/>
      <c r="P114" s="3"/>
      <c r="Q114" s="3"/>
      <c r="R114" s="3"/>
      <c r="S114" s="3"/>
      <c r="T114" s="3"/>
      <c r="U114" s="3"/>
      <c r="V114" s="3"/>
    </row>
    <row r="115" spans="1:42" ht="15" customHeight="1" x14ac:dyDescent="0.25">
      <c r="A115" s="8"/>
      <c r="B115" s="3"/>
      <c r="C115" s="3"/>
      <c r="D115" s="3"/>
      <c r="E115" s="3"/>
      <c r="F115" s="3"/>
      <c r="G115" s="65" t="s">
        <v>264</v>
      </c>
      <c r="H115" s="65"/>
      <c r="I115" s="65"/>
      <c r="J115" s="65"/>
      <c r="K115" s="65"/>
      <c r="L115" s="65"/>
      <c r="M115" s="65"/>
      <c r="N115" s="65"/>
      <c r="O115" s="3"/>
      <c r="P115" s="3"/>
      <c r="Q115" s="3"/>
      <c r="R115" s="3"/>
      <c r="S115" s="3"/>
      <c r="T115" s="3"/>
      <c r="U115" s="3"/>
      <c r="V115" s="3"/>
    </row>
    <row r="116" spans="1:42" ht="15" customHeight="1" x14ac:dyDescent="0.25">
      <c r="A116" s="8"/>
      <c r="B116" s="3"/>
      <c r="C116" s="3"/>
      <c r="D116" s="3"/>
      <c r="E116" s="3"/>
      <c r="F116" s="3"/>
      <c r="G116" s="17">
        <f>ABS(M111-1)</f>
        <v>1</v>
      </c>
      <c r="H116" s="17">
        <f>ABS(M111-1)</f>
        <v>1</v>
      </c>
      <c r="I116" s="17">
        <f>ABS(M111-1)</f>
        <v>1</v>
      </c>
      <c r="J116" s="17">
        <f>ABS(M111-1)</f>
        <v>1</v>
      </c>
      <c r="K116" s="17">
        <f>ABS(M111-1)</f>
        <v>1</v>
      </c>
      <c r="L116" s="17">
        <f>ABS(M111-1)</f>
        <v>1</v>
      </c>
      <c r="M116" s="17">
        <f>ABS(M111-1)</f>
        <v>1</v>
      </c>
      <c r="N116" s="17">
        <v>1</v>
      </c>
      <c r="O116" s="53" t="s">
        <v>266</v>
      </c>
      <c r="P116" s="53"/>
      <c r="Q116" s="53"/>
      <c r="R116" s="3"/>
      <c r="S116" s="3"/>
      <c r="T116" s="3"/>
      <c r="U116" s="3"/>
      <c r="V116" s="3"/>
    </row>
    <row r="117" spans="1:42" ht="15" customHeight="1" x14ac:dyDescent="0.25">
      <c r="A117" s="8"/>
      <c r="B117" s="3"/>
      <c r="C117" s="3"/>
      <c r="D117" s="3"/>
      <c r="E117" s="3"/>
      <c r="F117" s="3"/>
      <c r="G117" s="17" t="b">
        <f>AND(N119,N116)</f>
        <v>1</v>
      </c>
      <c r="H117" s="17" t="b">
        <f>M119+M116+G117&gt;=2</f>
        <v>1</v>
      </c>
      <c r="I117" s="17" t="b">
        <f>L119+L116+H117&gt;=2</f>
        <v>1</v>
      </c>
      <c r="J117" s="17" t="b">
        <f>K119+K116+I117&gt;=2</f>
        <v>1</v>
      </c>
      <c r="K117" s="17" t="b">
        <f>J119+J116+J117&gt;=2</f>
        <v>1</v>
      </c>
      <c r="L117" s="17" t="b">
        <f>I119+I116+K117&gt;=2</f>
        <v>1</v>
      </c>
      <c r="M117" s="17" t="b">
        <f>H119+H116+L117&gt;=2</f>
        <v>1</v>
      </c>
      <c r="N117" s="17" t="b">
        <f>G119+G116+M117&gt;=2</f>
        <v>1</v>
      </c>
      <c r="O117" s="53" t="s">
        <v>256</v>
      </c>
      <c r="P117" s="53"/>
      <c r="Q117" s="53"/>
      <c r="R117" s="3"/>
      <c r="S117" s="3"/>
      <c r="T117" s="3"/>
      <c r="U117" s="3"/>
      <c r="V117" s="3"/>
    </row>
    <row r="118" spans="1:42" ht="15" customHeight="1" x14ac:dyDescent="0.25">
      <c r="A118" s="8"/>
      <c r="B118" s="3"/>
      <c r="C118" s="3"/>
      <c r="D118" s="3"/>
      <c r="E118" s="3"/>
      <c r="F118" s="3"/>
      <c r="G118" s="17" t="b">
        <f>_xlfn.XOR(G119,G116,M117)</f>
        <v>1</v>
      </c>
      <c r="H118" s="17" t="b">
        <f>_xlfn.XOR(H119,H116,L117)</f>
        <v>1</v>
      </c>
      <c r="I118" s="17" t="b">
        <f>_xlfn.XOR(I119,I116,K117)</f>
        <v>1</v>
      </c>
      <c r="J118" s="17" t="b">
        <f>_xlfn.XOR(J119,J116,J117)</f>
        <v>1</v>
      </c>
      <c r="K118" s="17" t="b">
        <f>_xlfn.XOR(K119,K116,I117)</f>
        <v>1</v>
      </c>
      <c r="L118" s="17" t="b">
        <f>_xlfn.XOR(L119,L116,H117)</f>
        <v>1</v>
      </c>
      <c r="M118" s="17" t="b">
        <f>_xlfn.XOR(M119,M116,G117)</f>
        <v>1</v>
      </c>
      <c r="N118" s="17" t="b">
        <f>_xlfn.XOR(N119,N116)</f>
        <v>0</v>
      </c>
      <c r="O118" s="53" t="s">
        <v>267</v>
      </c>
      <c r="P118" s="53"/>
      <c r="Q118" s="53"/>
      <c r="R118" s="3"/>
      <c r="S118" s="3"/>
      <c r="T118" s="3"/>
      <c r="U118" s="3"/>
      <c r="V118" s="3"/>
    </row>
    <row r="119" spans="1:42" ht="15" customHeight="1" x14ac:dyDescent="0.25">
      <c r="A119" s="8"/>
      <c r="B119" s="3"/>
      <c r="C119" s="3"/>
      <c r="D119" s="3"/>
      <c r="E119" s="3"/>
      <c r="F119" s="3"/>
      <c r="G119" s="19">
        <f>IF(O111, 1, IF(AND(I111,K111),G118,G119))</f>
        <v>1</v>
      </c>
      <c r="H119" s="19">
        <f>IF(O111, 1, IF(AND(I111,K111),H118,H119))</f>
        <v>1</v>
      </c>
      <c r="I119" s="19">
        <f>IF(O111, 1, IF(AND(I111,K111),I118,I119))</f>
        <v>1</v>
      </c>
      <c r="J119" s="19">
        <f>IF(O111, 1, IF(AND(I111,K111),J118,J119))</f>
        <v>1</v>
      </c>
      <c r="K119" s="19">
        <f>IF(O111, 1, IF(AND(I111,K111),K118,K119))</f>
        <v>1</v>
      </c>
      <c r="L119" s="19">
        <f>IF(O111, 1, IF(AND(I111,K111),L118,L119))</f>
        <v>1</v>
      </c>
      <c r="M119" s="19">
        <f>IF(O111, 1, IF(AND(I111,K111),M118,M119))</f>
        <v>1</v>
      </c>
      <c r="N119" s="19">
        <f>IF(O111, 1, IF(AND(I111,K111),N118,N119))</f>
        <v>1</v>
      </c>
      <c r="O119" s="3"/>
      <c r="P119" s="3"/>
      <c r="Q119" s="3"/>
      <c r="R119" s="3"/>
      <c r="S119" s="3"/>
      <c r="T119" s="3"/>
      <c r="U119" s="3"/>
      <c r="V119" s="3"/>
    </row>
    <row r="120" spans="1:42" ht="15" customHeight="1" x14ac:dyDescent="0.25">
      <c r="A120" s="8"/>
      <c r="B120" s="3"/>
      <c r="C120" s="3"/>
      <c r="D120" s="3"/>
      <c r="E120" s="3"/>
      <c r="F120" s="3"/>
      <c r="G120" s="48" t="s">
        <v>265</v>
      </c>
      <c r="H120" s="48"/>
      <c r="I120" s="48"/>
      <c r="J120" s="48"/>
      <c r="K120" s="48"/>
      <c r="L120" s="48"/>
      <c r="M120" s="48"/>
      <c r="N120" s="48"/>
      <c r="O120" s="3"/>
      <c r="P120" s="3"/>
      <c r="Q120" s="3"/>
      <c r="R120" s="3"/>
      <c r="S120" s="3"/>
      <c r="T120" s="3"/>
      <c r="U120" s="3"/>
      <c r="V120" s="3"/>
    </row>
    <row r="121" spans="1:42" ht="15" customHeight="1" x14ac:dyDescent="0.25">
      <c r="A121" s="8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42" ht="15" customHeight="1" x14ac:dyDescent="0.25">
      <c r="A122" s="8"/>
      <c r="B122" s="48" t="s">
        <v>268</v>
      </c>
      <c r="C122" s="48"/>
      <c r="D122" s="48"/>
      <c r="E122" s="48"/>
      <c r="F122" s="48"/>
      <c r="G122" s="48"/>
      <c r="H122" s="48"/>
      <c r="I122" s="48"/>
      <c r="J122" s="3"/>
      <c r="K122" s="48" t="s">
        <v>269</v>
      </c>
      <c r="L122" s="48"/>
      <c r="M122" s="48"/>
      <c r="N122" s="48"/>
      <c r="O122" s="48"/>
      <c r="P122" s="48"/>
      <c r="Q122" s="48"/>
      <c r="R122" s="48"/>
      <c r="S122" s="3"/>
      <c r="T122" s="48" t="s">
        <v>254</v>
      </c>
      <c r="U122" s="48"/>
      <c r="V122" s="48"/>
    </row>
    <row r="123" spans="1:42" ht="15" customHeight="1" x14ac:dyDescent="0.25">
      <c r="A123" s="8"/>
      <c r="B123" s="19">
        <f t="shared" ref="B123:I123" ca="1" si="9">G114</f>
        <v>1</v>
      </c>
      <c r="C123" s="19">
        <f t="shared" ca="1" si="9"/>
        <v>1</v>
      </c>
      <c r="D123" s="19">
        <f t="shared" ca="1" si="9"/>
        <v>1</v>
      </c>
      <c r="E123" s="19">
        <f t="shared" ca="1" si="9"/>
        <v>1</v>
      </c>
      <c r="F123" s="19">
        <f t="shared" ca="1" si="9"/>
        <v>1</v>
      </c>
      <c r="G123" s="19">
        <f t="shared" ca="1" si="9"/>
        <v>1</v>
      </c>
      <c r="H123" s="19">
        <f t="shared" ca="1" si="9"/>
        <v>1</v>
      </c>
      <c r="I123" s="19">
        <f t="shared" ca="1" si="9"/>
        <v>1</v>
      </c>
      <c r="J123" s="3"/>
      <c r="K123" s="19">
        <f t="shared" ref="K123:R123" si="10">G119</f>
        <v>1</v>
      </c>
      <c r="L123" s="19">
        <f t="shared" si="10"/>
        <v>1</v>
      </c>
      <c r="M123" s="19">
        <f t="shared" si="10"/>
        <v>1</v>
      </c>
      <c r="N123" s="19">
        <f t="shared" si="10"/>
        <v>1</v>
      </c>
      <c r="O123" s="19">
        <f t="shared" si="10"/>
        <v>1</v>
      </c>
      <c r="P123" s="19">
        <f t="shared" si="10"/>
        <v>1</v>
      </c>
      <c r="Q123" s="19">
        <f t="shared" si="10"/>
        <v>1</v>
      </c>
      <c r="R123" s="19">
        <f t="shared" si="10"/>
        <v>1</v>
      </c>
      <c r="S123" s="3"/>
      <c r="T123" s="19"/>
      <c r="U123" s="19" t="b">
        <f ca="1">IF(AND(I111,K111),NOT(_xlfn.XOR(M111,N117)),U123)</f>
        <v>0</v>
      </c>
      <c r="V123" s="19"/>
    </row>
    <row r="124" spans="1:42" ht="15" customHeight="1" x14ac:dyDescent="0.25">
      <c r="A124" s="8"/>
    </row>
    <row r="125" spans="1:42" ht="15" customHeight="1" x14ac:dyDescent="0.25">
      <c r="A125" s="8"/>
    </row>
    <row r="126" spans="1:42" ht="15" customHeight="1" x14ac:dyDescent="0.25">
      <c r="A126" s="8"/>
    </row>
    <row r="127" spans="1:42" ht="15" customHeight="1" x14ac:dyDescent="0.25">
      <c r="A127" s="8"/>
    </row>
    <row r="128" spans="1:42" ht="15" customHeight="1" x14ac:dyDescent="0.25">
      <c r="A128" s="8"/>
      <c r="B128" s="49" t="s">
        <v>577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</row>
    <row r="129" spans="1:42" ht="15" customHeight="1" x14ac:dyDescent="0.25">
      <c r="A129" s="8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</row>
    <row r="130" spans="1:42" ht="15" customHeight="1" x14ac:dyDescent="0.25">
      <c r="A130" s="8"/>
      <c r="B130" s="47" t="s">
        <v>312</v>
      </c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3"/>
      <c r="O130" s="47" t="s">
        <v>277</v>
      </c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3"/>
      <c r="AB130" s="47" t="s">
        <v>182</v>
      </c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3"/>
      <c r="AO130" s="47" t="s">
        <v>10</v>
      </c>
      <c r="AP130" s="47"/>
    </row>
    <row r="131" spans="1:42" ht="15" customHeight="1" x14ac:dyDescent="0.25">
      <c r="A131" s="8"/>
      <c r="B131" s="2">
        <f t="shared" ref="B131:M131" si="11">F31</f>
        <v>1</v>
      </c>
      <c r="C131" s="2">
        <f t="shared" si="11"/>
        <v>1</v>
      </c>
      <c r="D131" s="2">
        <f t="shared" si="11"/>
        <v>1</v>
      </c>
      <c r="E131" s="2">
        <f t="shared" si="11"/>
        <v>1</v>
      </c>
      <c r="F131" s="2">
        <f t="shared" si="11"/>
        <v>1</v>
      </c>
      <c r="G131" s="2">
        <f t="shared" si="11"/>
        <v>1</v>
      </c>
      <c r="H131" s="2">
        <f t="shared" si="11"/>
        <v>1</v>
      </c>
      <c r="I131" s="2">
        <f t="shared" si="11"/>
        <v>1</v>
      </c>
      <c r="J131" s="2">
        <f t="shared" si="11"/>
        <v>1</v>
      </c>
      <c r="K131" s="2">
        <f t="shared" si="11"/>
        <v>1</v>
      </c>
      <c r="L131" s="2">
        <f t="shared" si="11"/>
        <v>1</v>
      </c>
      <c r="M131" s="2">
        <f t="shared" si="11"/>
        <v>1</v>
      </c>
      <c r="N131" s="3"/>
      <c r="O131" s="3">
        <v>1</v>
      </c>
      <c r="P131" s="3">
        <v>1</v>
      </c>
      <c r="Q131" s="3">
        <v>1</v>
      </c>
      <c r="R131" s="3">
        <v>1</v>
      </c>
      <c r="S131" s="2">
        <f t="shared" ref="S131" si="12">K123</f>
        <v>1</v>
      </c>
      <c r="T131" s="2">
        <f t="shared" ref="T131:Z131" si="13">L123</f>
        <v>1</v>
      </c>
      <c r="U131" s="2">
        <f t="shared" si="13"/>
        <v>1</v>
      </c>
      <c r="V131" s="2">
        <f t="shared" si="13"/>
        <v>1</v>
      </c>
      <c r="W131" s="2">
        <f t="shared" si="13"/>
        <v>1</v>
      </c>
      <c r="X131" s="2">
        <f t="shared" si="13"/>
        <v>1</v>
      </c>
      <c r="Y131" s="2">
        <f t="shared" si="13"/>
        <v>1</v>
      </c>
      <c r="Z131" s="2">
        <f t="shared" si="13"/>
        <v>1</v>
      </c>
      <c r="AA131" s="3"/>
      <c r="AB131" s="2">
        <f ca="1">X104</f>
        <v>0</v>
      </c>
      <c r="AC131" s="2">
        <f ca="1">Y104</f>
        <v>0</v>
      </c>
      <c r="AD131" s="2">
        <f ca="1">Z104</f>
        <v>0</v>
      </c>
      <c r="AE131" s="2">
        <f ca="1">AA104</f>
        <v>0</v>
      </c>
      <c r="AF131" s="2">
        <f t="shared" ref="AF131:AM131" ca="1" si="14">AC104</f>
        <v>0</v>
      </c>
      <c r="AG131" s="2">
        <f t="shared" ca="1" si="14"/>
        <v>0</v>
      </c>
      <c r="AH131" s="2">
        <f t="shared" ca="1" si="14"/>
        <v>0</v>
      </c>
      <c r="AI131" s="2">
        <f t="shared" ca="1" si="14"/>
        <v>0</v>
      </c>
      <c r="AJ131" s="2">
        <f t="shared" ca="1" si="14"/>
        <v>0</v>
      </c>
      <c r="AK131" s="2">
        <f t="shared" ca="1" si="14"/>
        <v>0</v>
      </c>
      <c r="AL131" s="2">
        <f t="shared" ca="1" si="14"/>
        <v>0</v>
      </c>
      <c r="AM131" s="2">
        <f t="shared" ca="1" si="14"/>
        <v>0</v>
      </c>
      <c r="AN131" s="3"/>
      <c r="AO131" s="2">
        <f>O82</f>
        <v>0</v>
      </c>
      <c r="AP131" s="2">
        <f>P82</f>
        <v>0</v>
      </c>
    </row>
    <row r="132" spans="1:42" ht="15" customHeight="1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50">
        <f>(AO131*2)+(AP131*1)+1</f>
        <v>1</v>
      </c>
      <c r="AP132" s="50"/>
    </row>
    <row r="133" spans="1:42" ht="15" customHeight="1" x14ac:dyDescent="0.25">
      <c r="A133" s="8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5" customHeight="1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0" t="s">
        <v>104</v>
      </c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spans="1:42" ht="15" customHeight="1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">
        <f>CHOOSE($AO$132,B131,O131,AB131)</f>
        <v>1</v>
      </c>
      <c r="Q135" s="6">
        <f>CHOOSE($AO$132,C131,P131,AC131)</f>
        <v>1</v>
      </c>
      <c r="R135" s="6">
        <f>CHOOSE($AO$132,D131,Q131,AD131)</f>
        <v>1</v>
      </c>
      <c r="S135" s="6">
        <f t="shared" ref="S135" si="15">CHOOSE($AO$132,E131,R131,AE131)</f>
        <v>1</v>
      </c>
      <c r="T135" s="6">
        <f t="shared" ref="T135:AA135" si="16">CHOOSE($AO$132,F131,S131,AF131)</f>
        <v>1</v>
      </c>
      <c r="U135" s="6">
        <f t="shared" si="16"/>
        <v>1</v>
      </c>
      <c r="V135" s="6">
        <f t="shared" si="16"/>
        <v>1</v>
      </c>
      <c r="W135" s="6">
        <f t="shared" si="16"/>
        <v>1</v>
      </c>
      <c r="X135" s="6">
        <f t="shared" si="16"/>
        <v>1</v>
      </c>
      <c r="Y135" s="6">
        <f t="shared" si="16"/>
        <v>1</v>
      </c>
      <c r="Z135" s="6">
        <f t="shared" si="16"/>
        <v>1</v>
      </c>
      <c r="AA135" s="6">
        <f t="shared" si="16"/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spans="1:42" ht="15" customHeight="1" x14ac:dyDescent="0.25">
      <c r="A136" s="8"/>
    </row>
    <row r="137" spans="1:42" ht="15" customHeight="1" x14ac:dyDescent="0.25">
      <c r="A137" s="8"/>
      <c r="B137" s="49" t="s">
        <v>213</v>
      </c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</row>
    <row r="138" spans="1:42" ht="15" customHeight="1" x14ac:dyDescent="0.25">
      <c r="A138" s="8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</row>
    <row r="139" spans="1:42" ht="15" customHeight="1" x14ac:dyDescent="0.25">
      <c r="A139" s="8"/>
      <c r="B139" s="2" t="s">
        <v>23</v>
      </c>
      <c r="C139" s="3"/>
      <c r="D139" s="2" t="s">
        <v>22</v>
      </c>
      <c r="E139" s="3"/>
      <c r="F139" s="47" t="s">
        <v>214</v>
      </c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</row>
    <row r="140" spans="1:42" ht="15" customHeight="1" x14ac:dyDescent="0.25">
      <c r="A140" s="8"/>
      <c r="B140" s="2">
        <f>L2</f>
        <v>0</v>
      </c>
      <c r="C140" s="3"/>
      <c r="D140" s="2" t="b">
        <f>OR(G82,H2)</f>
        <v>1</v>
      </c>
      <c r="E140" s="3"/>
      <c r="F140" s="2">
        <f t="shared" ref="F140:H140" si="17">P135</f>
        <v>1</v>
      </c>
      <c r="G140" s="2">
        <f t="shared" si="17"/>
        <v>1</v>
      </c>
      <c r="H140" s="2">
        <f t="shared" si="17"/>
        <v>1</v>
      </c>
      <c r="I140" s="2">
        <f t="shared" ref="I140:Q140" si="18">S135</f>
        <v>1</v>
      </c>
      <c r="J140" s="2">
        <f t="shared" si="18"/>
        <v>1</v>
      </c>
      <c r="K140" s="2">
        <f t="shared" si="18"/>
        <v>1</v>
      </c>
      <c r="L140" s="2">
        <f t="shared" si="18"/>
        <v>1</v>
      </c>
      <c r="M140" s="2">
        <f t="shared" si="18"/>
        <v>1</v>
      </c>
      <c r="N140" s="2">
        <f t="shared" si="18"/>
        <v>1</v>
      </c>
      <c r="O140" s="2">
        <f t="shared" si="18"/>
        <v>1</v>
      </c>
      <c r="P140" s="2">
        <f t="shared" si="18"/>
        <v>1</v>
      </c>
      <c r="Q140" s="2">
        <f t="shared" si="18"/>
        <v>1</v>
      </c>
    </row>
    <row r="141" spans="1:42" ht="15" customHeight="1" x14ac:dyDescent="0.25">
      <c r="A141" s="8"/>
      <c r="B141" s="3"/>
      <c r="C141" s="3"/>
      <c r="D141" s="3"/>
      <c r="E141" s="3"/>
      <c r="F141" s="50">
        <f>((F140*4)+(G140*2)+(H140*1))*8</f>
        <v>56</v>
      </c>
      <c r="G141" s="50"/>
      <c r="H141" s="50"/>
      <c r="I141" s="50">
        <f>(I140*4)+(J140*2)+(K140*1)+1</f>
        <v>8</v>
      </c>
      <c r="J141" s="50"/>
      <c r="K141" s="50"/>
      <c r="L141" s="50">
        <f>((L140*4)+(M140*2)+(N140*1))*8*8</f>
        <v>448</v>
      </c>
      <c r="M141" s="50"/>
      <c r="N141" s="50"/>
      <c r="O141" s="50">
        <f>(((O140*4)+(P140*2)+(Q140*1))*8)+1</f>
        <v>57</v>
      </c>
      <c r="P141" s="50"/>
      <c r="Q141" s="50"/>
    </row>
    <row r="142" spans="1:42" ht="15" customHeight="1" x14ac:dyDescent="0.25">
      <c r="A142" s="8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42" ht="15" customHeight="1" x14ac:dyDescent="0.25">
      <c r="A143" s="8"/>
      <c r="B143" s="3"/>
      <c r="C143" s="3"/>
      <c r="D143" s="3"/>
      <c r="E143" s="3"/>
      <c r="F143" s="48" t="s">
        <v>24</v>
      </c>
      <c r="G143" s="48"/>
      <c r="H143" s="48"/>
      <c r="I143" s="48"/>
      <c r="J143" s="48"/>
      <c r="K143" s="48"/>
      <c r="L143" s="48"/>
      <c r="M143" s="48"/>
      <c r="N143" s="3"/>
      <c r="O143" s="3"/>
      <c r="P143" s="3"/>
      <c r="Q143" s="3"/>
    </row>
    <row r="144" spans="1:42" ht="15" customHeight="1" x14ac:dyDescent="0.25">
      <c r="A144" s="8"/>
      <c r="B144" s="3"/>
      <c r="C144" s="3"/>
      <c r="D144" s="3"/>
      <c r="E144" s="3"/>
      <c r="F144" s="19" t="b" cm="1">
        <f t="array" aca="1" ref="F144" ca="1">IF(AND($B$140,$D$140), INDEX($B$303:$SS$366,$I$141+$F$141,$O$141+$L$141),F144)</f>
        <v>0</v>
      </c>
      <c r="G144" s="19" t="b" cm="1">
        <f t="array" aca="1" ref="G144" ca="1">IF(AND($B$140,$D$140), INDEX($B$303:$SS$366,$I$141+$F$141,$O$141+$L$141+1),G144)</f>
        <v>0</v>
      </c>
      <c r="H144" s="19" t="b" cm="1">
        <f t="array" aca="1" ref="H144" ca="1">IF(AND($B$140,$D$140), INDEX($B$303:$SS$366,$I$141+$F$141,$O$141+$L$141+2),H144)</f>
        <v>0</v>
      </c>
      <c r="I144" s="19" t="b" cm="1">
        <f t="array" aca="1" ref="I144" ca="1">IF(AND($B$140,$D$140), INDEX($B$303:$SS$366,$I$141+$F$141,$O$141+$L$141+3),I144)</f>
        <v>1</v>
      </c>
      <c r="J144" s="19" t="b" cm="1">
        <f t="array" aca="1" ref="J144" ca="1">IF(AND($B$140,$D$140), INDEX($B$303:$SS$366,$I$141+$F$141,$O$141+$L$141+4),J144)</f>
        <v>0</v>
      </c>
      <c r="K144" s="19" t="b" cm="1">
        <f t="array" aca="1" ref="K144" ca="1">IF(AND($B$140,$D$140), INDEX($B$303:$SS$366,$I$141+$F$141,$O$141+$L$141+5),K144)</f>
        <v>0</v>
      </c>
      <c r="L144" s="19" t="b" cm="1">
        <f t="array" aca="1" ref="L144" ca="1">IF(AND($B$140,$D$140), INDEX($B$303:$SS$366,$I$141+$F$141,$O$141+$L$141+6),L144)</f>
        <v>0</v>
      </c>
      <c r="M144" s="19" t="b" cm="1">
        <f t="array" aca="1" ref="M144" ca="1">IF(AND($B$140,$D$140), INDEX($B$303:$SS$366,$I$141+$F$141,$O$141+$L$141+7),M144)</f>
        <v>1</v>
      </c>
      <c r="N144" s="3"/>
      <c r="O144" s="3"/>
      <c r="P144" s="3"/>
      <c r="Q144" s="3"/>
    </row>
    <row r="145" spans="1:35" ht="15" customHeight="1" x14ac:dyDescent="0.25">
      <c r="A145" s="8"/>
    </row>
    <row r="146" spans="1:35" ht="15" customHeight="1" x14ac:dyDescent="0.25">
      <c r="A146" s="8"/>
    </row>
    <row r="147" spans="1:35" ht="15" customHeight="1" x14ac:dyDescent="0.25">
      <c r="A147" s="8"/>
    </row>
    <row r="148" spans="1:35" ht="15" customHeight="1" x14ac:dyDescent="0.25">
      <c r="A148" s="8"/>
    </row>
    <row r="149" spans="1:35" ht="15" customHeight="1" x14ac:dyDescent="0.25">
      <c r="A149" s="8"/>
      <c r="B149" s="49" t="s">
        <v>592</v>
      </c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</row>
    <row r="150" spans="1:35" ht="15" customHeight="1" x14ac:dyDescent="0.25">
      <c r="A150" s="8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</row>
    <row r="151" spans="1:35" ht="15" customHeight="1" x14ac:dyDescent="0.25">
      <c r="A151" s="8"/>
      <c r="B151" s="2" t="s">
        <v>23</v>
      </c>
      <c r="C151" s="3"/>
      <c r="D151" s="2" t="s">
        <v>255</v>
      </c>
      <c r="E151" s="47" t="s">
        <v>25</v>
      </c>
      <c r="F151" s="47"/>
      <c r="G151" s="47"/>
      <c r="H151" s="52" t="s">
        <v>34</v>
      </c>
      <c r="I151" s="52"/>
      <c r="J151" s="52"/>
      <c r="K151" s="52"/>
      <c r="L151" s="3"/>
      <c r="M151" s="47" t="s">
        <v>24</v>
      </c>
      <c r="N151" s="47"/>
      <c r="O151" s="47"/>
      <c r="P151" s="47"/>
      <c r="Q151" s="47"/>
      <c r="R151" s="47"/>
      <c r="S151" s="47"/>
      <c r="T151" s="47"/>
      <c r="AH151" s="25"/>
      <c r="AI151" s="25"/>
    </row>
    <row r="152" spans="1:35" ht="15" customHeight="1" x14ac:dyDescent="0.25">
      <c r="A152" s="8"/>
      <c r="B152" s="2">
        <f>L2</f>
        <v>0</v>
      </c>
      <c r="C152" s="3"/>
      <c r="D152" s="2" t="b">
        <f>H2</f>
        <v>1</v>
      </c>
      <c r="E152" s="3"/>
      <c r="F152" s="2">
        <f>AD82</f>
        <v>0</v>
      </c>
      <c r="G152" s="3"/>
      <c r="H152" s="2">
        <f>J31</f>
        <v>1</v>
      </c>
      <c r="I152" s="2">
        <f>K31</f>
        <v>1</v>
      </c>
      <c r="J152" s="2">
        <f>L31</f>
        <v>1</v>
      </c>
      <c r="K152" s="2">
        <f>M31</f>
        <v>1</v>
      </c>
      <c r="L152" s="3"/>
      <c r="M152" s="2">
        <f t="shared" ref="M152:S152" ca="1" si="19">B104</f>
        <v>0</v>
      </c>
      <c r="N152" s="2">
        <f t="shared" ca="1" si="19"/>
        <v>0</v>
      </c>
      <c r="O152" s="2">
        <f t="shared" ca="1" si="19"/>
        <v>0</v>
      </c>
      <c r="P152" s="2">
        <f t="shared" ca="1" si="19"/>
        <v>0</v>
      </c>
      <c r="Q152" s="2">
        <f t="shared" ca="1" si="19"/>
        <v>0</v>
      </c>
      <c r="R152" s="2">
        <f t="shared" ca="1" si="19"/>
        <v>0</v>
      </c>
      <c r="S152" s="2">
        <f t="shared" ca="1" si="19"/>
        <v>0</v>
      </c>
      <c r="T152" s="2">
        <f ca="1">I104</f>
        <v>0</v>
      </c>
      <c r="AH152" s="25"/>
      <c r="AI152" s="25"/>
    </row>
    <row r="153" spans="1:35" ht="15" customHeight="1" x14ac:dyDescent="0.25">
      <c r="A153" s="8"/>
      <c r="B153" s="3"/>
      <c r="C153" s="3"/>
      <c r="D153" s="3"/>
      <c r="E153" s="3"/>
      <c r="F153" s="3"/>
      <c r="G153" s="3"/>
      <c r="H153" s="50">
        <f>(H152*8)+(I152*4)+(J152*2)+(K152*1)</f>
        <v>15</v>
      </c>
      <c r="I153" s="50"/>
      <c r="J153" s="50"/>
      <c r="K153" s="50"/>
      <c r="L153" s="3"/>
      <c r="M153" s="3"/>
      <c r="N153" s="3"/>
      <c r="O153" s="3"/>
      <c r="P153" s="3"/>
      <c r="Q153" s="3"/>
      <c r="R153" s="3"/>
      <c r="S153" s="3"/>
      <c r="T153" s="3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</row>
    <row r="154" spans="1:35" ht="15" customHeight="1" x14ac:dyDescent="0.25">
      <c r="A154" s="8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Z154" s="33"/>
      <c r="AA154" s="33"/>
      <c r="AB154" s="33"/>
      <c r="AC154" s="33"/>
      <c r="AD154" s="33"/>
      <c r="AE154" s="33"/>
      <c r="AF154" s="33"/>
      <c r="AG154" s="33"/>
    </row>
    <row r="155" spans="1:35" ht="15" customHeight="1" x14ac:dyDescent="0.25">
      <c r="A155" s="8"/>
      <c r="B155" s="6" t="s">
        <v>33</v>
      </c>
      <c r="C155" s="6">
        <f t="shared" ref="C155:H161" si="20">IF($D$152,0,IF(AND($B$152,$F$152),IF(ROW()-ROW($C$155)=$H$153,M$152,C155),C155))</f>
        <v>0</v>
      </c>
      <c r="D155" s="6">
        <f t="shared" si="20"/>
        <v>0</v>
      </c>
      <c r="E155" s="6">
        <f t="shared" si="20"/>
        <v>0</v>
      </c>
      <c r="F155" s="6">
        <f t="shared" si="20"/>
        <v>0</v>
      </c>
      <c r="G155" s="6">
        <f t="shared" si="20"/>
        <v>0</v>
      </c>
      <c r="H155" s="6">
        <f t="shared" si="20"/>
        <v>0</v>
      </c>
      <c r="I155" s="6">
        <f t="shared" ref="I155:J161" si="21">IF($D$152,0,IF(AND($B$152,$F$152),IF(ROW()-ROW($C$155)=$H$153,S$152,I155),I155))</f>
        <v>0</v>
      </c>
      <c r="J155" s="6">
        <f t="shared" si="21"/>
        <v>0</v>
      </c>
      <c r="K155" s="3"/>
      <c r="L155" s="6" t="s">
        <v>35</v>
      </c>
      <c r="M155" s="6">
        <f t="shared" ref="M155:T161" si="22">IF($D$152,0,IF(AND($B$152,$F$152),IF(ROW()-ROW($C$155)+8=$H$153,M$152,M155),M155))</f>
        <v>0</v>
      </c>
      <c r="N155" s="6">
        <f t="shared" si="22"/>
        <v>0</v>
      </c>
      <c r="O155" s="6">
        <f t="shared" si="22"/>
        <v>0</v>
      </c>
      <c r="P155" s="6">
        <f t="shared" si="22"/>
        <v>0</v>
      </c>
      <c r="Q155" s="6">
        <f t="shared" si="22"/>
        <v>0</v>
      </c>
      <c r="R155" s="6">
        <f t="shared" si="22"/>
        <v>0</v>
      </c>
      <c r="S155" s="6">
        <f t="shared" si="22"/>
        <v>0</v>
      </c>
      <c r="T155" s="6">
        <f t="shared" si="22"/>
        <v>0</v>
      </c>
    </row>
    <row r="156" spans="1:35" ht="15" customHeight="1" x14ac:dyDescent="0.25">
      <c r="A156" s="8"/>
      <c r="B156" s="29" t="s">
        <v>26</v>
      </c>
      <c r="C156" s="29">
        <f t="shared" si="20"/>
        <v>0</v>
      </c>
      <c r="D156" s="29">
        <f t="shared" si="20"/>
        <v>0</v>
      </c>
      <c r="E156" s="29">
        <f t="shared" si="20"/>
        <v>0</v>
      </c>
      <c r="F156" s="29">
        <f t="shared" si="20"/>
        <v>0</v>
      </c>
      <c r="G156" s="29">
        <f t="shared" si="20"/>
        <v>0</v>
      </c>
      <c r="H156" s="29">
        <f t="shared" si="20"/>
        <v>0</v>
      </c>
      <c r="I156" s="29">
        <f t="shared" si="21"/>
        <v>0</v>
      </c>
      <c r="J156" s="29">
        <f t="shared" si="21"/>
        <v>0</v>
      </c>
      <c r="K156" s="3"/>
      <c r="L156" s="29" t="s">
        <v>36</v>
      </c>
      <c r="M156" s="29">
        <f t="shared" si="22"/>
        <v>0</v>
      </c>
      <c r="N156" s="29">
        <f t="shared" si="22"/>
        <v>0</v>
      </c>
      <c r="O156" s="29">
        <f t="shared" si="22"/>
        <v>0</v>
      </c>
      <c r="P156" s="29">
        <f t="shared" si="22"/>
        <v>0</v>
      </c>
      <c r="Q156" s="29">
        <f t="shared" si="22"/>
        <v>0</v>
      </c>
      <c r="R156" s="29">
        <f t="shared" si="22"/>
        <v>0</v>
      </c>
      <c r="S156" s="29">
        <f t="shared" si="22"/>
        <v>0</v>
      </c>
      <c r="T156" s="29">
        <f t="shared" si="22"/>
        <v>0</v>
      </c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</row>
    <row r="157" spans="1:35" ht="15" customHeight="1" x14ac:dyDescent="0.25">
      <c r="A157" s="8"/>
      <c r="B157" s="30" t="s">
        <v>27</v>
      </c>
      <c r="C157" s="30">
        <f t="shared" si="20"/>
        <v>0</v>
      </c>
      <c r="D157" s="30">
        <f t="shared" si="20"/>
        <v>0</v>
      </c>
      <c r="E157" s="30">
        <f t="shared" si="20"/>
        <v>0</v>
      </c>
      <c r="F157" s="30">
        <f t="shared" si="20"/>
        <v>0</v>
      </c>
      <c r="G157" s="30">
        <f t="shared" si="20"/>
        <v>0</v>
      </c>
      <c r="H157" s="30">
        <f t="shared" si="20"/>
        <v>0</v>
      </c>
      <c r="I157" s="30">
        <f t="shared" si="21"/>
        <v>0</v>
      </c>
      <c r="J157" s="30">
        <f t="shared" si="21"/>
        <v>0</v>
      </c>
      <c r="K157" s="3"/>
      <c r="L157" s="30" t="s">
        <v>37</v>
      </c>
      <c r="M157" s="30">
        <f t="shared" si="22"/>
        <v>0</v>
      </c>
      <c r="N157" s="30">
        <f t="shared" si="22"/>
        <v>0</v>
      </c>
      <c r="O157" s="30">
        <f t="shared" si="22"/>
        <v>0</v>
      </c>
      <c r="P157" s="30">
        <f t="shared" si="22"/>
        <v>0</v>
      </c>
      <c r="Q157" s="30">
        <f t="shared" si="22"/>
        <v>0</v>
      </c>
      <c r="R157" s="30">
        <f t="shared" si="22"/>
        <v>0</v>
      </c>
      <c r="S157" s="30">
        <f t="shared" si="22"/>
        <v>0</v>
      </c>
      <c r="T157" s="30">
        <f t="shared" si="22"/>
        <v>0</v>
      </c>
    </row>
    <row r="158" spans="1:35" ht="15" customHeight="1" x14ac:dyDescent="0.25">
      <c r="A158" s="8"/>
      <c r="B158" s="32" t="s">
        <v>28</v>
      </c>
      <c r="C158" s="32">
        <f t="shared" si="20"/>
        <v>0</v>
      </c>
      <c r="D158" s="32">
        <f t="shared" si="20"/>
        <v>0</v>
      </c>
      <c r="E158" s="32">
        <f t="shared" si="20"/>
        <v>0</v>
      </c>
      <c r="F158" s="32">
        <f t="shared" si="20"/>
        <v>0</v>
      </c>
      <c r="G158" s="32">
        <f t="shared" si="20"/>
        <v>0</v>
      </c>
      <c r="H158" s="32">
        <f t="shared" si="20"/>
        <v>0</v>
      </c>
      <c r="I158" s="32">
        <f t="shared" si="21"/>
        <v>0</v>
      </c>
      <c r="J158" s="32">
        <f t="shared" si="21"/>
        <v>0</v>
      </c>
      <c r="K158" s="3"/>
      <c r="L158" s="32" t="s">
        <v>38</v>
      </c>
      <c r="M158" s="32">
        <f t="shared" si="22"/>
        <v>0</v>
      </c>
      <c r="N158" s="32">
        <f t="shared" si="22"/>
        <v>0</v>
      </c>
      <c r="O158" s="32">
        <f t="shared" si="22"/>
        <v>0</v>
      </c>
      <c r="P158" s="32">
        <f t="shared" si="22"/>
        <v>0</v>
      </c>
      <c r="Q158" s="32">
        <f t="shared" si="22"/>
        <v>0</v>
      </c>
      <c r="R158" s="32">
        <f t="shared" si="22"/>
        <v>0</v>
      </c>
      <c r="S158" s="32">
        <f t="shared" si="22"/>
        <v>0</v>
      </c>
      <c r="T158" s="32">
        <f t="shared" si="22"/>
        <v>0</v>
      </c>
    </row>
    <row r="159" spans="1:35" ht="15" customHeight="1" x14ac:dyDescent="0.25">
      <c r="A159" s="8"/>
      <c r="B159" s="6" t="s">
        <v>29</v>
      </c>
      <c r="C159" s="6">
        <f t="shared" si="20"/>
        <v>0</v>
      </c>
      <c r="D159" s="6">
        <f t="shared" si="20"/>
        <v>0</v>
      </c>
      <c r="E159" s="6">
        <f t="shared" si="20"/>
        <v>0</v>
      </c>
      <c r="F159" s="6">
        <f t="shared" si="20"/>
        <v>0</v>
      </c>
      <c r="G159" s="6">
        <f t="shared" si="20"/>
        <v>0</v>
      </c>
      <c r="H159" s="6">
        <f t="shared" si="20"/>
        <v>0</v>
      </c>
      <c r="I159" s="6">
        <f t="shared" si="21"/>
        <v>0</v>
      </c>
      <c r="J159" s="6">
        <f t="shared" si="21"/>
        <v>0</v>
      </c>
      <c r="K159" s="3"/>
      <c r="L159" s="6" t="s">
        <v>39</v>
      </c>
      <c r="M159" s="6">
        <f t="shared" si="22"/>
        <v>0</v>
      </c>
      <c r="N159" s="6">
        <f t="shared" si="22"/>
        <v>0</v>
      </c>
      <c r="O159" s="6">
        <f t="shared" si="22"/>
        <v>0</v>
      </c>
      <c r="P159" s="6">
        <f t="shared" si="22"/>
        <v>0</v>
      </c>
      <c r="Q159" s="6">
        <f t="shared" si="22"/>
        <v>0</v>
      </c>
      <c r="R159" s="6">
        <f t="shared" si="22"/>
        <v>0</v>
      </c>
      <c r="S159" s="6">
        <f t="shared" si="22"/>
        <v>0</v>
      </c>
      <c r="T159" s="6">
        <f t="shared" si="22"/>
        <v>0</v>
      </c>
    </row>
    <row r="160" spans="1:35" ht="15" customHeight="1" x14ac:dyDescent="0.25">
      <c r="A160" s="8"/>
      <c r="B160" s="31" t="s">
        <v>30</v>
      </c>
      <c r="C160" s="31">
        <f t="shared" si="20"/>
        <v>0</v>
      </c>
      <c r="D160" s="31">
        <f t="shared" si="20"/>
        <v>0</v>
      </c>
      <c r="E160" s="31">
        <f t="shared" si="20"/>
        <v>0</v>
      </c>
      <c r="F160" s="31">
        <f t="shared" si="20"/>
        <v>0</v>
      </c>
      <c r="G160" s="31">
        <f t="shared" si="20"/>
        <v>0</v>
      </c>
      <c r="H160" s="31">
        <f t="shared" si="20"/>
        <v>0</v>
      </c>
      <c r="I160" s="31">
        <f t="shared" si="21"/>
        <v>0</v>
      </c>
      <c r="J160" s="31">
        <f t="shared" si="21"/>
        <v>0</v>
      </c>
      <c r="K160" s="3"/>
      <c r="L160" s="31" t="s">
        <v>40</v>
      </c>
      <c r="M160" s="31">
        <f t="shared" si="22"/>
        <v>0</v>
      </c>
      <c r="N160" s="31">
        <f t="shared" si="22"/>
        <v>0</v>
      </c>
      <c r="O160" s="31">
        <f t="shared" si="22"/>
        <v>0</v>
      </c>
      <c r="P160" s="31">
        <f t="shared" si="22"/>
        <v>0</v>
      </c>
      <c r="Q160" s="31">
        <f t="shared" si="22"/>
        <v>0</v>
      </c>
      <c r="R160" s="31">
        <f t="shared" si="22"/>
        <v>0</v>
      </c>
      <c r="S160" s="31">
        <f t="shared" si="22"/>
        <v>0</v>
      </c>
      <c r="T160" s="31">
        <f t="shared" si="22"/>
        <v>0</v>
      </c>
    </row>
    <row r="161" spans="1:253" ht="15" customHeight="1" x14ac:dyDescent="0.25">
      <c r="A161" s="8"/>
      <c r="B161" s="30" t="s">
        <v>31</v>
      </c>
      <c r="C161" s="30">
        <f t="shared" si="20"/>
        <v>0</v>
      </c>
      <c r="D161" s="30">
        <f t="shared" si="20"/>
        <v>0</v>
      </c>
      <c r="E161" s="30">
        <f t="shared" si="20"/>
        <v>0</v>
      </c>
      <c r="F161" s="30">
        <f t="shared" si="20"/>
        <v>0</v>
      </c>
      <c r="G161" s="30">
        <f t="shared" si="20"/>
        <v>0</v>
      </c>
      <c r="H161" s="30">
        <f t="shared" si="20"/>
        <v>0</v>
      </c>
      <c r="I161" s="30">
        <f t="shared" si="21"/>
        <v>0</v>
      </c>
      <c r="J161" s="30">
        <f t="shared" si="21"/>
        <v>0</v>
      </c>
      <c r="K161" s="3"/>
      <c r="L161" s="30" t="s">
        <v>41</v>
      </c>
      <c r="M161" s="30">
        <f t="shared" si="22"/>
        <v>0</v>
      </c>
      <c r="N161" s="30">
        <f t="shared" si="22"/>
        <v>0</v>
      </c>
      <c r="O161" s="30">
        <f t="shared" si="22"/>
        <v>0</v>
      </c>
      <c r="P161" s="30">
        <f t="shared" si="22"/>
        <v>0</v>
      </c>
      <c r="Q161" s="30">
        <f t="shared" si="22"/>
        <v>0</v>
      </c>
      <c r="R161" s="30">
        <f t="shared" si="22"/>
        <v>0</v>
      </c>
      <c r="S161" s="30">
        <f t="shared" si="22"/>
        <v>0</v>
      </c>
      <c r="T161" s="30">
        <f t="shared" si="22"/>
        <v>0</v>
      </c>
    </row>
    <row r="162" spans="1:253" ht="15" customHeight="1" x14ac:dyDescent="0.25">
      <c r="A162" s="1" t="s">
        <v>612</v>
      </c>
      <c r="B162" s="32" t="s">
        <v>32</v>
      </c>
      <c r="C162" s="32">
        <v>0</v>
      </c>
      <c r="D162" s="32">
        <v>0</v>
      </c>
      <c r="E162" s="32">
        <v>0</v>
      </c>
      <c r="F162" s="32">
        <v>0</v>
      </c>
      <c r="G162" s="32">
        <f>Contoller!E19</f>
        <v>0</v>
      </c>
      <c r="H162" s="32">
        <f>Contoller!F19</f>
        <v>0</v>
      </c>
      <c r="I162" s="32">
        <f>Contoller!G19</f>
        <v>0</v>
      </c>
      <c r="J162" s="32">
        <f>Contoller!H19</f>
        <v>0</v>
      </c>
      <c r="K162" s="3"/>
      <c r="L162" s="32" t="s">
        <v>42</v>
      </c>
      <c r="M162" s="32">
        <f ca="1">ROUND(RAND(),0)</f>
        <v>0</v>
      </c>
      <c r="N162" s="32">
        <f t="shared" ref="N162:T162" ca="1" si="23">ROUND(RAND(),0)</f>
        <v>1</v>
      </c>
      <c r="O162" s="32">
        <f t="shared" ca="1" si="23"/>
        <v>1</v>
      </c>
      <c r="P162" s="32">
        <f t="shared" ca="1" si="23"/>
        <v>1</v>
      </c>
      <c r="Q162" s="32">
        <f t="shared" ca="1" si="23"/>
        <v>1</v>
      </c>
      <c r="R162" s="32">
        <f t="shared" ca="1" si="23"/>
        <v>0</v>
      </c>
      <c r="S162" s="32">
        <f t="shared" ca="1" si="23"/>
        <v>0</v>
      </c>
      <c r="T162" s="32">
        <f t="shared" ca="1" si="23"/>
        <v>1</v>
      </c>
      <c r="V162" s="1" t="s">
        <v>619</v>
      </c>
    </row>
    <row r="163" spans="1:253" ht="15" customHeight="1" x14ac:dyDescent="0.25">
      <c r="A163" s="8"/>
      <c r="BV163" s="34"/>
    </row>
    <row r="164" spans="1:253" ht="15" customHeight="1" x14ac:dyDescent="0.25">
      <c r="A164" s="8"/>
      <c r="BV164" s="34"/>
    </row>
    <row r="165" spans="1:253" ht="15" customHeight="1" x14ac:dyDescent="0.25">
      <c r="A165" s="8"/>
      <c r="BV165" s="34"/>
    </row>
    <row r="166" spans="1:253" ht="15" customHeight="1" x14ac:dyDescent="0.25">
      <c r="A166" s="8"/>
      <c r="BV166" s="34"/>
    </row>
    <row r="167" spans="1:253" ht="15" customHeight="1" x14ac:dyDescent="0.25">
      <c r="A167" s="8"/>
      <c r="B167" s="49" t="s">
        <v>582</v>
      </c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BV167" s="34"/>
    </row>
    <row r="168" spans="1:253" ht="15" customHeight="1" x14ac:dyDescent="0.25">
      <c r="A168" s="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BV168" s="34"/>
    </row>
    <row r="169" spans="1:253" ht="15" customHeight="1" x14ac:dyDescent="0.25"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3"/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>
        <v>1</v>
      </c>
      <c r="Q169" s="2">
        <v>1</v>
      </c>
      <c r="R169" s="2">
        <v>1</v>
      </c>
      <c r="S169" s="3"/>
      <c r="T169" s="2">
        <f t="shared" ref="T169:AA169" ca="1" si="24">B104</f>
        <v>0</v>
      </c>
      <c r="U169" s="2">
        <f t="shared" ca="1" si="24"/>
        <v>0</v>
      </c>
      <c r="V169" s="2">
        <f t="shared" ca="1" si="24"/>
        <v>0</v>
      </c>
      <c r="W169" s="2">
        <f t="shared" ca="1" si="24"/>
        <v>0</v>
      </c>
      <c r="X169" s="2">
        <f t="shared" ca="1" si="24"/>
        <v>0</v>
      </c>
      <c r="Y169" s="2">
        <f t="shared" ca="1" si="24"/>
        <v>0</v>
      </c>
      <c r="Z169" s="2">
        <f t="shared" ca="1" si="24"/>
        <v>0</v>
      </c>
      <c r="AA169" s="2">
        <f t="shared" ca="1" si="24"/>
        <v>0</v>
      </c>
      <c r="AB169" s="3"/>
      <c r="AC169" s="2">
        <f>I82</f>
        <v>0</v>
      </c>
      <c r="AD169" s="2">
        <f>J82</f>
        <v>0</v>
      </c>
      <c r="BV169" s="34"/>
    </row>
    <row r="170" spans="1:253" ht="15" customHeight="1" x14ac:dyDescent="0.25">
      <c r="B170" s="47" t="s">
        <v>5</v>
      </c>
      <c r="C170" s="47"/>
      <c r="D170" s="47"/>
      <c r="E170" s="47"/>
      <c r="F170" s="47"/>
      <c r="G170" s="47"/>
      <c r="H170" s="47"/>
      <c r="I170" s="47"/>
      <c r="J170" s="3"/>
      <c r="K170" s="47" t="s">
        <v>108</v>
      </c>
      <c r="L170" s="47"/>
      <c r="M170" s="47"/>
      <c r="N170" s="47"/>
      <c r="O170" s="47"/>
      <c r="P170" s="47"/>
      <c r="Q170" s="47"/>
      <c r="R170" s="47"/>
      <c r="S170" s="3"/>
      <c r="T170" s="47" t="s">
        <v>114</v>
      </c>
      <c r="U170" s="47"/>
      <c r="V170" s="47"/>
      <c r="W170" s="47"/>
      <c r="X170" s="47"/>
      <c r="Y170" s="47"/>
      <c r="Z170" s="47"/>
      <c r="AA170" s="47"/>
      <c r="AB170" s="3"/>
      <c r="AC170" s="47" t="s">
        <v>10</v>
      </c>
      <c r="AD170" s="47"/>
      <c r="BV170" s="34"/>
    </row>
    <row r="171" spans="1:253" ht="1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50">
        <f>(AC169*2)+(AD169*1)+1</f>
        <v>1</v>
      </c>
      <c r="AD171" s="50"/>
      <c r="BV171" s="34"/>
    </row>
    <row r="172" spans="1:253" ht="1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BV172" s="34"/>
    </row>
    <row r="173" spans="1:253" ht="1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8" t="s">
        <v>104</v>
      </c>
      <c r="M173" s="48"/>
      <c r="N173" s="48"/>
      <c r="O173" s="48"/>
      <c r="P173" s="48"/>
      <c r="Q173" s="48"/>
      <c r="R173" s="48"/>
      <c r="S173" s="48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253" ht="1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19">
        <f t="shared" ref="L174:R174" si="25" xml:space="preserve"> CHOOSE($AC$171, B169, K169, T169)</f>
        <v>0</v>
      </c>
      <c r="M174" s="19">
        <f t="shared" si="25"/>
        <v>0</v>
      </c>
      <c r="N174" s="19">
        <f t="shared" si="25"/>
        <v>0</v>
      </c>
      <c r="O174" s="19">
        <f t="shared" si="25"/>
        <v>0</v>
      </c>
      <c r="P174" s="19">
        <f t="shared" si="25"/>
        <v>0</v>
      </c>
      <c r="Q174" s="19">
        <f t="shared" si="25"/>
        <v>0</v>
      </c>
      <c r="R174" s="19">
        <f t="shared" si="25"/>
        <v>0</v>
      </c>
      <c r="S174" s="19">
        <f t="shared" ref="S174" si="26" xml:space="preserve"> CHOOSE($AC$171, I169, R169, AA169)</f>
        <v>0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  <c r="FS174" s="28"/>
      <c r="FT174" s="28"/>
      <c r="FU174" s="28"/>
      <c r="FV174" s="28"/>
      <c r="FW174" s="28"/>
      <c r="FX174" s="28"/>
      <c r="FY174" s="28"/>
      <c r="FZ174" s="28"/>
      <c r="GA174" s="28"/>
      <c r="GB174" s="28"/>
      <c r="GC174" s="28"/>
      <c r="GD174" s="28"/>
      <c r="GE174" s="28"/>
      <c r="GF174" s="28"/>
      <c r="GG174" s="28"/>
      <c r="GH174" s="28"/>
      <c r="GI174" s="28"/>
      <c r="GJ174" s="28"/>
      <c r="GK174" s="28"/>
      <c r="GL174" s="28"/>
      <c r="GM174" s="28"/>
      <c r="GN174" s="28"/>
      <c r="GO174" s="28"/>
      <c r="GP174" s="28"/>
      <c r="GQ174" s="28"/>
      <c r="GR174" s="28"/>
      <c r="GS174" s="28"/>
      <c r="GT174" s="28"/>
      <c r="GU174" s="28"/>
      <c r="GV174" s="28"/>
      <c r="GW174" s="28"/>
      <c r="GX174" s="28"/>
      <c r="GY174" s="28"/>
      <c r="GZ174" s="28"/>
      <c r="HA174" s="28"/>
      <c r="HB174" s="28"/>
      <c r="HC174" s="28"/>
      <c r="HD174" s="28"/>
      <c r="HE174" s="28"/>
      <c r="HF174" s="28"/>
      <c r="HG174" s="28"/>
      <c r="HH174" s="28"/>
      <c r="HI174" s="28"/>
      <c r="HJ174" s="28"/>
      <c r="HK174" s="28"/>
      <c r="HL174" s="28"/>
      <c r="HM174" s="28"/>
      <c r="HN174" s="28"/>
      <c r="HO174" s="28"/>
      <c r="HP174" s="28"/>
      <c r="HQ174" s="28"/>
      <c r="HR174" s="28"/>
      <c r="HS174" s="28"/>
      <c r="HT174" s="28"/>
      <c r="HU174" s="28"/>
      <c r="HV174" s="28"/>
      <c r="HW174" s="28"/>
      <c r="HX174" s="28"/>
      <c r="HY174" s="28"/>
      <c r="HZ174" s="28"/>
      <c r="IA174" s="28"/>
      <c r="IB174" s="28"/>
      <c r="IC174" s="28"/>
      <c r="ID174" s="28"/>
      <c r="IE174" s="28"/>
      <c r="IF174" s="28"/>
      <c r="IG174" s="28"/>
      <c r="IH174" s="28"/>
      <c r="II174" s="28"/>
      <c r="IJ174" s="28"/>
      <c r="IK174" s="28"/>
      <c r="IL174" s="28"/>
      <c r="IM174" s="28"/>
      <c r="IN174" s="28"/>
      <c r="IO174" s="28"/>
      <c r="IP174" s="28"/>
      <c r="IQ174" s="28"/>
      <c r="IR174" s="28"/>
      <c r="IS174" s="28"/>
    </row>
    <row r="175" spans="1:253" ht="15" customHeight="1" x14ac:dyDescent="0.25"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  <c r="FS175" s="28"/>
      <c r="FT175" s="28"/>
      <c r="FU175" s="28"/>
      <c r="FV175" s="28"/>
      <c r="FW175" s="28"/>
      <c r="FX175" s="28"/>
      <c r="FY175" s="28"/>
      <c r="FZ175" s="28"/>
      <c r="GA175" s="28"/>
      <c r="GB175" s="28"/>
      <c r="GC175" s="28"/>
      <c r="GD175" s="28"/>
      <c r="GE175" s="28"/>
      <c r="GF175" s="28"/>
      <c r="GG175" s="28"/>
      <c r="GH175" s="28"/>
      <c r="GI175" s="28"/>
      <c r="GJ175" s="28"/>
      <c r="GK175" s="28"/>
      <c r="GL175" s="28"/>
      <c r="GM175" s="28"/>
      <c r="GN175" s="28"/>
      <c r="GO175" s="28"/>
      <c r="GP175" s="28"/>
      <c r="GQ175" s="28"/>
      <c r="GR175" s="28"/>
      <c r="GS175" s="28"/>
      <c r="GT175" s="28"/>
      <c r="GU175" s="28"/>
      <c r="GV175" s="28"/>
      <c r="GW175" s="28"/>
      <c r="GX175" s="28"/>
      <c r="GY175" s="28"/>
      <c r="GZ175" s="28"/>
      <c r="HA175" s="28"/>
      <c r="HB175" s="28"/>
      <c r="HC175" s="28"/>
      <c r="HD175" s="28"/>
      <c r="HE175" s="28"/>
      <c r="HF175" s="28"/>
      <c r="HG175" s="28"/>
      <c r="HH175" s="28"/>
      <c r="HI175" s="28"/>
      <c r="HJ175" s="28"/>
      <c r="HK175" s="28"/>
      <c r="HL175" s="28"/>
      <c r="HM175" s="28"/>
      <c r="HN175" s="28"/>
      <c r="HO175" s="28"/>
      <c r="HP175" s="28"/>
      <c r="HQ175" s="28"/>
      <c r="HR175" s="28"/>
      <c r="HS175" s="28"/>
      <c r="HT175" s="28"/>
      <c r="HU175" s="28"/>
      <c r="HV175" s="28"/>
      <c r="HW175" s="28"/>
      <c r="HX175" s="28"/>
      <c r="HY175" s="28"/>
      <c r="HZ175" s="28"/>
      <c r="IA175" s="28"/>
      <c r="IB175" s="28"/>
      <c r="IC175" s="28"/>
      <c r="ID175" s="28"/>
      <c r="IE175" s="28"/>
      <c r="IF175" s="28"/>
      <c r="IG175" s="28"/>
      <c r="IH175" s="28"/>
      <c r="II175" s="28"/>
      <c r="IJ175" s="28"/>
      <c r="IK175" s="28"/>
      <c r="IL175" s="28"/>
      <c r="IM175" s="28"/>
      <c r="IN175" s="28"/>
      <c r="IO175" s="28"/>
      <c r="IP175" s="28"/>
      <c r="IQ175" s="28"/>
      <c r="IR175" s="28"/>
      <c r="IS175" s="28"/>
    </row>
    <row r="176" spans="1:253" ht="15" customHeight="1" x14ac:dyDescent="0.25">
      <c r="B176" s="49" t="s">
        <v>583</v>
      </c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  <c r="FS176" s="28"/>
      <c r="FT176" s="28"/>
      <c r="FU176" s="28"/>
      <c r="FV176" s="28"/>
      <c r="FW176" s="28"/>
      <c r="FX176" s="28"/>
      <c r="FY176" s="28"/>
      <c r="FZ176" s="28"/>
      <c r="GA176" s="28"/>
      <c r="GB176" s="28"/>
      <c r="GC176" s="28"/>
      <c r="GD176" s="28"/>
      <c r="GE176" s="28"/>
      <c r="GF176" s="28"/>
      <c r="GG176" s="28"/>
      <c r="GH176" s="28"/>
      <c r="GI176" s="28"/>
      <c r="GJ176" s="28"/>
      <c r="GK176" s="28"/>
      <c r="GL176" s="28"/>
      <c r="GM176" s="28"/>
      <c r="GN176" s="28"/>
      <c r="GO176" s="28"/>
      <c r="GP176" s="28"/>
      <c r="GQ176" s="28"/>
      <c r="GR176" s="28"/>
      <c r="GS176" s="28"/>
      <c r="GT176" s="28"/>
      <c r="GU176" s="28"/>
      <c r="GV176" s="28"/>
      <c r="GW176" s="28"/>
      <c r="GX176" s="28"/>
      <c r="GY176" s="28"/>
      <c r="GZ176" s="28"/>
      <c r="HA176" s="28"/>
      <c r="HB176" s="28"/>
      <c r="HC176" s="28"/>
      <c r="HD176" s="28"/>
      <c r="HE176" s="28"/>
      <c r="HF176" s="28"/>
      <c r="HG176" s="28"/>
      <c r="HH176" s="28"/>
      <c r="HI176" s="28"/>
      <c r="HJ176" s="28"/>
      <c r="HK176" s="28"/>
      <c r="HL176" s="28"/>
      <c r="HM176" s="28"/>
      <c r="HN176" s="28"/>
      <c r="HO176" s="28"/>
      <c r="HP176" s="28"/>
      <c r="HQ176" s="28"/>
      <c r="HR176" s="28"/>
      <c r="HS176" s="28"/>
      <c r="HT176" s="28"/>
      <c r="HU176" s="28"/>
      <c r="HV176" s="28"/>
      <c r="HW176" s="28"/>
      <c r="HX176" s="28"/>
      <c r="HY176" s="28"/>
      <c r="HZ176" s="28"/>
      <c r="IA176" s="28"/>
      <c r="IB176" s="28"/>
      <c r="IC176" s="28"/>
      <c r="ID176" s="28"/>
      <c r="IE176" s="28"/>
      <c r="IF176" s="28"/>
      <c r="IG176" s="28"/>
      <c r="IH176" s="28"/>
      <c r="II176" s="28"/>
      <c r="IJ176" s="28"/>
      <c r="IK176" s="28"/>
      <c r="IL176" s="28"/>
      <c r="IM176" s="28"/>
      <c r="IN176" s="28"/>
      <c r="IO176" s="28"/>
      <c r="IP176" s="28"/>
      <c r="IQ176" s="28"/>
      <c r="IR176" s="28"/>
      <c r="IS176" s="28"/>
    </row>
    <row r="177" spans="2:253" ht="15" customHeight="1" x14ac:dyDescent="0.25"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  <c r="FS177" s="28"/>
      <c r="FT177" s="28"/>
      <c r="FU177" s="28"/>
      <c r="FV177" s="28"/>
      <c r="FW177" s="28"/>
      <c r="FX177" s="28"/>
      <c r="FY177" s="28"/>
      <c r="FZ177" s="28"/>
      <c r="GA177" s="28"/>
      <c r="GB177" s="28"/>
      <c r="GC177" s="28"/>
      <c r="GD177" s="28"/>
      <c r="GE177" s="28"/>
      <c r="GF177" s="28"/>
      <c r="GG177" s="28"/>
      <c r="GH177" s="28"/>
      <c r="GI177" s="28"/>
      <c r="GJ177" s="28"/>
      <c r="GK177" s="28"/>
      <c r="GL177" s="28"/>
      <c r="GM177" s="28"/>
      <c r="GN177" s="28"/>
      <c r="GO177" s="28"/>
      <c r="GP177" s="28"/>
      <c r="GQ177" s="28"/>
      <c r="GR177" s="28"/>
      <c r="GS177" s="28"/>
      <c r="GT177" s="28"/>
      <c r="GU177" s="28"/>
      <c r="GV177" s="28"/>
      <c r="GW177" s="28"/>
      <c r="GX177" s="28"/>
      <c r="GY177" s="28"/>
      <c r="GZ177" s="28"/>
      <c r="HA177" s="28"/>
      <c r="HB177" s="28"/>
      <c r="HC177" s="28"/>
      <c r="HD177" s="28"/>
      <c r="HE177" s="28"/>
      <c r="HF177" s="28"/>
      <c r="HG177" s="28"/>
      <c r="HH177" s="28"/>
      <c r="HI177" s="28"/>
      <c r="HJ177" s="28"/>
      <c r="HK177" s="28"/>
      <c r="HL177" s="28"/>
      <c r="HM177" s="28"/>
      <c r="HN177" s="28"/>
      <c r="HO177" s="28"/>
      <c r="HP177" s="28"/>
      <c r="HQ177" s="28"/>
      <c r="HR177" s="28"/>
      <c r="HS177" s="28"/>
      <c r="HT177" s="28"/>
      <c r="HU177" s="28"/>
      <c r="HV177" s="28"/>
      <c r="HW177" s="28"/>
      <c r="HX177" s="28"/>
      <c r="HY177" s="28"/>
      <c r="HZ177" s="28"/>
      <c r="IA177" s="28"/>
      <c r="IB177" s="28"/>
      <c r="IC177" s="28"/>
      <c r="ID177" s="28"/>
      <c r="IE177" s="28"/>
      <c r="IF177" s="28"/>
      <c r="IG177" s="28"/>
      <c r="IH177" s="28"/>
      <c r="II177" s="28"/>
      <c r="IJ177" s="28"/>
      <c r="IK177" s="28"/>
      <c r="IL177" s="28"/>
      <c r="IM177" s="28"/>
      <c r="IN177" s="28"/>
      <c r="IO177" s="28"/>
      <c r="IP177" s="28"/>
      <c r="IQ177" s="28"/>
      <c r="IR177" s="28"/>
      <c r="IS177" s="28"/>
    </row>
    <row r="178" spans="2:253" ht="15" customHeight="1" x14ac:dyDescent="0.25"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1</v>
      </c>
      <c r="J178" s="3"/>
      <c r="K178" s="2">
        <f t="shared" ref="K178:R178" ca="1" si="27">K104</f>
        <v>0</v>
      </c>
      <c r="L178" s="2">
        <f t="shared" ca="1" si="27"/>
        <v>0</v>
      </c>
      <c r="M178" s="2">
        <f t="shared" ca="1" si="27"/>
        <v>0</v>
      </c>
      <c r="N178" s="2">
        <f t="shared" ca="1" si="27"/>
        <v>0</v>
      </c>
      <c r="O178" s="2">
        <f t="shared" ca="1" si="27"/>
        <v>0</v>
      </c>
      <c r="P178" s="2">
        <f t="shared" ca="1" si="27"/>
        <v>0</v>
      </c>
      <c r="Q178" s="2">
        <f t="shared" ca="1" si="27"/>
        <v>0</v>
      </c>
      <c r="R178" s="2">
        <f t="shared" ca="1" si="27"/>
        <v>0</v>
      </c>
      <c r="S178" s="3"/>
      <c r="T178" s="2">
        <f t="shared" ref="T178:AA178" si="28">J31</f>
        <v>1</v>
      </c>
      <c r="U178" s="2">
        <f t="shared" si="28"/>
        <v>1</v>
      </c>
      <c r="V178" s="2">
        <f t="shared" si="28"/>
        <v>1</v>
      </c>
      <c r="W178" s="2">
        <f t="shared" si="28"/>
        <v>1</v>
      </c>
      <c r="X178" s="2">
        <f t="shared" si="28"/>
        <v>1</v>
      </c>
      <c r="Y178" s="2">
        <f t="shared" si="28"/>
        <v>1</v>
      </c>
      <c r="Z178" s="2">
        <f t="shared" si="28"/>
        <v>1</v>
      </c>
      <c r="AA178" s="2">
        <f t="shared" si="28"/>
        <v>1</v>
      </c>
      <c r="AB178" s="3"/>
      <c r="AC178" s="2">
        <f>K82</f>
        <v>0</v>
      </c>
      <c r="AD178" s="2">
        <f>L82</f>
        <v>0</v>
      </c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  <c r="FS178" s="28"/>
      <c r="FT178" s="28"/>
      <c r="FU178" s="28"/>
      <c r="FV178" s="28"/>
      <c r="FW178" s="28"/>
      <c r="FX178" s="28"/>
      <c r="FY178" s="28"/>
      <c r="FZ178" s="28"/>
      <c r="GA178" s="28"/>
      <c r="GB178" s="28"/>
      <c r="GC178" s="28"/>
      <c r="GD178" s="28"/>
      <c r="GE178" s="28"/>
      <c r="GF178" s="28"/>
      <c r="GG178" s="28"/>
      <c r="GH178" s="28"/>
      <c r="GI178" s="28"/>
      <c r="GJ178" s="28"/>
      <c r="GK178" s="28"/>
      <c r="GL178" s="28"/>
      <c r="GM178" s="28"/>
      <c r="GN178" s="28"/>
      <c r="GO178" s="28"/>
      <c r="GP178" s="28"/>
      <c r="GQ178" s="28"/>
      <c r="GR178" s="28"/>
      <c r="GS178" s="28"/>
      <c r="GT178" s="28"/>
      <c r="GU178" s="28"/>
      <c r="GV178" s="28"/>
      <c r="GW178" s="28"/>
      <c r="GX178" s="28"/>
      <c r="GY178" s="28"/>
      <c r="GZ178" s="28"/>
      <c r="HA178" s="28"/>
      <c r="HB178" s="28"/>
      <c r="HC178" s="28"/>
      <c r="HD178" s="28"/>
      <c r="HE178" s="28"/>
      <c r="HF178" s="28"/>
      <c r="HG178" s="28"/>
      <c r="HH178" s="28"/>
      <c r="HI178" s="28"/>
      <c r="HJ178" s="28"/>
      <c r="HK178" s="28"/>
      <c r="HL178" s="28"/>
      <c r="HM178" s="28"/>
      <c r="HN178" s="28"/>
      <c r="HO178" s="28"/>
      <c r="HP178" s="28"/>
      <c r="HQ178" s="28"/>
      <c r="HR178" s="28"/>
      <c r="HS178" s="28"/>
      <c r="HT178" s="28"/>
      <c r="HU178" s="28"/>
      <c r="HV178" s="28"/>
      <c r="HW178" s="28"/>
      <c r="HX178" s="28"/>
      <c r="HY178" s="28"/>
      <c r="HZ178" s="28"/>
      <c r="IA178" s="28"/>
      <c r="IB178" s="28"/>
      <c r="IC178" s="28"/>
      <c r="ID178" s="28"/>
      <c r="IE178" s="28"/>
      <c r="IF178" s="28"/>
      <c r="IG178" s="28"/>
      <c r="IH178" s="28"/>
      <c r="II178" s="28"/>
      <c r="IJ178" s="28"/>
      <c r="IK178" s="28"/>
      <c r="IL178" s="28"/>
      <c r="IM178" s="28"/>
      <c r="IN178" s="28"/>
      <c r="IO178" s="28"/>
      <c r="IP178" s="28"/>
      <c r="IQ178" s="28"/>
      <c r="IR178" s="28"/>
      <c r="IS178" s="28"/>
    </row>
    <row r="179" spans="2:253" ht="15" customHeight="1" x14ac:dyDescent="0.25">
      <c r="B179" s="47" t="s">
        <v>109</v>
      </c>
      <c r="C179" s="47"/>
      <c r="D179" s="47"/>
      <c r="E179" s="47"/>
      <c r="F179" s="47"/>
      <c r="G179" s="47"/>
      <c r="H179" s="47"/>
      <c r="I179" s="47"/>
      <c r="J179" s="3"/>
      <c r="K179" s="47" t="s">
        <v>115</v>
      </c>
      <c r="L179" s="47"/>
      <c r="M179" s="47"/>
      <c r="N179" s="47"/>
      <c r="O179" s="47"/>
      <c r="P179" s="47"/>
      <c r="Q179" s="47"/>
      <c r="R179" s="47"/>
      <c r="S179" s="3"/>
      <c r="T179" s="47" t="s">
        <v>110</v>
      </c>
      <c r="U179" s="47"/>
      <c r="V179" s="47"/>
      <c r="W179" s="47"/>
      <c r="X179" s="47"/>
      <c r="Y179" s="47"/>
      <c r="Z179" s="47"/>
      <c r="AA179" s="47"/>
      <c r="AB179" s="3"/>
      <c r="AC179" s="47" t="s">
        <v>10</v>
      </c>
      <c r="AD179" s="47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  <c r="GF179" s="28"/>
      <c r="GG179" s="28"/>
      <c r="GH179" s="28"/>
      <c r="GI179" s="28"/>
      <c r="GJ179" s="28"/>
      <c r="GK179" s="28"/>
      <c r="GL179" s="28"/>
      <c r="GM179" s="28"/>
      <c r="GN179" s="28"/>
      <c r="GO179" s="28"/>
      <c r="GP179" s="28"/>
      <c r="GQ179" s="28"/>
      <c r="GR179" s="28"/>
      <c r="GS179" s="28"/>
      <c r="GT179" s="28"/>
      <c r="GU179" s="28"/>
      <c r="GV179" s="28"/>
      <c r="GW179" s="28"/>
      <c r="GX179" s="28"/>
      <c r="GY179" s="28"/>
      <c r="GZ179" s="28"/>
      <c r="HA179" s="28"/>
      <c r="HB179" s="28"/>
      <c r="HC179" s="28"/>
      <c r="HD179" s="28"/>
      <c r="HE179" s="28"/>
      <c r="HF179" s="28"/>
      <c r="HG179" s="28"/>
      <c r="HH179" s="28"/>
      <c r="HI179" s="28"/>
      <c r="HJ179" s="28"/>
      <c r="HK179" s="28"/>
      <c r="HL179" s="28"/>
      <c r="HM179" s="28"/>
      <c r="HN179" s="28"/>
      <c r="HO179" s="28"/>
      <c r="HP179" s="28"/>
      <c r="HQ179" s="28"/>
      <c r="HR179" s="28"/>
      <c r="HS179" s="28"/>
      <c r="HT179" s="28"/>
      <c r="HU179" s="28"/>
      <c r="HV179" s="28"/>
      <c r="HW179" s="28"/>
      <c r="HX179" s="28"/>
      <c r="HY179" s="28"/>
      <c r="HZ179" s="28"/>
      <c r="IA179" s="28"/>
      <c r="IB179" s="28"/>
      <c r="IC179" s="28"/>
      <c r="ID179" s="28"/>
      <c r="IE179" s="28"/>
      <c r="IF179" s="28"/>
      <c r="IG179" s="28"/>
      <c r="IH179" s="28"/>
      <c r="II179" s="28"/>
      <c r="IJ179" s="28"/>
      <c r="IK179" s="28"/>
      <c r="IL179" s="28"/>
      <c r="IM179" s="28"/>
      <c r="IN179" s="28"/>
      <c r="IO179" s="28"/>
      <c r="IP179" s="28"/>
      <c r="IQ179" s="28"/>
      <c r="IR179" s="28"/>
      <c r="IS179" s="28"/>
    </row>
    <row r="180" spans="2:253" ht="1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64">
        <f>(AC178*2)+(AD178*1)+1</f>
        <v>1</v>
      </c>
      <c r="AD180" s="64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  <c r="GF180" s="28"/>
      <c r="GG180" s="28"/>
      <c r="GH180" s="28"/>
      <c r="GI180" s="28"/>
      <c r="GJ180" s="28"/>
      <c r="GK180" s="28"/>
      <c r="GL180" s="28"/>
      <c r="GM180" s="28"/>
      <c r="GN180" s="28"/>
      <c r="GO180" s="28"/>
      <c r="GP180" s="28"/>
      <c r="GQ180" s="28"/>
      <c r="GR180" s="28"/>
      <c r="GS180" s="28"/>
      <c r="GT180" s="28"/>
      <c r="GU180" s="28"/>
      <c r="GV180" s="28"/>
      <c r="GW180" s="28"/>
      <c r="GX180" s="28"/>
      <c r="GY180" s="28"/>
      <c r="GZ180" s="28"/>
      <c r="HA180" s="28"/>
      <c r="HB180" s="28"/>
      <c r="HC180" s="28"/>
      <c r="HD180" s="28"/>
      <c r="HE180" s="28"/>
      <c r="HF180" s="28"/>
      <c r="HG180" s="28"/>
      <c r="HH180" s="28"/>
      <c r="HI180" s="28"/>
      <c r="HJ180" s="28"/>
      <c r="HK180" s="28"/>
      <c r="HL180" s="28"/>
      <c r="HM180" s="28"/>
      <c r="HN180" s="28"/>
      <c r="HO180" s="28"/>
      <c r="HP180" s="28"/>
      <c r="HQ180" s="28"/>
      <c r="HR180" s="28"/>
      <c r="HS180" s="28"/>
      <c r="HT180" s="28"/>
      <c r="HU180" s="28"/>
      <c r="HV180" s="28"/>
      <c r="HW180" s="28"/>
      <c r="HX180" s="28"/>
      <c r="HY180" s="28"/>
      <c r="HZ180" s="28"/>
      <c r="IA180" s="28"/>
      <c r="IB180" s="28"/>
      <c r="IC180" s="28"/>
      <c r="ID180" s="28"/>
      <c r="IE180" s="28"/>
      <c r="IF180" s="28"/>
      <c r="IG180" s="28"/>
      <c r="IH180" s="28"/>
      <c r="II180" s="28"/>
      <c r="IJ180" s="28"/>
      <c r="IK180" s="28"/>
      <c r="IL180" s="28"/>
      <c r="IM180" s="28"/>
      <c r="IN180" s="28"/>
      <c r="IO180" s="28"/>
      <c r="IP180" s="28"/>
      <c r="IQ180" s="28"/>
      <c r="IR180" s="28"/>
      <c r="IS180" s="28"/>
    </row>
    <row r="181" spans="2:253" ht="15" customHeight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  <c r="FS181" s="28"/>
      <c r="FT181" s="28"/>
      <c r="FU181" s="28"/>
      <c r="FV181" s="28"/>
      <c r="FW181" s="28"/>
      <c r="FX181" s="28"/>
      <c r="FY181" s="28"/>
      <c r="FZ181" s="28"/>
      <c r="GA181" s="28"/>
      <c r="GB181" s="28"/>
      <c r="GC181" s="28"/>
      <c r="GD181" s="28"/>
      <c r="GE181" s="28"/>
      <c r="GF181" s="28"/>
      <c r="GG181" s="28"/>
      <c r="GH181" s="28"/>
      <c r="GI181" s="28"/>
      <c r="GJ181" s="28"/>
      <c r="GK181" s="28"/>
      <c r="GL181" s="28"/>
      <c r="GM181" s="28"/>
      <c r="GN181" s="28"/>
      <c r="GO181" s="28"/>
      <c r="GP181" s="28"/>
      <c r="GQ181" s="28"/>
      <c r="GR181" s="28"/>
      <c r="GS181" s="28"/>
      <c r="GT181" s="28"/>
      <c r="GU181" s="28"/>
      <c r="GV181" s="28"/>
      <c r="GW181" s="28"/>
      <c r="GX181" s="28"/>
      <c r="GY181" s="28"/>
      <c r="GZ181" s="28"/>
      <c r="HA181" s="28"/>
      <c r="HB181" s="28"/>
      <c r="HC181" s="28"/>
      <c r="HD181" s="28"/>
      <c r="HE181" s="28"/>
      <c r="HF181" s="28"/>
      <c r="HG181" s="28"/>
      <c r="HH181" s="28"/>
      <c r="HI181" s="28"/>
      <c r="HJ181" s="28"/>
      <c r="HK181" s="28"/>
      <c r="HL181" s="28"/>
      <c r="HM181" s="28"/>
      <c r="HN181" s="28"/>
      <c r="HO181" s="28"/>
      <c r="HP181" s="28"/>
      <c r="HQ181" s="28"/>
      <c r="HR181" s="28"/>
      <c r="HS181" s="28"/>
      <c r="HT181" s="28"/>
      <c r="HU181" s="28"/>
      <c r="HV181" s="28"/>
      <c r="HW181" s="28"/>
      <c r="HX181" s="28"/>
      <c r="HY181" s="28"/>
      <c r="HZ181" s="28"/>
      <c r="IA181" s="28"/>
      <c r="IB181" s="28"/>
      <c r="IC181" s="28"/>
      <c r="ID181" s="28"/>
      <c r="IE181" s="28"/>
      <c r="IF181" s="28"/>
      <c r="IG181" s="28"/>
      <c r="IH181" s="28"/>
      <c r="II181" s="28"/>
      <c r="IJ181" s="28"/>
      <c r="IK181" s="28"/>
      <c r="IL181" s="28"/>
      <c r="IM181" s="28"/>
      <c r="IN181" s="28"/>
      <c r="IO181" s="28"/>
      <c r="IP181" s="28"/>
      <c r="IQ181" s="28"/>
      <c r="IR181" s="28"/>
      <c r="IS181" s="28"/>
    </row>
    <row r="182" spans="2:253" ht="1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8" t="s">
        <v>104</v>
      </c>
      <c r="M182" s="48"/>
      <c r="N182" s="48"/>
      <c r="O182" s="48"/>
      <c r="P182" s="48"/>
      <c r="Q182" s="48"/>
      <c r="R182" s="48"/>
      <c r="S182" s="48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  <c r="FS182" s="28"/>
      <c r="FT182" s="28"/>
      <c r="FU182" s="28"/>
      <c r="FV182" s="28"/>
      <c r="FW182" s="28"/>
      <c r="FX182" s="28"/>
      <c r="FY182" s="28"/>
      <c r="FZ182" s="28"/>
      <c r="GA182" s="28"/>
      <c r="GB182" s="28"/>
      <c r="GC182" s="28"/>
      <c r="GD182" s="28"/>
      <c r="GE182" s="28"/>
      <c r="GF182" s="28"/>
      <c r="GG182" s="28"/>
      <c r="GH182" s="28"/>
      <c r="GI182" s="28"/>
      <c r="GJ182" s="28"/>
      <c r="GK182" s="28"/>
      <c r="GL182" s="28"/>
      <c r="GM182" s="28"/>
      <c r="GN182" s="28"/>
      <c r="GO182" s="28"/>
      <c r="GP182" s="28"/>
      <c r="GQ182" s="28"/>
      <c r="GR182" s="28"/>
      <c r="GS182" s="28"/>
      <c r="GT182" s="28"/>
      <c r="GU182" s="28"/>
      <c r="GV182" s="28"/>
      <c r="GW182" s="28"/>
      <c r="GX182" s="28"/>
      <c r="GY182" s="28"/>
      <c r="GZ182" s="28"/>
      <c r="HA182" s="28"/>
      <c r="HB182" s="28"/>
      <c r="HC182" s="28"/>
      <c r="HD182" s="28"/>
      <c r="HE182" s="28"/>
      <c r="HF182" s="28"/>
      <c r="HG182" s="28"/>
      <c r="HH182" s="28"/>
      <c r="HI182" s="28"/>
      <c r="HJ182" s="28"/>
      <c r="HK182" s="28"/>
      <c r="HL182" s="28"/>
      <c r="HM182" s="28"/>
      <c r="HN182" s="28"/>
      <c r="HO182" s="28"/>
      <c r="HP182" s="28"/>
      <c r="HQ182" s="28"/>
      <c r="HR182" s="28"/>
      <c r="HS182" s="28"/>
      <c r="HT182" s="28"/>
      <c r="HU182" s="28"/>
      <c r="HV182" s="28"/>
      <c r="HW182" s="28"/>
      <c r="HX182" s="28"/>
      <c r="HY182" s="28"/>
      <c r="HZ182" s="28"/>
      <c r="IA182" s="28"/>
      <c r="IB182" s="28"/>
      <c r="IC182" s="28"/>
      <c r="ID182" s="28"/>
      <c r="IE182" s="28"/>
      <c r="IF182" s="28"/>
      <c r="IG182" s="28"/>
      <c r="IH182" s="28"/>
      <c r="II182" s="28"/>
      <c r="IJ182" s="28"/>
      <c r="IK182" s="28"/>
      <c r="IL182" s="28"/>
      <c r="IM182" s="28"/>
      <c r="IN182" s="28"/>
      <c r="IO182" s="28"/>
      <c r="IP182" s="28"/>
      <c r="IQ182" s="28"/>
      <c r="IR182" s="28"/>
      <c r="IS182" s="28"/>
    </row>
    <row r="183" spans="2:253" ht="1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19">
        <f t="shared" ref="L183:R183" si="29" xml:space="preserve"> CHOOSE($AC$180, B178, K178, T178)</f>
        <v>0</v>
      </c>
      <c r="M183" s="19">
        <f t="shared" si="29"/>
        <v>0</v>
      </c>
      <c r="N183" s="19">
        <f t="shared" si="29"/>
        <v>0</v>
      </c>
      <c r="O183" s="19">
        <f t="shared" si="29"/>
        <v>0</v>
      </c>
      <c r="P183" s="19">
        <f t="shared" si="29"/>
        <v>0</v>
      </c>
      <c r="Q183" s="19">
        <f t="shared" si="29"/>
        <v>0</v>
      </c>
      <c r="R183" s="19">
        <f t="shared" si="29"/>
        <v>0</v>
      </c>
      <c r="S183" s="19">
        <f t="shared" ref="S183" si="30" xml:space="preserve"> CHOOSE($AC$180, I178, R178, AA178)</f>
        <v>1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  <c r="FS183" s="28"/>
      <c r="FT183" s="28"/>
      <c r="FU183" s="28"/>
      <c r="FV183" s="28"/>
      <c r="FW183" s="28"/>
      <c r="FX183" s="28"/>
      <c r="FY183" s="28"/>
      <c r="FZ183" s="28"/>
      <c r="GA183" s="28"/>
      <c r="GB183" s="28"/>
      <c r="GC183" s="28"/>
      <c r="GD183" s="28"/>
      <c r="GE183" s="28"/>
      <c r="GF183" s="28"/>
      <c r="GG183" s="28"/>
      <c r="GH183" s="28"/>
      <c r="GI183" s="28"/>
      <c r="GJ183" s="28"/>
      <c r="GK183" s="28"/>
      <c r="GL183" s="28"/>
      <c r="GM183" s="28"/>
      <c r="GN183" s="28"/>
      <c r="GO183" s="28"/>
      <c r="GP183" s="28"/>
      <c r="GQ183" s="28"/>
      <c r="GR183" s="28"/>
      <c r="GS183" s="28"/>
      <c r="GT183" s="28"/>
      <c r="GU183" s="28"/>
      <c r="GV183" s="28"/>
      <c r="GW183" s="28"/>
      <c r="GX183" s="28"/>
      <c r="GY183" s="28"/>
      <c r="GZ183" s="28"/>
      <c r="HA183" s="28"/>
      <c r="HB183" s="28"/>
      <c r="HC183" s="28"/>
      <c r="HD183" s="28"/>
      <c r="HE183" s="28"/>
      <c r="HF183" s="28"/>
      <c r="HG183" s="28"/>
      <c r="HH183" s="28"/>
      <c r="HI183" s="28"/>
      <c r="HJ183" s="28"/>
      <c r="HK183" s="28"/>
      <c r="HL183" s="28"/>
      <c r="HM183" s="28"/>
      <c r="HN183" s="28"/>
      <c r="HO183" s="28"/>
      <c r="HP183" s="28"/>
      <c r="HQ183" s="28"/>
      <c r="HR183" s="28"/>
      <c r="HS183" s="28"/>
      <c r="HT183" s="28"/>
      <c r="HU183" s="28"/>
      <c r="HV183" s="28"/>
      <c r="HW183" s="28"/>
      <c r="HX183" s="28"/>
      <c r="HY183" s="28"/>
      <c r="HZ183" s="28"/>
      <c r="IA183" s="28"/>
      <c r="IB183" s="28"/>
      <c r="IC183" s="28"/>
      <c r="ID183" s="28"/>
      <c r="IE183" s="28"/>
      <c r="IF183" s="28"/>
      <c r="IG183" s="28"/>
      <c r="IH183" s="28"/>
      <c r="II183" s="28"/>
      <c r="IJ183" s="28"/>
      <c r="IK183" s="28"/>
      <c r="IL183" s="28"/>
      <c r="IM183" s="28"/>
      <c r="IN183" s="28"/>
      <c r="IO183" s="28"/>
      <c r="IP183" s="28"/>
      <c r="IQ183" s="28"/>
      <c r="IR183" s="28"/>
      <c r="IS183" s="28"/>
    </row>
    <row r="184" spans="2:253" ht="15" customHeight="1" x14ac:dyDescent="0.25"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  <c r="FS184" s="28"/>
      <c r="FT184" s="28"/>
      <c r="FU184" s="28"/>
      <c r="FV184" s="28"/>
      <c r="FW184" s="28"/>
      <c r="FX184" s="28"/>
      <c r="FY184" s="28"/>
      <c r="FZ184" s="28"/>
      <c r="GA184" s="28"/>
      <c r="GB184" s="28"/>
      <c r="GC184" s="28"/>
      <c r="GD184" s="28"/>
      <c r="GE184" s="28"/>
      <c r="GF184" s="28"/>
      <c r="GG184" s="28"/>
      <c r="GH184" s="28"/>
      <c r="GI184" s="28"/>
      <c r="GJ184" s="28"/>
      <c r="GK184" s="28"/>
      <c r="GL184" s="28"/>
      <c r="GM184" s="28"/>
      <c r="GN184" s="28"/>
      <c r="GO184" s="28"/>
      <c r="GP184" s="28"/>
      <c r="GQ184" s="28"/>
      <c r="GR184" s="28"/>
      <c r="GS184" s="28"/>
      <c r="GT184" s="28"/>
      <c r="GU184" s="28"/>
      <c r="GV184" s="28"/>
      <c r="GW184" s="28"/>
      <c r="GX184" s="28"/>
      <c r="GY184" s="28"/>
      <c r="GZ184" s="28"/>
      <c r="HA184" s="28"/>
      <c r="HB184" s="28"/>
      <c r="HC184" s="28"/>
      <c r="HD184" s="28"/>
      <c r="HE184" s="28"/>
      <c r="HF184" s="28"/>
      <c r="HG184" s="28"/>
      <c r="HH184" s="28"/>
      <c r="HI184" s="28"/>
      <c r="HJ184" s="28"/>
      <c r="HK184" s="28"/>
      <c r="HL184" s="28"/>
      <c r="HM184" s="28"/>
      <c r="HN184" s="28"/>
      <c r="HO184" s="28"/>
      <c r="HP184" s="28"/>
      <c r="HQ184" s="28"/>
      <c r="HR184" s="28"/>
      <c r="HS184" s="28"/>
      <c r="HT184" s="28"/>
      <c r="HU184" s="28"/>
      <c r="HV184" s="28"/>
      <c r="HW184" s="28"/>
      <c r="HX184" s="28"/>
      <c r="HY184" s="28"/>
      <c r="HZ184" s="28"/>
      <c r="IA184" s="28"/>
      <c r="IB184" s="28"/>
      <c r="IC184" s="28"/>
      <c r="ID184" s="28"/>
      <c r="IE184" s="28"/>
      <c r="IF184" s="28"/>
      <c r="IG184" s="28"/>
      <c r="IH184" s="28"/>
      <c r="II184" s="28"/>
      <c r="IJ184" s="28"/>
      <c r="IK184" s="28"/>
      <c r="IL184" s="28"/>
      <c r="IM184" s="28"/>
      <c r="IN184" s="28"/>
      <c r="IO184" s="28"/>
      <c r="IP184" s="28"/>
      <c r="IQ184" s="28"/>
      <c r="IR184" s="28"/>
      <c r="IS184" s="28"/>
    </row>
    <row r="185" spans="2:253" ht="15" customHeight="1" x14ac:dyDescent="0.25">
      <c r="B185" s="49" t="s">
        <v>580</v>
      </c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  <c r="GF185" s="28"/>
      <c r="GG185" s="28"/>
      <c r="GH185" s="28"/>
      <c r="GI185" s="28"/>
      <c r="GJ185" s="28"/>
      <c r="GK185" s="28"/>
      <c r="GL185" s="28"/>
      <c r="GM185" s="28"/>
      <c r="GN185" s="28"/>
      <c r="GO185" s="28"/>
      <c r="GP185" s="28"/>
      <c r="GQ185" s="28"/>
      <c r="GR185" s="28"/>
      <c r="GS185" s="28"/>
      <c r="GT185" s="28"/>
      <c r="GU185" s="28"/>
      <c r="GV185" s="28"/>
      <c r="GW185" s="28"/>
      <c r="GX185" s="28"/>
      <c r="GY185" s="28"/>
      <c r="GZ185" s="28"/>
      <c r="HA185" s="28"/>
      <c r="HB185" s="28"/>
      <c r="HC185" s="28"/>
      <c r="HD185" s="28"/>
      <c r="HE185" s="28"/>
      <c r="HF185" s="28"/>
      <c r="HG185" s="28"/>
      <c r="HH185" s="28"/>
      <c r="HI185" s="28"/>
      <c r="HJ185" s="28"/>
      <c r="HK185" s="28"/>
      <c r="HL185" s="28"/>
      <c r="HM185" s="28"/>
      <c r="HN185" s="28"/>
      <c r="HO185" s="28"/>
      <c r="HP185" s="28"/>
      <c r="HQ185" s="28"/>
      <c r="HR185" s="28"/>
      <c r="HS185" s="28"/>
      <c r="HT185" s="28"/>
      <c r="HU185" s="28"/>
      <c r="HV185" s="28"/>
      <c r="HW185" s="28"/>
      <c r="HX185" s="28"/>
      <c r="HY185" s="28"/>
      <c r="HZ185" s="28"/>
      <c r="IA185" s="28"/>
      <c r="IB185" s="28"/>
      <c r="IC185" s="28"/>
      <c r="ID185" s="28"/>
      <c r="IE185" s="28"/>
      <c r="IF185" s="28"/>
      <c r="IG185" s="28"/>
      <c r="IH185" s="28"/>
      <c r="II185" s="28"/>
      <c r="IJ185" s="28"/>
      <c r="IK185" s="28"/>
      <c r="IL185" s="28"/>
      <c r="IM185" s="28"/>
      <c r="IN185" s="28"/>
      <c r="IO185" s="28"/>
      <c r="IP185" s="28"/>
      <c r="IQ185" s="28"/>
      <c r="IR185" s="28"/>
      <c r="IS185" s="28"/>
    </row>
    <row r="186" spans="2:253" ht="15" customHeight="1" x14ac:dyDescent="0.25"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  <c r="FS186" s="28"/>
      <c r="FT186" s="28"/>
      <c r="FU186" s="28"/>
      <c r="FV186" s="28"/>
      <c r="FW186" s="28"/>
      <c r="FX186" s="28"/>
      <c r="FY186" s="28"/>
      <c r="FZ186" s="28"/>
      <c r="GA186" s="28"/>
      <c r="GB186" s="28"/>
      <c r="GC186" s="28"/>
      <c r="GD186" s="28"/>
      <c r="GE186" s="28"/>
      <c r="GF186" s="28"/>
      <c r="GG186" s="28"/>
      <c r="GH186" s="28"/>
      <c r="GI186" s="28"/>
      <c r="GJ186" s="28"/>
      <c r="GK186" s="28"/>
      <c r="GL186" s="28"/>
      <c r="GM186" s="28"/>
      <c r="GN186" s="28"/>
      <c r="GO186" s="28"/>
      <c r="GP186" s="28"/>
      <c r="GQ186" s="28"/>
      <c r="GR186" s="28"/>
      <c r="GS186" s="28"/>
      <c r="GT186" s="28"/>
      <c r="GU186" s="28"/>
      <c r="GV186" s="28"/>
      <c r="GW186" s="28"/>
      <c r="GX186" s="28"/>
      <c r="GY186" s="28"/>
      <c r="GZ186" s="28"/>
      <c r="HA186" s="28"/>
      <c r="HB186" s="28"/>
      <c r="HC186" s="28"/>
      <c r="HD186" s="28"/>
      <c r="HE186" s="28"/>
      <c r="HF186" s="28"/>
      <c r="HG186" s="28"/>
      <c r="HH186" s="28"/>
      <c r="HI186" s="28"/>
      <c r="HJ186" s="28"/>
      <c r="HK186" s="28"/>
      <c r="HL186" s="28"/>
      <c r="HM186" s="28"/>
      <c r="HN186" s="28"/>
      <c r="HO186" s="28"/>
      <c r="HP186" s="28"/>
      <c r="HQ186" s="28"/>
      <c r="HR186" s="28"/>
      <c r="HS186" s="28"/>
      <c r="HT186" s="28"/>
      <c r="HU186" s="28"/>
      <c r="HV186" s="28"/>
      <c r="HW186" s="28"/>
      <c r="HX186" s="28"/>
      <c r="HY186" s="28"/>
      <c r="HZ186" s="28"/>
      <c r="IA186" s="28"/>
      <c r="IB186" s="28"/>
      <c r="IC186" s="28"/>
      <c r="ID186" s="28"/>
      <c r="IE186" s="28"/>
      <c r="IF186" s="28"/>
      <c r="IG186" s="28"/>
      <c r="IH186" s="28"/>
      <c r="II186" s="28"/>
      <c r="IJ186" s="28"/>
      <c r="IK186" s="28"/>
      <c r="IL186" s="28"/>
      <c r="IM186" s="28"/>
      <c r="IN186" s="28"/>
      <c r="IO186" s="28"/>
      <c r="IP186" s="28"/>
      <c r="IQ186" s="28"/>
      <c r="IR186" s="28"/>
      <c r="IS186" s="28"/>
    </row>
    <row r="187" spans="2:253" ht="15" customHeight="1" x14ac:dyDescent="0.25">
      <c r="B187" s="47" t="s">
        <v>590</v>
      </c>
      <c r="C187" s="47"/>
      <c r="D187" s="47"/>
      <c r="E187" s="47"/>
      <c r="F187" s="47"/>
      <c r="G187" s="47"/>
      <c r="H187" s="47"/>
      <c r="I187" s="47"/>
      <c r="J187" s="3"/>
      <c r="K187" s="47" t="s">
        <v>591</v>
      </c>
      <c r="L187" s="47"/>
      <c r="M187" s="47"/>
      <c r="N187" s="47"/>
      <c r="O187" s="47"/>
      <c r="P187" s="47"/>
      <c r="Q187" s="47"/>
      <c r="R187" s="47"/>
      <c r="S187" s="3"/>
      <c r="T187" s="47" t="s">
        <v>10</v>
      </c>
      <c r="U187" s="47"/>
      <c r="V187" s="47"/>
      <c r="W187" s="47"/>
      <c r="X187" s="3"/>
      <c r="Y187" s="2" t="s">
        <v>111</v>
      </c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  <c r="FS187" s="28"/>
      <c r="FT187" s="28"/>
      <c r="FU187" s="28"/>
      <c r="FV187" s="28"/>
      <c r="FW187" s="28"/>
      <c r="FX187" s="28"/>
      <c r="FY187" s="28"/>
      <c r="FZ187" s="28"/>
      <c r="GA187" s="28"/>
      <c r="GB187" s="28"/>
      <c r="GC187" s="28"/>
      <c r="GD187" s="28"/>
      <c r="GE187" s="28"/>
      <c r="GF187" s="28"/>
      <c r="GG187" s="28"/>
      <c r="GH187" s="28"/>
      <c r="GI187" s="28"/>
      <c r="GJ187" s="28"/>
      <c r="GK187" s="28"/>
      <c r="GL187" s="28"/>
      <c r="GM187" s="28"/>
      <c r="GN187" s="28"/>
      <c r="GO187" s="28"/>
      <c r="GP187" s="28"/>
      <c r="GQ187" s="28"/>
      <c r="GR187" s="28"/>
      <c r="GS187" s="28"/>
      <c r="GT187" s="28"/>
      <c r="GU187" s="28"/>
      <c r="GV187" s="28"/>
      <c r="GW187" s="28"/>
      <c r="GX187" s="28"/>
      <c r="GY187" s="28"/>
      <c r="GZ187" s="28"/>
      <c r="HA187" s="28"/>
      <c r="HB187" s="28"/>
      <c r="HC187" s="28"/>
      <c r="HD187" s="28"/>
      <c r="HE187" s="28"/>
      <c r="HF187" s="28"/>
      <c r="HG187" s="28"/>
      <c r="HH187" s="28"/>
      <c r="HI187" s="28"/>
      <c r="HJ187" s="28"/>
      <c r="HK187" s="28"/>
      <c r="HL187" s="28"/>
      <c r="HM187" s="28"/>
      <c r="HN187" s="28"/>
      <c r="HO187" s="28"/>
      <c r="HP187" s="28"/>
      <c r="HQ187" s="28"/>
      <c r="HR187" s="28"/>
      <c r="HS187" s="28"/>
      <c r="HT187" s="28"/>
      <c r="HU187" s="28"/>
      <c r="HV187" s="28"/>
      <c r="HW187" s="28"/>
      <c r="HX187" s="28"/>
      <c r="HY187" s="28"/>
      <c r="HZ187" s="28"/>
      <c r="IA187" s="28"/>
      <c r="IB187" s="28"/>
      <c r="IC187" s="28"/>
      <c r="ID187" s="28"/>
      <c r="IE187" s="28"/>
      <c r="IF187" s="28"/>
      <c r="IG187" s="28"/>
      <c r="IH187" s="28"/>
      <c r="II187" s="28"/>
      <c r="IJ187" s="28"/>
      <c r="IK187" s="28"/>
      <c r="IL187" s="28"/>
      <c r="IM187" s="28"/>
      <c r="IN187" s="28"/>
      <c r="IO187" s="28"/>
      <c r="IP187" s="28"/>
      <c r="IQ187" s="28"/>
      <c r="IR187" s="28"/>
      <c r="IS187" s="28"/>
    </row>
    <row r="188" spans="2:253" ht="15" customHeight="1" x14ac:dyDescent="0.25">
      <c r="B188" s="2">
        <f t="shared" ref="B188:H188" si="31">L174</f>
        <v>0</v>
      </c>
      <c r="C188" s="2">
        <f t="shared" si="31"/>
        <v>0</v>
      </c>
      <c r="D188" s="2">
        <f t="shared" si="31"/>
        <v>0</v>
      </c>
      <c r="E188" s="2">
        <f t="shared" si="31"/>
        <v>0</v>
      </c>
      <c r="F188" s="2">
        <f t="shared" si="31"/>
        <v>0</v>
      </c>
      <c r="G188" s="2">
        <f t="shared" si="31"/>
        <v>0</v>
      </c>
      <c r="H188" s="2">
        <f t="shared" si="31"/>
        <v>0</v>
      </c>
      <c r="I188" s="2">
        <f>S174</f>
        <v>0</v>
      </c>
      <c r="J188" s="3"/>
      <c r="K188" s="2">
        <f t="shared" ref="K188:Q188" si="32">L183</f>
        <v>0</v>
      </c>
      <c r="L188" s="2">
        <f t="shared" si="32"/>
        <v>0</v>
      </c>
      <c r="M188" s="2">
        <f t="shared" si="32"/>
        <v>0</v>
      </c>
      <c r="N188" s="2">
        <f t="shared" si="32"/>
        <v>0</v>
      </c>
      <c r="O188" s="2">
        <f t="shared" si="32"/>
        <v>0</v>
      </c>
      <c r="P188" s="2">
        <f t="shared" si="32"/>
        <v>0</v>
      </c>
      <c r="Q188" s="2">
        <f t="shared" si="32"/>
        <v>0</v>
      </c>
      <c r="R188" s="2">
        <f>S183</f>
        <v>1</v>
      </c>
      <c r="S188" s="3"/>
      <c r="T188" s="2">
        <f>AF82</f>
        <v>0</v>
      </c>
      <c r="U188" s="2">
        <f>AG82</f>
        <v>0</v>
      </c>
      <c r="V188" s="2">
        <f>AH82</f>
        <v>0</v>
      </c>
      <c r="W188" s="2">
        <f>AI82</f>
        <v>0</v>
      </c>
      <c r="X188" s="3"/>
      <c r="Y188" s="2" t="b">
        <f>AND(V188,F19)</f>
        <v>0</v>
      </c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  <c r="FS188" s="28"/>
      <c r="FT188" s="28"/>
      <c r="FU188" s="28"/>
      <c r="FV188" s="28"/>
      <c r="FW188" s="28"/>
      <c r="FX188" s="28"/>
      <c r="FY188" s="28"/>
      <c r="FZ188" s="28"/>
      <c r="GA188" s="28"/>
      <c r="GB188" s="28"/>
      <c r="GC188" s="28"/>
      <c r="GD188" s="28"/>
      <c r="GE188" s="28"/>
      <c r="GF188" s="28"/>
      <c r="GG188" s="28"/>
      <c r="GH188" s="28"/>
      <c r="GI188" s="28"/>
      <c r="GJ188" s="28"/>
      <c r="GK188" s="28"/>
      <c r="GL188" s="28"/>
      <c r="GM188" s="28"/>
      <c r="GN188" s="28"/>
      <c r="GO188" s="28"/>
      <c r="GP188" s="28"/>
      <c r="GQ188" s="28"/>
      <c r="GR188" s="28"/>
      <c r="GS188" s="28"/>
      <c r="GT188" s="28"/>
      <c r="GU188" s="28"/>
      <c r="GV188" s="28"/>
      <c r="GW188" s="28"/>
      <c r="GX188" s="28"/>
      <c r="GY188" s="28"/>
      <c r="GZ188" s="28"/>
      <c r="HA188" s="28"/>
      <c r="HB188" s="28"/>
      <c r="HC188" s="28"/>
      <c r="HD188" s="28"/>
      <c r="HE188" s="28"/>
      <c r="HF188" s="28"/>
      <c r="HG188" s="28"/>
      <c r="HH188" s="28"/>
      <c r="HI188" s="28"/>
      <c r="HJ188" s="28"/>
      <c r="HK188" s="28"/>
      <c r="HL188" s="28"/>
      <c r="HM188" s="28"/>
      <c r="HN188" s="28"/>
      <c r="HO188" s="28"/>
      <c r="HP188" s="28"/>
      <c r="HQ188" s="28"/>
      <c r="HR188" s="28"/>
      <c r="HS188" s="28"/>
      <c r="HT188" s="28"/>
      <c r="HU188" s="28"/>
      <c r="HV188" s="28"/>
      <c r="HW188" s="28"/>
      <c r="HX188" s="28"/>
      <c r="HY188" s="28"/>
      <c r="HZ188" s="28"/>
      <c r="IA188" s="28"/>
      <c r="IB188" s="28"/>
      <c r="IC188" s="28"/>
      <c r="ID188" s="28"/>
      <c r="IE188" s="28"/>
      <c r="IF188" s="28"/>
      <c r="IG188" s="28"/>
      <c r="IH188" s="28"/>
      <c r="II188" s="28"/>
      <c r="IJ188" s="28"/>
      <c r="IK188" s="28"/>
      <c r="IL188" s="28"/>
      <c r="IM188" s="28"/>
      <c r="IN188" s="28"/>
      <c r="IO188" s="28"/>
      <c r="IP188" s="28"/>
      <c r="IQ188" s="28"/>
      <c r="IR188" s="28"/>
      <c r="IS188" s="28"/>
    </row>
    <row r="189" spans="2:253" ht="1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50">
        <f>(T188*8)+(U188*4)+(V188*2)+(W188*1)+1</f>
        <v>1</v>
      </c>
      <c r="U189" s="50"/>
      <c r="V189" s="50"/>
      <c r="W189" s="50"/>
      <c r="X189" s="3"/>
      <c r="Y189" s="3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  <c r="FS189" s="28"/>
      <c r="FT189" s="28"/>
      <c r="FU189" s="28"/>
      <c r="FV189" s="28"/>
      <c r="FW189" s="28"/>
      <c r="FX189" s="28"/>
      <c r="FY189" s="28"/>
      <c r="FZ189" s="28"/>
      <c r="GA189" s="28"/>
      <c r="GB189" s="28"/>
      <c r="GC189" s="28"/>
      <c r="GD189" s="28"/>
      <c r="GE189" s="28"/>
      <c r="GF189" s="28"/>
      <c r="GG189" s="28"/>
      <c r="GH189" s="28"/>
      <c r="GI189" s="28"/>
      <c r="GJ189" s="28"/>
      <c r="GK189" s="28"/>
      <c r="GL189" s="28"/>
      <c r="GM189" s="28"/>
      <c r="GN189" s="28"/>
      <c r="GO189" s="28"/>
      <c r="GP189" s="28"/>
      <c r="GQ189" s="28"/>
      <c r="GR189" s="28"/>
      <c r="GS189" s="28"/>
      <c r="GT189" s="28"/>
      <c r="GU189" s="28"/>
      <c r="GV189" s="28"/>
      <c r="GW189" s="28"/>
      <c r="GX189" s="28"/>
      <c r="GY189" s="28"/>
      <c r="GZ189" s="28"/>
      <c r="HA189" s="28"/>
      <c r="HB189" s="28"/>
      <c r="HC189" s="28"/>
      <c r="HD189" s="28"/>
      <c r="HE189" s="28"/>
      <c r="HF189" s="28"/>
      <c r="HG189" s="28"/>
      <c r="HH189" s="28"/>
      <c r="HI189" s="28"/>
      <c r="HJ189" s="28"/>
      <c r="HK189" s="28"/>
      <c r="HL189" s="28"/>
      <c r="HM189" s="28"/>
      <c r="HN189" s="28"/>
      <c r="HO189" s="28"/>
      <c r="HP189" s="28"/>
      <c r="HQ189" s="28"/>
      <c r="HR189" s="28"/>
      <c r="HS189" s="28"/>
      <c r="HT189" s="28"/>
      <c r="HU189" s="28"/>
      <c r="HV189" s="28"/>
      <c r="HW189" s="28"/>
      <c r="HX189" s="28"/>
      <c r="HY189" s="28"/>
      <c r="HZ189" s="28"/>
      <c r="IA189" s="28"/>
      <c r="IB189" s="28"/>
      <c r="IC189" s="28"/>
      <c r="ID189" s="28"/>
      <c r="IE189" s="28"/>
      <c r="IF189" s="28"/>
      <c r="IG189" s="28"/>
      <c r="IH189" s="28"/>
      <c r="II189" s="28"/>
      <c r="IJ189" s="28"/>
      <c r="IK189" s="28"/>
      <c r="IL189" s="28"/>
      <c r="IM189" s="28"/>
      <c r="IN189" s="28"/>
      <c r="IO189" s="28"/>
      <c r="IP189" s="28"/>
      <c r="IQ189" s="28"/>
      <c r="IR189" s="28"/>
      <c r="IS189" s="28"/>
    </row>
    <row r="190" spans="2:253" ht="15" customHeight="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  <c r="FS190" s="28"/>
      <c r="FT190" s="28"/>
      <c r="FU190" s="28"/>
      <c r="FV190" s="28"/>
      <c r="FW190" s="28"/>
      <c r="FX190" s="28"/>
      <c r="FY190" s="28"/>
      <c r="FZ190" s="28"/>
      <c r="GA190" s="28"/>
      <c r="GB190" s="28"/>
      <c r="GC190" s="28"/>
      <c r="GD190" s="28"/>
      <c r="GE190" s="28"/>
      <c r="GF190" s="28"/>
      <c r="GG190" s="28"/>
      <c r="GH190" s="28"/>
      <c r="GI190" s="28"/>
      <c r="GJ190" s="28"/>
      <c r="GK190" s="28"/>
      <c r="GL190" s="28"/>
      <c r="GM190" s="28"/>
      <c r="GN190" s="28"/>
      <c r="GO190" s="28"/>
      <c r="GP190" s="28"/>
      <c r="GQ190" s="28"/>
      <c r="GR190" s="28"/>
      <c r="GS190" s="28"/>
      <c r="GT190" s="28"/>
      <c r="GU190" s="28"/>
      <c r="GV190" s="28"/>
      <c r="GW190" s="28"/>
      <c r="GX190" s="28"/>
      <c r="GY190" s="28"/>
      <c r="GZ190" s="28"/>
      <c r="HA190" s="28"/>
      <c r="HB190" s="28"/>
      <c r="HC190" s="28"/>
      <c r="HD190" s="28"/>
      <c r="HE190" s="28"/>
      <c r="HF190" s="28"/>
      <c r="HG190" s="28"/>
      <c r="HH190" s="28"/>
      <c r="HI190" s="28"/>
      <c r="HJ190" s="28"/>
      <c r="HK190" s="28"/>
      <c r="HL190" s="28"/>
      <c r="HM190" s="28"/>
      <c r="HN190" s="28"/>
      <c r="HO190" s="28"/>
      <c r="HP190" s="28"/>
      <c r="HQ190" s="28"/>
      <c r="HR190" s="28"/>
      <c r="HS190" s="28"/>
      <c r="HT190" s="28"/>
      <c r="HU190" s="28"/>
      <c r="HV190" s="28"/>
      <c r="HW190" s="28"/>
      <c r="HX190" s="28"/>
      <c r="HY190" s="28"/>
      <c r="HZ190" s="28"/>
      <c r="IA190" s="28"/>
      <c r="IB190" s="28"/>
      <c r="IC190" s="28"/>
      <c r="ID190" s="28"/>
      <c r="IE190" s="28"/>
      <c r="IF190" s="28"/>
      <c r="IG190" s="28"/>
      <c r="IH190" s="28"/>
      <c r="II190" s="28"/>
      <c r="IJ190" s="28"/>
      <c r="IK190" s="28"/>
      <c r="IL190" s="28"/>
      <c r="IM190" s="28"/>
      <c r="IN190" s="28"/>
      <c r="IO190" s="28"/>
      <c r="IP190" s="28"/>
      <c r="IQ190" s="28"/>
      <c r="IR190" s="28"/>
      <c r="IS190" s="28"/>
    </row>
    <row r="191" spans="2:253" ht="15" customHeight="1" x14ac:dyDescent="0.25">
      <c r="B191" s="3"/>
      <c r="C191" s="3"/>
      <c r="D191" s="63" t="s">
        <v>2</v>
      </c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3"/>
      <c r="Y191" s="3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  <c r="FS191" s="28"/>
      <c r="FT191" s="28"/>
      <c r="FU191" s="28"/>
      <c r="FV191" s="28"/>
      <c r="FW191" s="28"/>
      <c r="FX191" s="28"/>
      <c r="FY191" s="28"/>
      <c r="FZ191" s="28"/>
      <c r="GA191" s="28"/>
      <c r="GB191" s="28"/>
      <c r="GC191" s="28"/>
      <c r="GD191" s="28"/>
      <c r="GE191" s="28"/>
      <c r="GF191" s="28"/>
      <c r="GG191" s="28"/>
      <c r="GH191" s="28"/>
      <c r="GI191" s="28"/>
      <c r="GJ191" s="28"/>
      <c r="GK191" s="28"/>
      <c r="GL191" s="28"/>
      <c r="GM191" s="28"/>
      <c r="GN191" s="28"/>
      <c r="GO191" s="28"/>
      <c r="GP191" s="28"/>
      <c r="GQ191" s="28"/>
      <c r="GR191" s="28"/>
      <c r="GS191" s="28"/>
      <c r="GT191" s="28"/>
      <c r="GU191" s="28"/>
      <c r="GV191" s="28"/>
      <c r="GW191" s="28"/>
      <c r="GX191" s="28"/>
      <c r="GY191" s="28"/>
      <c r="GZ191" s="28"/>
      <c r="HA191" s="28"/>
      <c r="HB191" s="28"/>
      <c r="HC191" s="28"/>
      <c r="HD191" s="28"/>
      <c r="HE191" s="28"/>
      <c r="HF191" s="28"/>
      <c r="HG191" s="28"/>
      <c r="HH191" s="28"/>
      <c r="HI191" s="28"/>
      <c r="HJ191" s="28"/>
      <c r="HK191" s="28"/>
      <c r="HL191" s="28"/>
      <c r="HM191" s="28"/>
      <c r="HN191" s="28"/>
      <c r="HO191" s="28"/>
      <c r="HP191" s="28"/>
      <c r="HQ191" s="28"/>
      <c r="HR191" s="28"/>
      <c r="HS191" s="28"/>
      <c r="HT191" s="28"/>
      <c r="HU191" s="28"/>
      <c r="HV191" s="28"/>
      <c r="HW191" s="28"/>
      <c r="HX191" s="28"/>
      <c r="HY191" s="28"/>
      <c r="HZ191" s="28"/>
      <c r="IA191" s="28"/>
      <c r="IB191" s="28"/>
      <c r="IC191" s="28"/>
      <c r="ID191" s="28"/>
      <c r="IE191" s="28"/>
      <c r="IF191" s="28"/>
      <c r="IG191" s="28"/>
      <c r="IH191" s="28"/>
      <c r="II191" s="28"/>
      <c r="IJ191" s="28"/>
      <c r="IK191" s="28"/>
      <c r="IL191" s="28"/>
      <c r="IM191" s="28"/>
      <c r="IN191" s="28"/>
      <c r="IO191" s="28"/>
      <c r="IP191" s="28"/>
      <c r="IQ191" s="28"/>
      <c r="IR191" s="28"/>
      <c r="IS191" s="28"/>
    </row>
    <row r="192" spans="2:253" ht="15" customHeight="1" x14ac:dyDescent="0.25">
      <c r="B192" s="3"/>
      <c r="C192" s="3"/>
      <c r="D192" s="47" t="s">
        <v>3</v>
      </c>
      <c r="E192" s="47"/>
      <c r="F192" s="2">
        <f>IF(OR(T189=2,T189=4), 1, 0)</f>
        <v>0</v>
      </c>
      <c r="G192" s="4">
        <f t="shared" ref="G192:N192" si="33">IF($T$189&lt;=4, B188, 0)</f>
        <v>0</v>
      </c>
      <c r="H192" s="4">
        <f t="shared" si="33"/>
        <v>0</v>
      </c>
      <c r="I192" s="4">
        <f t="shared" si="33"/>
        <v>0</v>
      </c>
      <c r="J192" s="4">
        <f t="shared" si="33"/>
        <v>0</v>
      </c>
      <c r="K192" s="4">
        <f t="shared" si="33"/>
        <v>0</v>
      </c>
      <c r="L192" s="4">
        <f t="shared" si="33"/>
        <v>0</v>
      </c>
      <c r="M192" s="4">
        <f t="shared" si="33"/>
        <v>0</v>
      </c>
      <c r="N192" s="4">
        <f t="shared" si="33"/>
        <v>0</v>
      </c>
      <c r="O192" s="4"/>
      <c r="P192" s="4" t="b">
        <f>IF($T$189&lt;=4, K188&lt;&gt;$F$192, 0)</f>
        <v>0</v>
      </c>
      <c r="Q192" s="4" t="b">
        <f>IF($T$189&lt;=4, L188&lt;&gt;$F$192, 0)</f>
        <v>0</v>
      </c>
      <c r="R192" s="4" t="b">
        <f>IF($T$189&lt;=4, M188&lt;&gt;$F$192, 0)</f>
        <v>0</v>
      </c>
      <c r="S192" s="4" t="b">
        <f t="shared" ref="S192" si="34">IF($T$189&lt;=4, N188&lt;&gt;$F$192, 0)</f>
        <v>0</v>
      </c>
      <c r="T192" s="4" t="b">
        <f>IF($T$189&lt;=4, O188&lt;&gt;$F$192, 0)</f>
        <v>0</v>
      </c>
      <c r="U192" s="4" t="b">
        <f>IF($T$189&lt;=4, P188&lt;&gt;$F$192, 0)</f>
        <v>0</v>
      </c>
      <c r="V192" s="4" t="b">
        <f>IF($T$189&lt;=4, Q188&lt;&gt;$F$192, 0)</f>
        <v>0</v>
      </c>
      <c r="W192" s="4" t="b">
        <f>IF($T$189&lt;=4, R188&lt;&gt;$F$192, 0)</f>
        <v>1</v>
      </c>
      <c r="X192" s="3"/>
      <c r="Y192" s="3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  <c r="FS192" s="28"/>
      <c r="FT192" s="28"/>
      <c r="FU192" s="28"/>
      <c r="FV192" s="28"/>
      <c r="FW192" s="28"/>
      <c r="FX192" s="28"/>
      <c r="FY192" s="28"/>
      <c r="FZ192" s="28"/>
      <c r="GA192" s="28"/>
      <c r="GB192" s="28"/>
      <c r="GC192" s="28"/>
      <c r="GD192" s="28"/>
      <c r="GE192" s="28"/>
      <c r="GF192" s="28"/>
      <c r="GG192" s="28"/>
      <c r="GH192" s="28"/>
      <c r="GI192" s="28"/>
      <c r="GJ192" s="28"/>
      <c r="GK192" s="28"/>
      <c r="GL192" s="28"/>
      <c r="GM192" s="28"/>
      <c r="GN192" s="28"/>
      <c r="GO192" s="28"/>
      <c r="GP192" s="28"/>
      <c r="GQ192" s="28"/>
      <c r="GR192" s="28"/>
      <c r="GS192" s="28"/>
      <c r="GT192" s="28"/>
      <c r="GU192" s="28"/>
      <c r="GV192" s="28"/>
      <c r="GW192" s="28"/>
      <c r="GX192" s="28"/>
      <c r="GY192" s="28"/>
      <c r="GZ192" s="28"/>
      <c r="HA192" s="28"/>
      <c r="HB192" s="28"/>
      <c r="HC192" s="28"/>
      <c r="HD192" s="28"/>
      <c r="HE192" s="28"/>
      <c r="HF192" s="28"/>
      <c r="HG192" s="28"/>
      <c r="HH192" s="28"/>
      <c r="HI192" s="28"/>
      <c r="HJ192" s="28"/>
      <c r="HK192" s="28"/>
      <c r="HL192" s="28"/>
      <c r="HM192" s="28"/>
      <c r="HN192" s="28"/>
      <c r="HO192" s="28"/>
      <c r="HP192" s="28"/>
      <c r="HQ192" s="28"/>
      <c r="HR192" s="28"/>
      <c r="HS192" s="28"/>
      <c r="HT192" s="28"/>
      <c r="HU192" s="28"/>
      <c r="HV192" s="28"/>
      <c r="HW192" s="28"/>
      <c r="HX192" s="28"/>
      <c r="HY192" s="28"/>
      <c r="HZ192" s="28"/>
      <c r="IA192" s="28"/>
      <c r="IB192" s="28"/>
      <c r="IC192" s="28"/>
      <c r="ID192" s="28"/>
      <c r="IE192" s="28"/>
      <c r="IF192" s="28"/>
      <c r="IG192" s="28"/>
      <c r="IH192" s="28"/>
      <c r="II192" s="28"/>
      <c r="IJ192" s="28"/>
      <c r="IK192" s="28"/>
      <c r="IL192" s="28"/>
      <c r="IM192" s="28"/>
      <c r="IN192" s="28"/>
      <c r="IO192" s="28"/>
      <c r="IP192" s="28"/>
      <c r="IQ192" s="28"/>
      <c r="IR192" s="28"/>
      <c r="IS192" s="28"/>
    </row>
    <row r="193" spans="2:253" ht="15" customHeight="1" x14ac:dyDescent="0.25">
      <c r="B193" s="3"/>
      <c r="C193" s="3"/>
      <c r="D193" s="3"/>
      <c r="E193" s="3"/>
      <c r="F193" s="3"/>
      <c r="G193" s="4"/>
      <c r="H193" s="4"/>
      <c r="I193" s="5"/>
      <c r="J193" s="4"/>
      <c r="K193" s="60" t="s">
        <v>574</v>
      </c>
      <c r="L193" s="60"/>
      <c r="M193" s="60"/>
      <c r="N193" s="6">
        <f>IF((N192+W192+(AND(OR(T189=3,T189=4,T189=11,T189=12),Y188)&lt;&gt;F192))&gt;=2, 1, 0)</f>
        <v>0</v>
      </c>
      <c r="O193" s="6">
        <f>IF((M192+N193+V192)&gt;=2, 1, 0)</f>
        <v>0</v>
      </c>
      <c r="P193" s="6">
        <f>IF((L192+O193+U192)&gt;=2, 1, 0)</f>
        <v>0</v>
      </c>
      <c r="Q193" s="6">
        <f>IF((K192+P193+T192)&gt;=2, 1, 0)</f>
        <v>0</v>
      </c>
      <c r="R193" s="6">
        <f>IF((J192+Q193+S192)&gt;=2, 1, 0)</f>
        <v>0</v>
      </c>
      <c r="S193" s="6">
        <f>IF((I192+R193+R192)&gt;=2, 1, 0)</f>
        <v>0</v>
      </c>
      <c r="T193" s="6">
        <f>IF((H192+S193+Q192)&gt;=2, 1, 0)</f>
        <v>0</v>
      </c>
      <c r="U193" s="6">
        <f>IF((G192+T193+P192)&gt;=2, 1, 0)</f>
        <v>0</v>
      </c>
      <c r="V193" s="4"/>
      <c r="W193" s="4"/>
      <c r="X193" s="3"/>
      <c r="Y193" s="3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  <c r="FS193" s="28"/>
      <c r="FT193" s="28"/>
      <c r="FU193" s="28"/>
      <c r="FV193" s="28"/>
      <c r="FW193" s="28"/>
      <c r="FX193" s="28"/>
      <c r="FY193" s="28"/>
      <c r="FZ193" s="28"/>
      <c r="GA193" s="28"/>
      <c r="GB193" s="28"/>
      <c r="GC193" s="28"/>
      <c r="GD193" s="28"/>
      <c r="GE193" s="28"/>
      <c r="GF193" s="28"/>
      <c r="GG193" s="28"/>
      <c r="GH193" s="28"/>
      <c r="GI193" s="28"/>
      <c r="GJ193" s="28"/>
      <c r="GK193" s="28"/>
      <c r="GL193" s="28"/>
      <c r="GM193" s="28"/>
      <c r="GN193" s="28"/>
      <c r="GO193" s="28"/>
      <c r="GP193" s="28"/>
      <c r="GQ193" s="28"/>
      <c r="GR193" s="28"/>
      <c r="GS193" s="28"/>
      <c r="GT193" s="28"/>
      <c r="GU193" s="28"/>
      <c r="GV193" s="28"/>
      <c r="GW193" s="28"/>
      <c r="GX193" s="28"/>
      <c r="GY193" s="28"/>
      <c r="GZ193" s="28"/>
      <c r="HA193" s="28"/>
      <c r="HB193" s="28"/>
      <c r="HC193" s="28"/>
      <c r="HD193" s="28"/>
      <c r="HE193" s="28"/>
      <c r="HF193" s="28"/>
      <c r="HG193" s="28"/>
      <c r="HH193" s="28"/>
      <c r="HI193" s="28"/>
      <c r="HJ193" s="28"/>
      <c r="HK193" s="28"/>
      <c r="HL193" s="28"/>
      <c r="HM193" s="28"/>
      <c r="HN193" s="28"/>
      <c r="HO193" s="28"/>
      <c r="HP193" s="28"/>
      <c r="HQ193" s="28"/>
      <c r="HR193" s="28"/>
      <c r="HS193" s="28"/>
      <c r="HT193" s="28"/>
      <c r="HU193" s="28"/>
      <c r="HV193" s="28"/>
      <c r="HW193" s="28"/>
      <c r="HX193" s="28"/>
      <c r="HY193" s="28"/>
      <c r="HZ193" s="28"/>
      <c r="IA193" s="28"/>
      <c r="IB193" s="28"/>
      <c r="IC193" s="28"/>
      <c r="ID193" s="28"/>
      <c r="IE193" s="28"/>
      <c r="IF193" s="28"/>
      <c r="IG193" s="28"/>
      <c r="IH193" s="28"/>
      <c r="II193" s="28"/>
      <c r="IJ193" s="28"/>
      <c r="IK193" s="28"/>
      <c r="IL193" s="28"/>
      <c r="IM193" s="28"/>
      <c r="IN193" s="28"/>
      <c r="IO193" s="28"/>
      <c r="IP193" s="28"/>
      <c r="IQ193" s="28"/>
      <c r="IR193" s="28"/>
      <c r="IS193" s="28"/>
    </row>
    <row r="194" spans="2:253" ht="15" customHeight="1" x14ac:dyDescent="0.25">
      <c r="B194" s="3"/>
      <c r="C194" s="3"/>
      <c r="D194" s="3"/>
      <c r="E194" s="3"/>
      <c r="F194" s="3"/>
      <c r="G194" s="3"/>
      <c r="H194" s="17">
        <f>MOD(G192+T193+P192, 2)</f>
        <v>0</v>
      </c>
      <c r="I194" s="17">
        <f>MOD(H192+S193+Q192, 2)</f>
        <v>0</v>
      </c>
      <c r="J194" s="17">
        <f>MOD(I192+R193+R192, 2)</f>
        <v>0</v>
      </c>
      <c r="K194" s="17">
        <f>MOD(J192+Q193+S192, 2)</f>
        <v>0</v>
      </c>
      <c r="L194" s="17">
        <f>MOD(K192+P193+T192, 2)</f>
        <v>0</v>
      </c>
      <c r="M194" s="17">
        <f>MOD(L192+O193+U192, 2)</f>
        <v>0</v>
      </c>
      <c r="N194" s="17">
        <f>MOD(M192+N193+V192, 2)</f>
        <v>0</v>
      </c>
      <c r="O194" s="17">
        <f>MOD(N192+W192+ABS(Y188-F192), 2)</f>
        <v>1</v>
      </c>
      <c r="P194" s="3"/>
      <c r="Q194" s="3"/>
      <c r="R194" s="3"/>
      <c r="S194" s="17">
        <f>U193</f>
        <v>0</v>
      </c>
      <c r="T194" s="17">
        <f>H194</f>
        <v>0</v>
      </c>
      <c r="U194" s="17">
        <f>IF(_xlfn.XOR(U193,T193),1,0)</f>
        <v>0</v>
      </c>
      <c r="V194" s="13"/>
      <c r="W194" s="3"/>
      <c r="X194" s="3"/>
      <c r="Y194" s="3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  <c r="FS194" s="28"/>
      <c r="FT194" s="28"/>
      <c r="FU194" s="28"/>
      <c r="FV194" s="28"/>
      <c r="FW194" s="28"/>
      <c r="FX194" s="28"/>
      <c r="FY194" s="28"/>
      <c r="FZ194" s="28"/>
      <c r="GA194" s="28"/>
      <c r="GB194" s="28"/>
      <c r="GC194" s="28"/>
      <c r="GD194" s="28"/>
      <c r="GE194" s="28"/>
      <c r="GF194" s="28"/>
      <c r="GG194" s="28"/>
      <c r="GH194" s="28"/>
      <c r="GI194" s="28"/>
      <c r="GJ194" s="28"/>
      <c r="GK194" s="28"/>
      <c r="GL194" s="28"/>
      <c r="GM194" s="28"/>
      <c r="GN194" s="28"/>
      <c r="GO194" s="28"/>
      <c r="GP194" s="28"/>
      <c r="GQ194" s="28"/>
      <c r="GR194" s="28"/>
      <c r="GS194" s="28"/>
      <c r="GT194" s="28"/>
      <c r="GU194" s="28"/>
      <c r="GV194" s="28"/>
      <c r="GW194" s="28"/>
      <c r="GX194" s="28"/>
      <c r="GY194" s="28"/>
      <c r="GZ194" s="28"/>
      <c r="HA194" s="28"/>
      <c r="HB194" s="28"/>
      <c r="HC194" s="28"/>
      <c r="HD194" s="28"/>
      <c r="HE194" s="28"/>
      <c r="HF194" s="28"/>
      <c r="HG194" s="28"/>
      <c r="HH194" s="28"/>
      <c r="HI194" s="28"/>
      <c r="HJ194" s="28"/>
      <c r="HK194" s="28"/>
      <c r="HL194" s="28"/>
      <c r="HM194" s="28"/>
      <c r="HN194" s="28"/>
      <c r="HO194" s="28"/>
      <c r="HP194" s="28"/>
      <c r="HQ194" s="28"/>
      <c r="HR194" s="28"/>
      <c r="HS194" s="28"/>
      <c r="HT194" s="28"/>
      <c r="HU194" s="28"/>
      <c r="HV194" s="28"/>
      <c r="HW194" s="28"/>
      <c r="HX194" s="28"/>
      <c r="HY194" s="28"/>
      <c r="HZ194" s="28"/>
      <c r="IA194" s="28"/>
      <c r="IB194" s="28"/>
      <c r="IC194" s="28"/>
      <c r="ID194" s="28"/>
      <c r="IE194" s="28"/>
      <c r="IF194" s="28"/>
      <c r="IG194" s="28"/>
      <c r="IH194" s="28"/>
      <c r="II194" s="28"/>
      <c r="IJ194" s="28"/>
      <c r="IK194" s="28"/>
      <c r="IL194" s="28"/>
      <c r="IM194" s="28"/>
      <c r="IN194" s="28"/>
      <c r="IO194" s="28"/>
      <c r="IP194" s="28"/>
      <c r="IQ194" s="28"/>
      <c r="IR194" s="28"/>
      <c r="IS194" s="28"/>
    </row>
    <row r="195" spans="2:253" ht="15" customHeight="1" x14ac:dyDescent="0.25">
      <c r="B195" s="3"/>
      <c r="C195" s="3"/>
      <c r="D195" s="63" t="s">
        <v>8</v>
      </c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3"/>
      <c r="Y195" s="3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  <c r="FS195" s="28"/>
      <c r="FT195" s="28"/>
      <c r="FU195" s="28"/>
      <c r="FV195" s="28"/>
      <c r="FW195" s="28"/>
      <c r="FX195" s="28"/>
      <c r="FY195" s="28"/>
      <c r="FZ195" s="28"/>
      <c r="GA195" s="28"/>
      <c r="GB195" s="28"/>
      <c r="GC195" s="28"/>
      <c r="GD195" s="28"/>
      <c r="GE195" s="28"/>
      <c r="GF195" s="28"/>
      <c r="GG195" s="28"/>
      <c r="GH195" s="28"/>
      <c r="GI195" s="28"/>
      <c r="GJ195" s="28"/>
      <c r="GK195" s="28"/>
      <c r="GL195" s="28"/>
      <c r="GM195" s="28"/>
      <c r="GN195" s="28"/>
      <c r="GO195" s="28"/>
      <c r="GP195" s="28"/>
      <c r="GQ195" s="28"/>
      <c r="GR195" s="28"/>
      <c r="GS195" s="28"/>
      <c r="GT195" s="28"/>
      <c r="GU195" s="28"/>
      <c r="GV195" s="28"/>
      <c r="GW195" s="28"/>
      <c r="GX195" s="28"/>
      <c r="GY195" s="28"/>
      <c r="GZ195" s="28"/>
      <c r="HA195" s="28"/>
      <c r="HB195" s="28"/>
      <c r="HC195" s="28"/>
      <c r="HD195" s="28"/>
      <c r="HE195" s="28"/>
      <c r="HF195" s="28"/>
      <c r="HG195" s="28"/>
      <c r="HH195" s="28"/>
      <c r="HI195" s="28"/>
      <c r="HJ195" s="28"/>
      <c r="HK195" s="28"/>
      <c r="HL195" s="28"/>
      <c r="HM195" s="28"/>
      <c r="HN195" s="28"/>
      <c r="HO195" s="28"/>
      <c r="HP195" s="28"/>
      <c r="HQ195" s="28"/>
      <c r="HR195" s="28"/>
      <c r="HS195" s="28"/>
      <c r="HT195" s="28"/>
      <c r="HU195" s="28"/>
      <c r="HV195" s="28"/>
      <c r="HW195" s="28"/>
      <c r="HX195" s="28"/>
      <c r="HY195" s="28"/>
      <c r="HZ195" s="28"/>
      <c r="IA195" s="28"/>
      <c r="IB195" s="28"/>
      <c r="IC195" s="28"/>
      <c r="ID195" s="28"/>
      <c r="IE195" s="28"/>
      <c r="IF195" s="28"/>
      <c r="IG195" s="28"/>
      <c r="IH195" s="28"/>
      <c r="II195" s="28"/>
      <c r="IJ195" s="28"/>
      <c r="IK195" s="28"/>
      <c r="IL195" s="28"/>
      <c r="IM195" s="28"/>
      <c r="IN195" s="28"/>
      <c r="IO195" s="28"/>
      <c r="IP195" s="28"/>
      <c r="IQ195" s="28"/>
      <c r="IR195" s="28"/>
      <c r="IS195" s="28"/>
    </row>
    <row r="196" spans="2:253" ht="15" customHeight="1" x14ac:dyDescent="0.25">
      <c r="B196" s="3"/>
      <c r="C196" s="3"/>
      <c r="D196" s="3"/>
      <c r="E196" s="3"/>
      <c r="F196" s="3"/>
      <c r="G196" s="3"/>
      <c r="H196" s="17">
        <f t="shared" ref="H196:O196" si="35">IF($T$189=5, ABS(AND(B188,K188)), 0)</f>
        <v>0</v>
      </c>
      <c r="I196" s="17">
        <f t="shared" si="35"/>
        <v>0</v>
      </c>
      <c r="J196" s="17">
        <f t="shared" si="35"/>
        <v>0</v>
      </c>
      <c r="K196" s="17">
        <f t="shared" si="35"/>
        <v>0</v>
      </c>
      <c r="L196" s="17">
        <f t="shared" si="35"/>
        <v>0</v>
      </c>
      <c r="M196" s="17">
        <f t="shared" si="35"/>
        <v>0</v>
      </c>
      <c r="N196" s="17">
        <f t="shared" si="35"/>
        <v>0</v>
      </c>
      <c r="O196" s="17">
        <f t="shared" si="35"/>
        <v>0</v>
      </c>
      <c r="P196" s="3"/>
      <c r="Q196" s="3"/>
      <c r="R196" s="3"/>
      <c r="S196" s="3"/>
      <c r="T196" s="17">
        <f>H196</f>
        <v>0</v>
      </c>
      <c r="U196" s="3"/>
      <c r="V196" s="3"/>
      <c r="W196" s="3"/>
      <c r="X196" s="3"/>
      <c r="Y196" s="3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  <c r="FS196" s="28"/>
      <c r="FT196" s="28"/>
      <c r="FU196" s="28"/>
      <c r="FV196" s="28"/>
      <c r="FW196" s="28"/>
      <c r="FX196" s="28"/>
      <c r="FY196" s="28"/>
      <c r="FZ196" s="28"/>
      <c r="GA196" s="28"/>
      <c r="GB196" s="28"/>
      <c r="GC196" s="28"/>
      <c r="GD196" s="28"/>
      <c r="GE196" s="28"/>
      <c r="GF196" s="28"/>
      <c r="GG196" s="28"/>
      <c r="GH196" s="28"/>
      <c r="GI196" s="28"/>
      <c r="GJ196" s="28"/>
      <c r="GK196" s="28"/>
      <c r="GL196" s="28"/>
      <c r="GM196" s="28"/>
      <c r="GN196" s="28"/>
      <c r="GO196" s="28"/>
      <c r="GP196" s="28"/>
      <c r="GQ196" s="28"/>
      <c r="GR196" s="28"/>
      <c r="GS196" s="28"/>
      <c r="GT196" s="28"/>
      <c r="GU196" s="28"/>
      <c r="GV196" s="28"/>
      <c r="GW196" s="28"/>
      <c r="GX196" s="28"/>
      <c r="GY196" s="28"/>
      <c r="GZ196" s="28"/>
      <c r="HA196" s="28"/>
      <c r="HB196" s="28"/>
      <c r="HC196" s="28"/>
      <c r="HD196" s="28"/>
      <c r="HE196" s="28"/>
      <c r="HF196" s="28"/>
      <c r="HG196" s="28"/>
      <c r="HH196" s="28"/>
      <c r="HI196" s="28"/>
      <c r="HJ196" s="28"/>
      <c r="HK196" s="28"/>
      <c r="HL196" s="28"/>
      <c r="HM196" s="28"/>
      <c r="HN196" s="28"/>
      <c r="HO196" s="28"/>
      <c r="HP196" s="28"/>
      <c r="HQ196" s="28"/>
      <c r="HR196" s="28"/>
      <c r="HS196" s="28"/>
      <c r="HT196" s="28"/>
      <c r="HU196" s="28"/>
      <c r="HV196" s="28"/>
      <c r="HW196" s="28"/>
      <c r="HX196" s="28"/>
      <c r="HY196" s="28"/>
      <c r="HZ196" s="28"/>
      <c r="IA196" s="28"/>
      <c r="IB196" s="28"/>
      <c r="IC196" s="28"/>
      <c r="ID196" s="28"/>
      <c r="IE196" s="28"/>
      <c r="IF196" s="28"/>
      <c r="IG196" s="28"/>
      <c r="IH196" s="28"/>
      <c r="II196" s="28"/>
      <c r="IJ196" s="28"/>
      <c r="IK196" s="28"/>
      <c r="IL196" s="28"/>
      <c r="IM196" s="28"/>
      <c r="IN196" s="28"/>
      <c r="IO196" s="28"/>
      <c r="IP196" s="28"/>
      <c r="IQ196" s="28"/>
      <c r="IR196" s="28"/>
      <c r="IS196" s="28"/>
    </row>
    <row r="197" spans="2:253" ht="15" customHeight="1" x14ac:dyDescent="0.25">
      <c r="B197" s="3"/>
      <c r="C197" s="3"/>
      <c r="D197" s="63" t="s">
        <v>9</v>
      </c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3"/>
      <c r="Y197" s="3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  <c r="FS197" s="28"/>
      <c r="FT197" s="28"/>
      <c r="FU197" s="28"/>
      <c r="FV197" s="28"/>
      <c r="FW197" s="28"/>
      <c r="FX197" s="28"/>
      <c r="FY197" s="28"/>
      <c r="FZ197" s="28"/>
      <c r="GA197" s="28"/>
      <c r="GB197" s="28"/>
      <c r="GC197" s="28"/>
      <c r="GD197" s="28"/>
      <c r="GE197" s="28"/>
      <c r="GF197" s="28"/>
      <c r="GG197" s="28"/>
      <c r="GH197" s="28"/>
      <c r="GI197" s="28"/>
      <c r="GJ197" s="28"/>
      <c r="GK197" s="28"/>
      <c r="GL197" s="28"/>
      <c r="GM197" s="28"/>
      <c r="GN197" s="28"/>
      <c r="GO197" s="28"/>
      <c r="GP197" s="28"/>
      <c r="GQ197" s="28"/>
      <c r="GR197" s="28"/>
      <c r="GS197" s="28"/>
      <c r="GT197" s="28"/>
      <c r="GU197" s="28"/>
      <c r="GV197" s="28"/>
      <c r="GW197" s="28"/>
      <c r="GX197" s="28"/>
      <c r="GY197" s="28"/>
      <c r="GZ197" s="28"/>
      <c r="HA197" s="28"/>
      <c r="HB197" s="28"/>
      <c r="HC197" s="28"/>
      <c r="HD197" s="28"/>
      <c r="HE197" s="28"/>
      <c r="HF197" s="28"/>
      <c r="HG197" s="28"/>
      <c r="HH197" s="28"/>
      <c r="HI197" s="28"/>
      <c r="HJ197" s="28"/>
      <c r="HK197" s="28"/>
      <c r="HL197" s="28"/>
      <c r="HM197" s="28"/>
      <c r="HN197" s="28"/>
      <c r="HO197" s="28"/>
      <c r="HP197" s="28"/>
      <c r="HQ197" s="28"/>
      <c r="HR197" s="28"/>
      <c r="HS197" s="28"/>
      <c r="HT197" s="28"/>
      <c r="HU197" s="28"/>
      <c r="HV197" s="28"/>
      <c r="HW197" s="28"/>
      <c r="HX197" s="28"/>
      <c r="HY197" s="28"/>
      <c r="HZ197" s="28"/>
      <c r="IA197" s="28"/>
      <c r="IB197" s="28"/>
      <c r="IC197" s="28"/>
      <c r="ID197" s="28"/>
      <c r="IE197" s="28"/>
      <c r="IF197" s="28"/>
      <c r="IG197" s="28"/>
      <c r="IH197" s="28"/>
      <c r="II197" s="28"/>
      <c r="IJ197" s="28"/>
      <c r="IK197" s="28"/>
      <c r="IL197" s="28"/>
      <c r="IM197" s="28"/>
      <c r="IN197" s="28"/>
      <c r="IO197" s="28"/>
      <c r="IP197" s="28"/>
      <c r="IQ197" s="28"/>
      <c r="IR197" s="28"/>
      <c r="IS197" s="28"/>
    </row>
    <row r="198" spans="2:253" ht="15" customHeight="1" x14ac:dyDescent="0.25">
      <c r="B198" s="3"/>
      <c r="C198" s="3"/>
      <c r="D198" s="3"/>
      <c r="E198" s="3"/>
      <c r="F198" s="3"/>
      <c r="G198" s="3"/>
      <c r="H198" s="17">
        <f t="shared" ref="H198:O198" si="36">IF($T$189=6, ABS(OR(B188,K188)), 0)</f>
        <v>0</v>
      </c>
      <c r="I198" s="17">
        <f t="shared" si="36"/>
        <v>0</v>
      </c>
      <c r="J198" s="17">
        <f t="shared" si="36"/>
        <v>0</v>
      </c>
      <c r="K198" s="17">
        <f t="shared" si="36"/>
        <v>0</v>
      </c>
      <c r="L198" s="17">
        <f t="shared" si="36"/>
        <v>0</v>
      </c>
      <c r="M198" s="17">
        <f t="shared" si="36"/>
        <v>0</v>
      </c>
      <c r="N198" s="17">
        <f t="shared" si="36"/>
        <v>0</v>
      </c>
      <c r="O198" s="17">
        <f t="shared" si="36"/>
        <v>0</v>
      </c>
      <c r="P198" s="3"/>
      <c r="Q198" s="3"/>
      <c r="R198" s="3"/>
      <c r="S198" s="3"/>
      <c r="T198" s="17">
        <f>H198</f>
        <v>0</v>
      </c>
      <c r="U198" s="3"/>
      <c r="V198" s="3"/>
      <c r="W198" s="3"/>
      <c r="X198" s="3"/>
      <c r="Y198" s="3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  <c r="FS198" s="28"/>
      <c r="FT198" s="28"/>
      <c r="FU198" s="28"/>
      <c r="FV198" s="28"/>
      <c r="FW198" s="28"/>
      <c r="FX198" s="28"/>
      <c r="FY198" s="28"/>
      <c r="FZ198" s="28"/>
      <c r="GA198" s="28"/>
      <c r="GB198" s="28"/>
      <c r="GC198" s="28"/>
      <c r="GD198" s="28"/>
      <c r="GE198" s="28"/>
      <c r="GF198" s="28"/>
      <c r="GG198" s="28"/>
      <c r="GH198" s="28"/>
      <c r="GI198" s="28"/>
      <c r="GJ198" s="28"/>
      <c r="GK198" s="28"/>
      <c r="GL198" s="28"/>
      <c r="GM198" s="28"/>
      <c r="GN198" s="28"/>
      <c r="GO198" s="28"/>
      <c r="GP198" s="28"/>
      <c r="GQ198" s="28"/>
      <c r="GR198" s="28"/>
      <c r="GS198" s="28"/>
      <c r="GT198" s="28"/>
      <c r="GU198" s="28"/>
      <c r="GV198" s="28"/>
      <c r="GW198" s="28"/>
      <c r="GX198" s="28"/>
      <c r="GY198" s="28"/>
      <c r="GZ198" s="28"/>
      <c r="HA198" s="28"/>
      <c r="HB198" s="28"/>
      <c r="HC198" s="28"/>
      <c r="HD198" s="28"/>
      <c r="HE198" s="28"/>
      <c r="HF198" s="28"/>
      <c r="HG198" s="28"/>
      <c r="HH198" s="28"/>
      <c r="HI198" s="28"/>
      <c r="HJ198" s="28"/>
      <c r="HK198" s="28"/>
      <c r="HL198" s="28"/>
      <c r="HM198" s="28"/>
      <c r="HN198" s="28"/>
      <c r="HO198" s="28"/>
      <c r="HP198" s="28"/>
      <c r="HQ198" s="28"/>
      <c r="HR198" s="28"/>
      <c r="HS198" s="28"/>
      <c r="HT198" s="28"/>
      <c r="HU198" s="28"/>
      <c r="HV198" s="28"/>
      <c r="HW198" s="28"/>
      <c r="HX198" s="28"/>
      <c r="HY198" s="28"/>
      <c r="HZ198" s="28"/>
      <c r="IA198" s="28"/>
      <c r="IB198" s="28"/>
      <c r="IC198" s="28"/>
      <c r="ID198" s="28"/>
      <c r="IE198" s="28"/>
      <c r="IF198" s="28"/>
      <c r="IG198" s="28"/>
      <c r="IH198" s="28"/>
      <c r="II198" s="28"/>
      <c r="IJ198" s="28"/>
      <c r="IK198" s="28"/>
      <c r="IL198" s="28"/>
      <c r="IM198" s="28"/>
      <c r="IN198" s="28"/>
      <c r="IO198" s="28"/>
      <c r="IP198" s="28"/>
      <c r="IQ198" s="28"/>
      <c r="IR198" s="28"/>
      <c r="IS198" s="28"/>
    </row>
    <row r="199" spans="2:253" ht="15" customHeight="1" x14ac:dyDescent="0.25">
      <c r="B199" s="3"/>
      <c r="C199" s="3"/>
      <c r="D199" s="63" t="s">
        <v>7</v>
      </c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3"/>
      <c r="Y199" s="3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  <c r="FS199" s="28"/>
      <c r="FT199" s="28"/>
      <c r="FU199" s="28"/>
      <c r="FV199" s="28"/>
      <c r="FW199" s="28"/>
      <c r="FX199" s="28"/>
      <c r="FY199" s="28"/>
      <c r="FZ199" s="28"/>
      <c r="GA199" s="28"/>
      <c r="GB199" s="28"/>
      <c r="GC199" s="28"/>
      <c r="GD199" s="28"/>
      <c r="GE199" s="28"/>
      <c r="GF199" s="28"/>
      <c r="GG199" s="28"/>
      <c r="GH199" s="28"/>
      <c r="GI199" s="28"/>
      <c r="GJ199" s="28"/>
      <c r="GK199" s="28"/>
      <c r="GL199" s="28"/>
      <c r="GM199" s="28"/>
      <c r="GN199" s="28"/>
      <c r="GO199" s="28"/>
      <c r="GP199" s="28"/>
      <c r="GQ199" s="28"/>
      <c r="GR199" s="28"/>
      <c r="GS199" s="28"/>
      <c r="GT199" s="28"/>
      <c r="GU199" s="28"/>
      <c r="GV199" s="28"/>
      <c r="GW199" s="28"/>
      <c r="GX199" s="28"/>
      <c r="GY199" s="28"/>
      <c r="GZ199" s="28"/>
      <c r="HA199" s="28"/>
      <c r="HB199" s="28"/>
      <c r="HC199" s="28"/>
      <c r="HD199" s="28"/>
      <c r="HE199" s="28"/>
      <c r="HF199" s="28"/>
      <c r="HG199" s="28"/>
      <c r="HH199" s="28"/>
      <c r="HI199" s="28"/>
      <c r="HJ199" s="28"/>
      <c r="HK199" s="28"/>
      <c r="HL199" s="28"/>
      <c r="HM199" s="28"/>
      <c r="HN199" s="28"/>
      <c r="HO199" s="28"/>
      <c r="HP199" s="28"/>
      <c r="HQ199" s="28"/>
      <c r="HR199" s="28"/>
      <c r="HS199" s="28"/>
      <c r="HT199" s="28"/>
      <c r="HU199" s="28"/>
      <c r="HV199" s="28"/>
      <c r="HW199" s="28"/>
      <c r="HX199" s="28"/>
      <c r="HY199" s="28"/>
      <c r="HZ199" s="28"/>
      <c r="IA199" s="28"/>
      <c r="IB199" s="28"/>
      <c r="IC199" s="28"/>
      <c r="ID199" s="28"/>
      <c r="IE199" s="28"/>
      <c r="IF199" s="28"/>
      <c r="IG199" s="28"/>
      <c r="IH199" s="28"/>
      <c r="II199" s="28"/>
      <c r="IJ199" s="28"/>
      <c r="IK199" s="28"/>
      <c r="IL199" s="28"/>
      <c r="IM199" s="28"/>
      <c r="IN199" s="28"/>
      <c r="IO199" s="28"/>
      <c r="IP199" s="28"/>
      <c r="IQ199" s="28"/>
      <c r="IR199" s="28"/>
      <c r="IS199" s="28"/>
    </row>
    <row r="200" spans="2:253" ht="15" customHeight="1" x14ac:dyDescent="0.25">
      <c r="B200" s="3"/>
      <c r="C200" s="3"/>
      <c r="D200" s="3"/>
      <c r="E200" s="3"/>
      <c r="F200" s="3"/>
      <c r="G200" s="3"/>
      <c r="H200" s="17">
        <f t="shared" ref="H200:O200" si="37">IF($T$189=7, ABS(_xlfn.XOR(B188,K188)), 0)</f>
        <v>0</v>
      </c>
      <c r="I200" s="17">
        <f t="shared" si="37"/>
        <v>0</v>
      </c>
      <c r="J200" s="17">
        <f t="shared" si="37"/>
        <v>0</v>
      </c>
      <c r="K200" s="17">
        <f t="shared" si="37"/>
        <v>0</v>
      </c>
      <c r="L200" s="17">
        <f t="shared" si="37"/>
        <v>0</v>
      </c>
      <c r="M200" s="17">
        <f t="shared" si="37"/>
        <v>0</v>
      </c>
      <c r="N200" s="17">
        <f t="shared" si="37"/>
        <v>0</v>
      </c>
      <c r="O200" s="17">
        <f t="shared" si="37"/>
        <v>0</v>
      </c>
      <c r="P200" s="3"/>
      <c r="Q200" s="3"/>
      <c r="R200" s="3"/>
      <c r="S200" s="3"/>
      <c r="T200" s="17">
        <f>H200</f>
        <v>0</v>
      </c>
      <c r="U200" s="3"/>
      <c r="V200" s="3"/>
      <c r="W200" s="3"/>
      <c r="X200" s="3"/>
      <c r="Y200" s="3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  <c r="FS200" s="28"/>
      <c r="FT200" s="28"/>
      <c r="FU200" s="28"/>
      <c r="FV200" s="28"/>
      <c r="FW200" s="28"/>
      <c r="FX200" s="28"/>
      <c r="FY200" s="28"/>
      <c r="FZ200" s="28"/>
      <c r="GA200" s="28"/>
      <c r="GB200" s="28"/>
      <c r="GC200" s="28"/>
      <c r="GD200" s="28"/>
      <c r="GE200" s="28"/>
      <c r="GF200" s="28"/>
      <c r="GG200" s="28"/>
      <c r="GH200" s="28"/>
      <c r="GI200" s="28"/>
      <c r="GJ200" s="28"/>
      <c r="GK200" s="28"/>
      <c r="GL200" s="28"/>
      <c r="GM200" s="28"/>
      <c r="GN200" s="28"/>
      <c r="GO200" s="28"/>
      <c r="GP200" s="28"/>
      <c r="GQ200" s="28"/>
      <c r="GR200" s="28"/>
      <c r="GS200" s="28"/>
      <c r="GT200" s="28"/>
      <c r="GU200" s="28"/>
      <c r="GV200" s="28"/>
      <c r="GW200" s="28"/>
      <c r="GX200" s="28"/>
      <c r="GY200" s="28"/>
      <c r="GZ200" s="28"/>
      <c r="HA200" s="28"/>
      <c r="HB200" s="28"/>
      <c r="HC200" s="28"/>
      <c r="HD200" s="28"/>
      <c r="HE200" s="28"/>
      <c r="HF200" s="28"/>
      <c r="HG200" s="28"/>
      <c r="HH200" s="28"/>
      <c r="HI200" s="28"/>
      <c r="HJ200" s="28"/>
      <c r="HK200" s="28"/>
      <c r="HL200" s="28"/>
      <c r="HM200" s="28"/>
      <c r="HN200" s="28"/>
      <c r="HO200" s="28"/>
      <c r="HP200" s="28"/>
      <c r="HQ200" s="28"/>
      <c r="HR200" s="28"/>
      <c r="HS200" s="28"/>
      <c r="HT200" s="28"/>
      <c r="HU200" s="28"/>
      <c r="HV200" s="28"/>
      <c r="HW200" s="28"/>
      <c r="HX200" s="28"/>
      <c r="HY200" s="28"/>
      <c r="HZ200" s="28"/>
      <c r="IA200" s="28"/>
      <c r="IB200" s="28"/>
      <c r="IC200" s="28"/>
      <c r="ID200" s="28"/>
      <c r="IE200" s="28"/>
      <c r="IF200" s="28"/>
      <c r="IG200" s="28"/>
      <c r="IH200" s="28"/>
      <c r="II200" s="28"/>
      <c r="IJ200" s="28"/>
      <c r="IK200" s="28"/>
      <c r="IL200" s="28"/>
      <c r="IM200" s="28"/>
      <c r="IN200" s="28"/>
      <c r="IO200" s="28"/>
      <c r="IP200" s="28"/>
      <c r="IQ200" s="28"/>
      <c r="IR200" s="28"/>
      <c r="IS200" s="28"/>
    </row>
    <row r="201" spans="2:253" ht="15" customHeight="1" x14ac:dyDescent="0.25">
      <c r="B201" s="3"/>
      <c r="C201" s="3"/>
      <c r="D201" s="63" t="s">
        <v>17</v>
      </c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3"/>
      <c r="Y201" s="3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  <c r="FS201" s="28"/>
      <c r="FT201" s="28"/>
      <c r="FU201" s="28"/>
      <c r="FV201" s="28"/>
      <c r="FW201" s="28"/>
      <c r="FX201" s="28"/>
      <c r="FY201" s="28"/>
      <c r="FZ201" s="28"/>
      <c r="GA201" s="28"/>
      <c r="GB201" s="28"/>
      <c r="GC201" s="28"/>
      <c r="GD201" s="28"/>
      <c r="GE201" s="28"/>
      <c r="GF201" s="28"/>
      <c r="GG201" s="28"/>
      <c r="GH201" s="28"/>
      <c r="GI201" s="28"/>
      <c r="GJ201" s="28"/>
      <c r="GK201" s="28"/>
      <c r="GL201" s="28"/>
      <c r="GM201" s="28"/>
      <c r="GN201" s="28"/>
      <c r="GO201" s="28"/>
      <c r="GP201" s="28"/>
      <c r="GQ201" s="28"/>
      <c r="GR201" s="28"/>
      <c r="GS201" s="28"/>
      <c r="GT201" s="28"/>
      <c r="GU201" s="28"/>
      <c r="GV201" s="28"/>
      <c r="GW201" s="28"/>
      <c r="GX201" s="28"/>
      <c r="GY201" s="28"/>
      <c r="GZ201" s="28"/>
      <c r="HA201" s="28"/>
      <c r="HB201" s="28"/>
      <c r="HC201" s="28"/>
      <c r="HD201" s="28"/>
      <c r="HE201" s="28"/>
      <c r="HF201" s="28"/>
      <c r="HG201" s="28"/>
      <c r="HH201" s="28"/>
      <c r="HI201" s="28"/>
      <c r="HJ201" s="28"/>
      <c r="HK201" s="28"/>
      <c r="HL201" s="28"/>
      <c r="HM201" s="28"/>
      <c r="HN201" s="28"/>
      <c r="HO201" s="28"/>
      <c r="HP201" s="28"/>
      <c r="HQ201" s="28"/>
      <c r="HR201" s="28"/>
      <c r="HS201" s="28"/>
      <c r="HT201" s="28"/>
      <c r="HU201" s="28"/>
      <c r="HV201" s="28"/>
      <c r="HW201" s="28"/>
      <c r="HX201" s="28"/>
      <c r="HY201" s="28"/>
      <c r="HZ201" s="28"/>
      <c r="IA201" s="28"/>
      <c r="IB201" s="28"/>
      <c r="IC201" s="28"/>
      <c r="ID201" s="28"/>
      <c r="IE201" s="28"/>
      <c r="IF201" s="28"/>
      <c r="IG201" s="28"/>
      <c r="IH201" s="28"/>
      <c r="II201" s="28"/>
      <c r="IJ201" s="28"/>
      <c r="IK201" s="28"/>
      <c r="IL201" s="28"/>
      <c r="IM201" s="28"/>
      <c r="IN201" s="28"/>
      <c r="IO201" s="28"/>
      <c r="IP201" s="28"/>
      <c r="IQ201" s="28"/>
      <c r="IR201" s="28"/>
      <c r="IS201" s="28"/>
    </row>
    <row r="202" spans="2:253" ht="15" customHeight="1" x14ac:dyDescent="0.25">
      <c r="B202" s="3"/>
      <c r="C202" s="3"/>
      <c r="D202" s="3"/>
      <c r="E202" s="3"/>
      <c r="F202" s="3"/>
      <c r="G202" s="3"/>
      <c r="H202" s="17">
        <f t="shared" ref="H202:O202" si="38">IF($T$189=8,C188,0)</f>
        <v>0</v>
      </c>
      <c r="I202" s="17">
        <f t="shared" si="38"/>
        <v>0</v>
      </c>
      <c r="J202" s="17">
        <f t="shared" si="38"/>
        <v>0</v>
      </c>
      <c r="K202" s="17">
        <f t="shared" si="38"/>
        <v>0</v>
      </c>
      <c r="L202" s="17">
        <f t="shared" si="38"/>
        <v>0</v>
      </c>
      <c r="M202" s="17">
        <f t="shared" si="38"/>
        <v>0</v>
      </c>
      <c r="N202" s="17">
        <f t="shared" si="38"/>
        <v>0</v>
      </c>
      <c r="O202" s="17">
        <f t="shared" si="38"/>
        <v>0</v>
      </c>
      <c r="P202" s="3"/>
      <c r="Q202" s="3"/>
      <c r="R202" s="3"/>
      <c r="S202" s="17">
        <f>IF($T$189=8,IF($T$189=6,B188,0),0)</f>
        <v>0</v>
      </c>
      <c r="T202" s="3"/>
      <c r="U202" s="17">
        <f>IF($T$189=8,ABS(_xlfn.XOR(B188,H202)),0)</f>
        <v>0</v>
      </c>
      <c r="V202" s="13"/>
      <c r="W202" s="3"/>
      <c r="X202" s="3"/>
      <c r="Y202" s="3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  <c r="FS202" s="28"/>
      <c r="FT202" s="28"/>
      <c r="FU202" s="28"/>
      <c r="FV202" s="28"/>
      <c r="FW202" s="28"/>
      <c r="FX202" s="28"/>
      <c r="FY202" s="28"/>
      <c r="FZ202" s="28"/>
      <c r="GA202" s="28"/>
      <c r="GB202" s="28"/>
      <c r="GC202" s="28"/>
      <c r="GD202" s="28"/>
      <c r="GE202" s="28"/>
      <c r="GF202" s="28"/>
      <c r="GG202" s="28"/>
      <c r="GH202" s="28"/>
      <c r="GI202" s="28"/>
      <c r="GJ202" s="28"/>
      <c r="GK202" s="28"/>
      <c r="GL202" s="28"/>
      <c r="GM202" s="28"/>
      <c r="GN202" s="28"/>
      <c r="GO202" s="28"/>
      <c r="GP202" s="28"/>
      <c r="GQ202" s="28"/>
      <c r="GR202" s="28"/>
      <c r="GS202" s="28"/>
      <c r="GT202" s="28"/>
      <c r="GU202" s="28"/>
      <c r="GV202" s="28"/>
      <c r="GW202" s="28"/>
      <c r="GX202" s="28"/>
      <c r="GY202" s="28"/>
      <c r="GZ202" s="28"/>
      <c r="HA202" s="28"/>
      <c r="HB202" s="28"/>
      <c r="HC202" s="28"/>
      <c r="HD202" s="28"/>
      <c r="HE202" s="28"/>
      <c r="HF202" s="28"/>
      <c r="HG202" s="28"/>
      <c r="HH202" s="28"/>
      <c r="HI202" s="28"/>
      <c r="HJ202" s="28"/>
      <c r="HK202" s="28"/>
      <c r="HL202" s="28"/>
      <c r="HM202" s="28"/>
      <c r="HN202" s="28"/>
      <c r="HO202" s="28"/>
      <c r="HP202" s="28"/>
      <c r="HQ202" s="28"/>
      <c r="HR202" s="28"/>
      <c r="HS202" s="28"/>
      <c r="HT202" s="28"/>
      <c r="HU202" s="28"/>
      <c r="HV202" s="28"/>
      <c r="HW202" s="28"/>
      <c r="HX202" s="28"/>
      <c r="HY202" s="28"/>
      <c r="HZ202" s="28"/>
      <c r="IA202" s="28"/>
      <c r="IB202" s="28"/>
      <c r="IC202" s="28"/>
      <c r="ID202" s="28"/>
      <c r="IE202" s="28"/>
      <c r="IF202" s="28"/>
      <c r="IG202" s="28"/>
      <c r="IH202" s="28"/>
      <c r="II202" s="28"/>
      <c r="IJ202" s="28"/>
      <c r="IK202" s="28"/>
      <c r="IL202" s="28"/>
      <c r="IM202" s="28"/>
      <c r="IN202" s="28"/>
      <c r="IO202" s="28"/>
      <c r="IP202" s="28"/>
      <c r="IQ202" s="28"/>
      <c r="IR202" s="28"/>
      <c r="IS202" s="28"/>
    </row>
    <row r="203" spans="2:253" ht="15" customHeight="1" x14ac:dyDescent="0.25">
      <c r="B203" s="3"/>
      <c r="C203" s="3"/>
      <c r="D203" s="63" t="s">
        <v>16</v>
      </c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3"/>
      <c r="Y203" s="3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  <c r="FS203" s="28"/>
      <c r="FT203" s="28"/>
      <c r="FU203" s="28"/>
      <c r="FV203" s="28"/>
      <c r="FW203" s="28"/>
      <c r="FX203" s="28"/>
      <c r="FY203" s="28"/>
      <c r="FZ203" s="28"/>
      <c r="GA203" s="28"/>
      <c r="GB203" s="28"/>
      <c r="GC203" s="28"/>
      <c r="GD203" s="28"/>
      <c r="GE203" s="28"/>
      <c r="GF203" s="28"/>
      <c r="GG203" s="28"/>
      <c r="GH203" s="28"/>
      <c r="GI203" s="28"/>
      <c r="GJ203" s="28"/>
      <c r="GK203" s="28"/>
      <c r="GL203" s="28"/>
      <c r="GM203" s="28"/>
      <c r="GN203" s="28"/>
      <c r="GO203" s="28"/>
      <c r="GP203" s="28"/>
      <c r="GQ203" s="28"/>
      <c r="GR203" s="28"/>
      <c r="GS203" s="28"/>
      <c r="GT203" s="28"/>
      <c r="GU203" s="28"/>
      <c r="GV203" s="28"/>
      <c r="GW203" s="28"/>
      <c r="GX203" s="28"/>
      <c r="GY203" s="28"/>
      <c r="GZ203" s="28"/>
      <c r="HA203" s="28"/>
      <c r="HB203" s="28"/>
      <c r="HC203" s="28"/>
      <c r="HD203" s="28"/>
      <c r="HE203" s="28"/>
      <c r="HF203" s="28"/>
      <c r="HG203" s="28"/>
      <c r="HH203" s="28"/>
      <c r="HI203" s="28"/>
      <c r="HJ203" s="28"/>
      <c r="HK203" s="28"/>
      <c r="HL203" s="28"/>
      <c r="HM203" s="28"/>
      <c r="HN203" s="28"/>
      <c r="HO203" s="28"/>
      <c r="HP203" s="28"/>
      <c r="HQ203" s="28"/>
      <c r="HR203" s="28"/>
      <c r="HS203" s="28"/>
      <c r="HT203" s="28"/>
      <c r="HU203" s="28"/>
      <c r="HV203" s="28"/>
      <c r="HW203" s="28"/>
      <c r="HX203" s="28"/>
      <c r="HY203" s="28"/>
      <c r="HZ203" s="28"/>
      <c r="IA203" s="28"/>
      <c r="IB203" s="28"/>
      <c r="IC203" s="28"/>
      <c r="ID203" s="28"/>
      <c r="IE203" s="28"/>
      <c r="IF203" s="28"/>
      <c r="IG203" s="28"/>
      <c r="IH203" s="28"/>
      <c r="II203" s="28"/>
      <c r="IJ203" s="28"/>
      <c r="IK203" s="28"/>
      <c r="IL203" s="28"/>
      <c r="IM203" s="28"/>
      <c r="IN203" s="28"/>
      <c r="IO203" s="28"/>
      <c r="IP203" s="28"/>
      <c r="IQ203" s="28"/>
      <c r="IR203" s="28"/>
      <c r="IS203" s="28"/>
    </row>
    <row r="204" spans="2:253" ht="15" customHeight="1" x14ac:dyDescent="0.25">
      <c r="B204" s="3"/>
      <c r="C204" s="3"/>
      <c r="D204" s="47" t="s">
        <v>15</v>
      </c>
      <c r="E204" s="47"/>
      <c r="F204" s="2">
        <f>W188</f>
        <v>0</v>
      </c>
      <c r="G204" s="3"/>
      <c r="H204" s="17">
        <f>IF(OR($T$189=9,$T$189=10),IF($F$204,B188,0),0)</f>
        <v>0</v>
      </c>
      <c r="I204" s="17">
        <f t="shared" ref="I204:O204" si="39">IF(OR($T$189=9,$T$189=10),C188,0)</f>
        <v>0</v>
      </c>
      <c r="J204" s="17">
        <f t="shared" si="39"/>
        <v>0</v>
      </c>
      <c r="K204" s="17">
        <f t="shared" si="39"/>
        <v>0</v>
      </c>
      <c r="L204" s="17">
        <f t="shared" si="39"/>
        <v>0</v>
      </c>
      <c r="M204" s="17">
        <f t="shared" si="39"/>
        <v>0</v>
      </c>
      <c r="N204" s="17">
        <f t="shared" si="39"/>
        <v>0</v>
      </c>
      <c r="O204" s="17">
        <f t="shared" si="39"/>
        <v>0</v>
      </c>
      <c r="P204" s="3"/>
      <c r="Q204" s="3"/>
      <c r="R204" s="3"/>
      <c r="S204" s="17">
        <f>IF(OR($T$189=9,$T$189=10),I188,0)</f>
        <v>0</v>
      </c>
      <c r="T204" s="3"/>
      <c r="U204" s="3"/>
      <c r="V204" s="13"/>
      <c r="W204" s="3"/>
      <c r="X204" s="3"/>
      <c r="Y204" s="3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  <c r="FS204" s="28"/>
      <c r="FT204" s="28"/>
      <c r="FU204" s="28"/>
      <c r="FV204" s="28"/>
      <c r="FW204" s="28"/>
      <c r="FX204" s="28"/>
      <c r="FY204" s="28"/>
      <c r="FZ204" s="28"/>
      <c r="GA204" s="28"/>
      <c r="GB204" s="28"/>
      <c r="GC204" s="28"/>
      <c r="GD204" s="28"/>
      <c r="GE204" s="28"/>
      <c r="GF204" s="28"/>
      <c r="GG204" s="28"/>
      <c r="GH204" s="28"/>
      <c r="GI204" s="28"/>
      <c r="GJ204" s="28"/>
      <c r="GK204" s="28"/>
      <c r="GL204" s="28"/>
      <c r="GM204" s="28"/>
      <c r="GN204" s="28"/>
      <c r="GO204" s="28"/>
      <c r="GP204" s="28"/>
      <c r="GQ204" s="28"/>
      <c r="GR204" s="28"/>
      <c r="GS204" s="28"/>
      <c r="GT204" s="28"/>
      <c r="GU204" s="28"/>
      <c r="GV204" s="28"/>
      <c r="GW204" s="28"/>
      <c r="GX204" s="28"/>
      <c r="GY204" s="28"/>
      <c r="GZ204" s="28"/>
      <c r="HA204" s="28"/>
      <c r="HB204" s="28"/>
      <c r="HC204" s="28"/>
      <c r="HD204" s="28"/>
      <c r="HE204" s="28"/>
      <c r="HF204" s="28"/>
      <c r="HG204" s="28"/>
      <c r="HH204" s="28"/>
      <c r="HI204" s="28"/>
      <c r="HJ204" s="28"/>
      <c r="HK204" s="28"/>
      <c r="HL204" s="28"/>
      <c r="HM204" s="28"/>
      <c r="HN204" s="28"/>
      <c r="HO204" s="28"/>
      <c r="HP204" s="28"/>
      <c r="HQ204" s="28"/>
      <c r="HR204" s="28"/>
      <c r="HS204" s="28"/>
      <c r="HT204" s="28"/>
      <c r="HU204" s="28"/>
      <c r="HV204" s="28"/>
      <c r="HW204" s="28"/>
      <c r="HX204" s="28"/>
      <c r="HY204" s="28"/>
      <c r="HZ204" s="28"/>
      <c r="IA204" s="28"/>
      <c r="IB204" s="28"/>
      <c r="IC204" s="28"/>
      <c r="ID204" s="28"/>
      <c r="IE204" s="28"/>
      <c r="IF204" s="28"/>
      <c r="IG204" s="28"/>
      <c r="IH204" s="28"/>
      <c r="II204" s="28"/>
      <c r="IJ204" s="28"/>
      <c r="IK204" s="28"/>
      <c r="IL204" s="28"/>
      <c r="IM204" s="28"/>
      <c r="IN204" s="28"/>
      <c r="IO204" s="28"/>
      <c r="IP204" s="28"/>
      <c r="IQ204" s="28"/>
      <c r="IR204" s="28"/>
      <c r="IS204" s="28"/>
    </row>
    <row r="205" spans="2:253" ht="15" customHeight="1" x14ac:dyDescent="0.25">
      <c r="B205" s="3"/>
      <c r="C205" s="3"/>
      <c r="D205" s="63" t="s">
        <v>224</v>
      </c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3"/>
      <c r="Y205" s="3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  <c r="FS205" s="28"/>
      <c r="FT205" s="28"/>
      <c r="FU205" s="28"/>
      <c r="FV205" s="28"/>
      <c r="FW205" s="28"/>
      <c r="FX205" s="28"/>
      <c r="FY205" s="28"/>
      <c r="FZ205" s="28"/>
      <c r="GA205" s="28"/>
      <c r="GB205" s="28"/>
      <c r="GC205" s="28"/>
      <c r="GD205" s="28"/>
      <c r="GE205" s="28"/>
      <c r="GF205" s="28"/>
      <c r="GG205" s="28"/>
      <c r="GH205" s="28"/>
      <c r="GI205" s="28"/>
      <c r="GJ205" s="28"/>
      <c r="GK205" s="28"/>
      <c r="GL205" s="28"/>
      <c r="GM205" s="28"/>
      <c r="GN205" s="28"/>
      <c r="GO205" s="28"/>
      <c r="GP205" s="28"/>
      <c r="GQ205" s="28"/>
      <c r="GR205" s="28"/>
      <c r="GS205" s="28"/>
      <c r="GT205" s="28"/>
      <c r="GU205" s="28"/>
      <c r="GV205" s="28"/>
      <c r="GW205" s="28"/>
      <c r="GX205" s="28"/>
      <c r="GY205" s="28"/>
      <c r="GZ205" s="28"/>
      <c r="HA205" s="28"/>
      <c r="HB205" s="28"/>
      <c r="HC205" s="28"/>
      <c r="HD205" s="28"/>
      <c r="HE205" s="28"/>
      <c r="HF205" s="28"/>
      <c r="HG205" s="28"/>
      <c r="HH205" s="28"/>
      <c r="HI205" s="28"/>
      <c r="HJ205" s="28"/>
      <c r="HK205" s="28"/>
      <c r="HL205" s="28"/>
      <c r="HM205" s="28"/>
      <c r="HN205" s="28"/>
      <c r="HO205" s="28"/>
      <c r="HP205" s="28"/>
      <c r="HQ205" s="28"/>
      <c r="HR205" s="28"/>
      <c r="HS205" s="28"/>
      <c r="HT205" s="28"/>
      <c r="HU205" s="28"/>
      <c r="HV205" s="28"/>
      <c r="HW205" s="28"/>
      <c r="HX205" s="28"/>
      <c r="HY205" s="28"/>
      <c r="HZ205" s="28"/>
      <c r="IA205" s="28"/>
      <c r="IB205" s="28"/>
      <c r="IC205" s="28"/>
      <c r="ID205" s="28"/>
      <c r="IE205" s="28"/>
      <c r="IF205" s="28"/>
      <c r="IG205" s="28"/>
      <c r="IH205" s="28"/>
      <c r="II205" s="28"/>
      <c r="IJ205" s="28"/>
      <c r="IK205" s="28"/>
      <c r="IL205" s="28"/>
      <c r="IM205" s="28"/>
      <c r="IN205" s="28"/>
      <c r="IO205" s="28"/>
      <c r="IP205" s="28"/>
      <c r="IQ205" s="28"/>
      <c r="IR205" s="28"/>
      <c r="IS205" s="28"/>
    </row>
    <row r="206" spans="2:253" ht="15" customHeight="1" x14ac:dyDescent="0.25">
      <c r="B206" s="3"/>
      <c r="C206" s="3"/>
      <c r="D206" s="47" t="s">
        <v>225</v>
      </c>
      <c r="E206" s="47"/>
      <c r="F206" s="2">
        <f>W188</f>
        <v>0</v>
      </c>
      <c r="G206" s="3"/>
      <c r="H206" s="17">
        <f>IF(OR($T$189=11,$T$189=12),IF($F$206=0, C188, Y188), 0)</f>
        <v>0</v>
      </c>
      <c r="I206" s="17">
        <f t="shared" ref="I206:N206" si="40">IF(OR($T$189=11,$T$189=12), IF($F$206=0, D188, B188),0)</f>
        <v>0</v>
      </c>
      <c r="J206" s="17">
        <f t="shared" si="40"/>
        <v>0</v>
      </c>
      <c r="K206" s="17">
        <f t="shared" si="40"/>
        <v>0</v>
      </c>
      <c r="L206" s="17">
        <f t="shared" si="40"/>
        <v>0</v>
      </c>
      <c r="M206" s="17">
        <f t="shared" si="40"/>
        <v>0</v>
      </c>
      <c r="N206" s="17">
        <f t="shared" si="40"/>
        <v>0</v>
      </c>
      <c r="O206" s="17">
        <f>IF(OR($T$189=11,$T$189=12), IF($F$206=0, Y188, H188), 0)</f>
        <v>0</v>
      </c>
      <c r="P206" s="3"/>
      <c r="Q206" s="3"/>
      <c r="R206" s="3"/>
      <c r="S206" s="17">
        <f>IF(OR($T$189=11,$T$189=12),IF($F$206=0,B188,I188),0)</f>
        <v>0</v>
      </c>
      <c r="T206" s="3"/>
      <c r="U206" s="17">
        <f>IF(OR($T$189=11,$T$189=12),ABS(_xlfn.XOR(B188, H206)),0)</f>
        <v>0</v>
      </c>
      <c r="V206" s="13"/>
      <c r="W206" s="3"/>
      <c r="X206" s="3"/>
      <c r="Y206" s="3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  <c r="FS206" s="28"/>
      <c r="FT206" s="28"/>
      <c r="FU206" s="28"/>
      <c r="FV206" s="28"/>
      <c r="FW206" s="28"/>
      <c r="FX206" s="28"/>
      <c r="FY206" s="28"/>
      <c r="FZ206" s="28"/>
      <c r="GA206" s="28"/>
      <c r="GB206" s="28"/>
      <c r="GC206" s="28"/>
      <c r="GD206" s="28"/>
      <c r="GE206" s="28"/>
      <c r="GF206" s="28"/>
      <c r="GG206" s="28"/>
      <c r="GH206" s="28"/>
      <c r="GI206" s="28"/>
      <c r="GJ206" s="28"/>
      <c r="GK206" s="28"/>
      <c r="GL206" s="28"/>
      <c r="GM206" s="28"/>
      <c r="GN206" s="28"/>
      <c r="GO206" s="28"/>
      <c r="GP206" s="28"/>
      <c r="GQ206" s="28"/>
      <c r="GR206" s="28"/>
      <c r="GS206" s="28"/>
      <c r="GT206" s="28"/>
      <c r="GU206" s="28"/>
      <c r="GV206" s="28"/>
      <c r="GW206" s="28"/>
      <c r="GX206" s="28"/>
      <c r="GY206" s="28"/>
      <c r="GZ206" s="28"/>
      <c r="HA206" s="28"/>
      <c r="HB206" s="28"/>
      <c r="HC206" s="28"/>
      <c r="HD206" s="28"/>
      <c r="HE206" s="28"/>
      <c r="HF206" s="28"/>
      <c r="HG206" s="28"/>
      <c r="HH206" s="28"/>
      <c r="HI206" s="28"/>
      <c r="HJ206" s="28"/>
      <c r="HK206" s="28"/>
      <c r="HL206" s="28"/>
      <c r="HM206" s="28"/>
      <c r="HN206" s="28"/>
      <c r="HO206" s="28"/>
      <c r="HP206" s="28"/>
      <c r="HQ206" s="28"/>
      <c r="HR206" s="28"/>
      <c r="HS206" s="28"/>
      <c r="HT206" s="28"/>
      <c r="HU206" s="28"/>
      <c r="HV206" s="28"/>
      <c r="HW206" s="28"/>
      <c r="HX206" s="28"/>
      <c r="HY206" s="28"/>
      <c r="HZ206" s="28"/>
      <c r="IA206" s="28"/>
      <c r="IB206" s="28"/>
      <c r="IC206" s="28"/>
      <c r="ID206" s="28"/>
      <c r="IE206" s="28"/>
      <c r="IF206" s="28"/>
      <c r="IG206" s="28"/>
      <c r="IH206" s="28"/>
      <c r="II206" s="28"/>
      <c r="IJ206" s="28"/>
      <c r="IK206" s="28"/>
      <c r="IL206" s="28"/>
      <c r="IM206" s="28"/>
      <c r="IN206" s="28"/>
      <c r="IO206" s="28"/>
      <c r="IP206" s="28"/>
      <c r="IQ206" s="28"/>
      <c r="IR206" s="28"/>
      <c r="IS206" s="28"/>
    </row>
    <row r="207" spans="2:253" ht="1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  <c r="FS207" s="28"/>
      <c r="FT207" s="28"/>
      <c r="FU207" s="28"/>
      <c r="FV207" s="28"/>
      <c r="FW207" s="28"/>
      <c r="FX207" s="28"/>
      <c r="FY207" s="28"/>
      <c r="FZ207" s="28"/>
      <c r="GA207" s="28"/>
      <c r="GB207" s="28"/>
      <c r="GC207" s="28"/>
      <c r="GD207" s="28"/>
      <c r="GE207" s="28"/>
      <c r="GF207" s="28"/>
      <c r="GG207" s="28"/>
      <c r="GH207" s="28"/>
      <c r="GI207" s="28"/>
      <c r="GJ207" s="28"/>
      <c r="GK207" s="28"/>
      <c r="GL207" s="28"/>
      <c r="GM207" s="28"/>
      <c r="GN207" s="28"/>
      <c r="GO207" s="28"/>
      <c r="GP207" s="28"/>
      <c r="GQ207" s="28"/>
      <c r="GR207" s="28"/>
      <c r="GS207" s="28"/>
      <c r="GT207" s="28"/>
      <c r="GU207" s="28"/>
      <c r="GV207" s="28"/>
      <c r="GW207" s="28"/>
      <c r="GX207" s="28"/>
      <c r="GY207" s="28"/>
      <c r="GZ207" s="28"/>
      <c r="HA207" s="28"/>
      <c r="HB207" s="28"/>
      <c r="HC207" s="28"/>
      <c r="HD207" s="28"/>
      <c r="HE207" s="28"/>
      <c r="HF207" s="28"/>
      <c r="HG207" s="28"/>
      <c r="HH207" s="28"/>
      <c r="HI207" s="28"/>
      <c r="HJ207" s="28"/>
      <c r="HK207" s="28"/>
      <c r="HL207" s="28"/>
      <c r="HM207" s="28"/>
      <c r="HN207" s="28"/>
      <c r="HO207" s="28"/>
      <c r="HP207" s="28"/>
      <c r="HQ207" s="28"/>
      <c r="HR207" s="28"/>
      <c r="HS207" s="28"/>
      <c r="HT207" s="28"/>
      <c r="HU207" s="28"/>
      <c r="HV207" s="28"/>
      <c r="HW207" s="28"/>
      <c r="HX207" s="28"/>
      <c r="HY207" s="28"/>
      <c r="HZ207" s="28"/>
      <c r="IA207" s="28"/>
      <c r="IB207" s="28"/>
      <c r="IC207" s="28"/>
      <c r="ID207" s="28"/>
      <c r="IE207" s="28"/>
      <c r="IF207" s="28"/>
      <c r="IG207" s="28"/>
      <c r="IH207" s="28"/>
      <c r="II207" s="28"/>
      <c r="IJ207" s="28"/>
      <c r="IK207" s="28"/>
      <c r="IL207" s="28"/>
      <c r="IM207" s="28"/>
      <c r="IN207" s="28"/>
      <c r="IO207" s="28"/>
      <c r="IP207" s="28"/>
      <c r="IQ207" s="28"/>
      <c r="IR207" s="28"/>
      <c r="IS207" s="28"/>
    </row>
    <row r="208" spans="2:253" ht="15" customHeight="1" x14ac:dyDescent="0.25">
      <c r="B208" s="3"/>
      <c r="C208" s="3"/>
      <c r="D208" s="3"/>
      <c r="E208" s="3"/>
      <c r="F208" s="3"/>
      <c r="G208" s="3"/>
      <c r="H208" s="48" t="s">
        <v>104</v>
      </c>
      <c r="I208" s="48"/>
      <c r="J208" s="48"/>
      <c r="K208" s="48"/>
      <c r="L208" s="48"/>
      <c r="M208" s="48"/>
      <c r="N208" s="48"/>
      <c r="O208" s="48"/>
      <c r="P208" s="3"/>
      <c r="Q208" s="3"/>
      <c r="R208" s="3"/>
      <c r="S208" s="19" t="s">
        <v>0</v>
      </c>
      <c r="T208" s="19" t="s">
        <v>6</v>
      </c>
      <c r="U208" s="19" t="s">
        <v>4</v>
      </c>
      <c r="V208" s="27" t="s">
        <v>5</v>
      </c>
      <c r="W208" s="3"/>
      <c r="X208" s="3"/>
      <c r="Y208" s="3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  <c r="FS208" s="28"/>
      <c r="FT208" s="28"/>
      <c r="FU208" s="28"/>
      <c r="FV208" s="28"/>
      <c r="FW208" s="28"/>
      <c r="FX208" s="28"/>
      <c r="FY208" s="28"/>
      <c r="FZ208" s="28"/>
      <c r="GA208" s="28"/>
      <c r="GB208" s="28"/>
      <c r="GC208" s="28"/>
      <c r="GD208" s="28"/>
      <c r="GE208" s="28"/>
      <c r="GF208" s="28"/>
      <c r="GG208" s="28"/>
      <c r="GH208" s="28"/>
      <c r="GI208" s="28"/>
      <c r="GJ208" s="28"/>
      <c r="GK208" s="28"/>
      <c r="GL208" s="28"/>
      <c r="GM208" s="28"/>
      <c r="GN208" s="28"/>
      <c r="GO208" s="28"/>
      <c r="GP208" s="28"/>
      <c r="GQ208" s="28"/>
      <c r="GR208" s="28"/>
      <c r="GS208" s="28"/>
      <c r="GT208" s="28"/>
      <c r="GU208" s="28"/>
      <c r="GV208" s="28"/>
      <c r="GW208" s="28"/>
      <c r="GX208" s="28"/>
      <c r="GY208" s="28"/>
      <c r="GZ208" s="28"/>
      <c r="HA208" s="28"/>
      <c r="HB208" s="28"/>
      <c r="HC208" s="28"/>
      <c r="HD208" s="28"/>
      <c r="HE208" s="28"/>
      <c r="HF208" s="28"/>
      <c r="HG208" s="28"/>
      <c r="HH208" s="28"/>
      <c r="HI208" s="28"/>
      <c r="HJ208" s="28"/>
      <c r="HK208" s="28"/>
      <c r="HL208" s="28"/>
      <c r="HM208" s="28"/>
      <c r="HN208" s="28"/>
      <c r="HO208" s="28"/>
      <c r="HP208" s="28"/>
      <c r="HQ208" s="28"/>
      <c r="HR208" s="28"/>
      <c r="HS208" s="28"/>
      <c r="HT208" s="28"/>
      <c r="HU208" s="28"/>
      <c r="HV208" s="28"/>
      <c r="HW208" s="28"/>
      <c r="HX208" s="28"/>
      <c r="HY208" s="28"/>
      <c r="HZ208" s="28"/>
      <c r="IA208" s="28"/>
      <c r="IB208" s="28"/>
      <c r="IC208" s="28"/>
      <c r="ID208" s="28"/>
      <c r="IE208" s="28"/>
      <c r="IF208" s="28"/>
      <c r="IG208" s="28"/>
      <c r="IH208" s="28"/>
      <c r="II208" s="28"/>
      <c r="IJ208" s="28"/>
      <c r="IK208" s="28"/>
      <c r="IL208" s="28"/>
      <c r="IM208" s="28"/>
      <c r="IN208" s="28"/>
      <c r="IO208" s="28"/>
      <c r="IP208" s="28"/>
      <c r="IQ208" s="28"/>
      <c r="IR208" s="28"/>
      <c r="IS208" s="28"/>
    </row>
    <row r="209" spans="2:253" ht="15" customHeight="1" x14ac:dyDescent="0.25">
      <c r="B209" s="3"/>
      <c r="C209" s="3"/>
      <c r="D209" s="3"/>
      <c r="E209" s="3"/>
      <c r="F209" s="3"/>
      <c r="G209" s="3"/>
      <c r="H209" s="19">
        <f t="shared" ref="H209:O209" si="41">H194+H196+H198+H200+H202+H204+H206</f>
        <v>0</v>
      </c>
      <c r="I209" s="19">
        <f t="shared" si="41"/>
        <v>0</v>
      </c>
      <c r="J209" s="19">
        <f t="shared" si="41"/>
        <v>0</v>
      </c>
      <c r="K209" s="19">
        <f t="shared" si="41"/>
        <v>0</v>
      </c>
      <c r="L209" s="19">
        <f t="shared" si="41"/>
        <v>0</v>
      </c>
      <c r="M209" s="19">
        <f t="shared" si="41"/>
        <v>0</v>
      </c>
      <c r="N209" s="19">
        <f t="shared" si="41"/>
        <v>0</v>
      </c>
      <c r="O209" s="19">
        <f t="shared" si="41"/>
        <v>1</v>
      </c>
      <c r="P209" s="3"/>
      <c r="Q209" s="3"/>
      <c r="R209" s="3"/>
      <c r="S209" s="19">
        <f>S194+S202+S204</f>
        <v>0</v>
      </c>
      <c r="T209" s="19">
        <f>T194+T196+T198+T200</f>
        <v>0</v>
      </c>
      <c r="U209" s="19">
        <f>U194</f>
        <v>0</v>
      </c>
      <c r="V209" s="19" cm="1">
        <f t="array" ref="V209">ABS(SUM(H194:O194+H196:O196+H198:O198+H200:O200+H202:O202+H204:O204)=0)</f>
        <v>0</v>
      </c>
      <c r="W209" s="3"/>
      <c r="X209" s="3"/>
      <c r="Y209" s="3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  <c r="FS209" s="28"/>
      <c r="FT209" s="28"/>
      <c r="FU209" s="28"/>
      <c r="FV209" s="28"/>
      <c r="FW209" s="28"/>
      <c r="FX209" s="28"/>
      <c r="FY209" s="28"/>
      <c r="FZ209" s="28"/>
      <c r="GA209" s="28"/>
      <c r="GB209" s="28"/>
      <c r="GC209" s="28"/>
      <c r="GD209" s="28"/>
      <c r="GE209" s="28"/>
      <c r="GF209" s="28"/>
      <c r="GG209" s="28"/>
      <c r="GH209" s="28"/>
      <c r="GI209" s="28"/>
      <c r="GJ209" s="28"/>
      <c r="GK209" s="28"/>
      <c r="GL209" s="28"/>
      <c r="GM209" s="28"/>
      <c r="GN209" s="28"/>
      <c r="GO209" s="28"/>
      <c r="GP209" s="28"/>
      <c r="GQ209" s="28"/>
      <c r="GR209" s="28"/>
      <c r="GS209" s="28"/>
      <c r="GT209" s="28"/>
      <c r="GU209" s="28"/>
      <c r="GV209" s="28"/>
      <c r="GW209" s="28"/>
      <c r="GX209" s="28"/>
      <c r="GY209" s="28"/>
      <c r="GZ209" s="28"/>
      <c r="HA209" s="28"/>
      <c r="HB209" s="28"/>
      <c r="HC209" s="28"/>
      <c r="HD209" s="28"/>
      <c r="HE209" s="28"/>
      <c r="HF209" s="28"/>
      <c r="HG209" s="28"/>
      <c r="HH209" s="28"/>
      <c r="HI209" s="28"/>
      <c r="HJ209" s="28"/>
      <c r="HK209" s="28"/>
      <c r="HL209" s="28"/>
      <c r="HM209" s="28"/>
      <c r="HN209" s="28"/>
      <c r="HO209" s="28"/>
      <c r="HP209" s="28"/>
      <c r="HQ209" s="28"/>
      <c r="HR209" s="28"/>
      <c r="HS209" s="28"/>
      <c r="HT209" s="28"/>
      <c r="HU209" s="28"/>
      <c r="HV209" s="28"/>
      <c r="HW209" s="28"/>
      <c r="HX209" s="28"/>
      <c r="HY209" s="28"/>
      <c r="HZ209" s="28"/>
      <c r="IA209" s="28"/>
      <c r="IB209" s="28"/>
      <c r="IC209" s="28"/>
      <c r="ID209" s="28"/>
      <c r="IE209" s="28"/>
      <c r="IF209" s="28"/>
      <c r="IG209" s="28"/>
      <c r="IH209" s="28"/>
      <c r="II209" s="28"/>
      <c r="IJ209" s="28"/>
      <c r="IK209" s="28"/>
      <c r="IL209" s="28"/>
      <c r="IM209" s="28"/>
      <c r="IN209" s="28"/>
      <c r="IO209" s="28"/>
      <c r="IP209" s="28"/>
      <c r="IQ209" s="28"/>
      <c r="IR209" s="28"/>
      <c r="IS209" s="28"/>
    </row>
    <row r="210" spans="2:253" ht="15" customHeight="1" x14ac:dyDescent="0.25"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  <c r="FS210" s="28"/>
      <c r="FT210" s="28"/>
      <c r="FU210" s="28"/>
      <c r="FV210" s="28"/>
      <c r="FW210" s="28"/>
      <c r="FX210" s="28"/>
      <c r="FY210" s="28"/>
      <c r="FZ210" s="28"/>
      <c r="GA210" s="28"/>
      <c r="GB210" s="28"/>
      <c r="GC210" s="28"/>
      <c r="GD210" s="28"/>
      <c r="GE210" s="28"/>
      <c r="GF210" s="28"/>
      <c r="GG210" s="28"/>
      <c r="GH210" s="28"/>
      <c r="GI210" s="28"/>
      <c r="GJ210" s="28"/>
      <c r="GK210" s="28"/>
      <c r="GL210" s="28"/>
      <c r="GM210" s="28"/>
      <c r="GN210" s="28"/>
      <c r="GO210" s="28"/>
      <c r="GP210" s="28"/>
      <c r="GQ210" s="28"/>
      <c r="GR210" s="28"/>
      <c r="GS210" s="28"/>
      <c r="GT210" s="28"/>
      <c r="GU210" s="28"/>
      <c r="GV210" s="28"/>
      <c r="GW210" s="28"/>
      <c r="GX210" s="28"/>
      <c r="GY210" s="28"/>
      <c r="GZ210" s="28"/>
      <c r="HA210" s="28"/>
      <c r="HB210" s="28"/>
      <c r="HC210" s="28"/>
      <c r="HD210" s="28"/>
      <c r="HE210" s="28"/>
      <c r="HF210" s="28"/>
      <c r="HG210" s="28"/>
      <c r="HH210" s="28"/>
      <c r="HI210" s="28"/>
      <c r="HJ210" s="28"/>
      <c r="HK210" s="28"/>
      <c r="HL210" s="28"/>
      <c r="HM210" s="28"/>
      <c r="HN210" s="28"/>
      <c r="HO210" s="28"/>
      <c r="HP210" s="28"/>
      <c r="HQ210" s="28"/>
      <c r="HR210" s="28"/>
      <c r="HS210" s="28"/>
      <c r="HT210" s="28"/>
      <c r="HU210" s="28"/>
      <c r="HV210" s="28"/>
      <c r="HW210" s="28"/>
      <c r="HX210" s="28"/>
      <c r="HY210" s="28"/>
      <c r="HZ210" s="28"/>
      <c r="IA210" s="28"/>
      <c r="IB210" s="28"/>
      <c r="IC210" s="28"/>
      <c r="ID210" s="28"/>
      <c r="IE210" s="28"/>
      <c r="IF210" s="28"/>
      <c r="IG210" s="28"/>
      <c r="IH210" s="28"/>
      <c r="II210" s="28"/>
      <c r="IJ210" s="28"/>
      <c r="IK210" s="28"/>
      <c r="IL210" s="28"/>
      <c r="IM210" s="28"/>
      <c r="IN210" s="28"/>
      <c r="IO210" s="28"/>
      <c r="IP210" s="28"/>
      <c r="IQ210" s="28"/>
      <c r="IR210" s="28"/>
      <c r="IS210" s="28"/>
    </row>
    <row r="211" spans="2:253" ht="15" customHeight="1" x14ac:dyDescent="0.25"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  <c r="FS211" s="28"/>
      <c r="FT211" s="28"/>
      <c r="FU211" s="28"/>
      <c r="FV211" s="28"/>
      <c r="FW211" s="28"/>
      <c r="FX211" s="28"/>
      <c r="FY211" s="28"/>
      <c r="FZ211" s="28"/>
      <c r="GA211" s="28"/>
      <c r="GB211" s="28"/>
      <c r="GC211" s="28"/>
      <c r="GD211" s="28"/>
      <c r="GE211" s="28"/>
      <c r="GF211" s="28"/>
      <c r="GG211" s="28"/>
      <c r="GH211" s="28"/>
      <c r="GI211" s="28"/>
      <c r="GJ211" s="28"/>
      <c r="GK211" s="28"/>
      <c r="GL211" s="28"/>
      <c r="GM211" s="28"/>
      <c r="GN211" s="28"/>
      <c r="GO211" s="28"/>
      <c r="GP211" s="28"/>
      <c r="GQ211" s="28"/>
      <c r="GR211" s="28"/>
      <c r="GS211" s="28"/>
      <c r="GT211" s="28"/>
      <c r="GU211" s="28"/>
      <c r="GV211" s="28"/>
      <c r="GW211" s="28"/>
      <c r="GX211" s="28"/>
      <c r="GY211" s="28"/>
      <c r="GZ211" s="28"/>
      <c r="HA211" s="28"/>
      <c r="HB211" s="28"/>
      <c r="HC211" s="28"/>
      <c r="HD211" s="28"/>
      <c r="HE211" s="28"/>
      <c r="HF211" s="28"/>
      <c r="HG211" s="28"/>
      <c r="HH211" s="28"/>
      <c r="HI211" s="28"/>
      <c r="HJ211" s="28"/>
      <c r="HK211" s="28"/>
      <c r="HL211" s="28"/>
      <c r="HM211" s="28"/>
      <c r="HN211" s="28"/>
      <c r="HO211" s="28"/>
      <c r="HP211" s="28"/>
      <c r="HQ211" s="28"/>
      <c r="HR211" s="28"/>
      <c r="HS211" s="28"/>
      <c r="HT211" s="28"/>
      <c r="HU211" s="28"/>
      <c r="HV211" s="28"/>
      <c r="HW211" s="28"/>
      <c r="HX211" s="28"/>
      <c r="HY211" s="28"/>
      <c r="HZ211" s="28"/>
      <c r="IA211" s="28"/>
      <c r="IB211" s="28"/>
      <c r="IC211" s="28"/>
      <c r="ID211" s="28"/>
      <c r="IE211" s="28"/>
      <c r="IF211" s="28"/>
      <c r="IG211" s="28"/>
      <c r="IH211" s="28"/>
      <c r="II211" s="28"/>
      <c r="IJ211" s="28"/>
      <c r="IK211" s="28"/>
      <c r="IL211" s="28"/>
      <c r="IM211" s="28"/>
      <c r="IN211" s="28"/>
      <c r="IO211" s="28"/>
      <c r="IP211" s="28"/>
      <c r="IQ211" s="28"/>
      <c r="IR211" s="28"/>
      <c r="IS211" s="28"/>
    </row>
    <row r="212" spans="2:253" ht="15" customHeight="1" x14ac:dyDescent="0.25"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  <c r="FS212" s="28"/>
      <c r="FT212" s="28"/>
      <c r="FU212" s="28"/>
      <c r="FV212" s="28"/>
      <c r="FW212" s="28"/>
      <c r="FX212" s="28"/>
      <c r="FY212" s="28"/>
      <c r="FZ212" s="28"/>
      <c r="GA212" s="28"/>
      <c r="GB212" s="28"/>
      <c r="GC212" s="28"/>
      <c r="GD212" s="28"/>
      <c r="GE212" s="28"/>
      <c r="GF212" s="28"/>
      <c r="GG212" s="28"/>
      <c r="GH212" s="28"/>
      <c r="GI212" s="28"/>
      <c r="GJ212" s="28"/>
      <c r="GK212" s="28"/>
      <c r="GL212" s="28"/>
      <c r="GM212" s="28"/>
      <c r="GN212" s="28"/>
      <c r="GO212" s="28"/>
      <c r="GP212" s="28"/>
      <c r="GQ212" s="28"/>
      <c r="GR212" s="28"/>
      <c r="GS212" s="28"/>
      <c r="GT212" s="28"/>
      <c r="GU212" s="28"/>
      <c r="GV212" s="28"/>
      <c r="GW212" s="28"/>
      <c r="GX212" s="28"/>
      <c r="GY212" s="28"/>
      <c r="GZ212" s="28"/>
      <c r="HA212" s="28"/>
      <c r="HB212" s="28"/>
      <c r="HC212" s="28"/>
      <c r="HD212" s="28"/>
      <c r="HE212" s="28"/>
      <c r="HF212" s="28"/>
      <c r="HG212" s="28"/>
      <c r="HH212" s="28"/>
      <c r="HI212" s="28"/>
      <c r="HJ212" s="28"/>
      <c r="HK212" s="28"/>
      <c r="HL212" s="28"/>
      <c r="HM212" s="28"/>
      <c r="HN212" s="28"/>
      <c r="HO212" s="28"/>
      <c r="HP212" s="28"/>
      <c r="HQ212" s="28"/>
      <c r="HR212" s="28"/>
      <c r="HS212" s="28"/>
      <c r="HT212" s="28"/>
      <c r="HU212" s="28"/>
      <c r="HV212" s="28"/>
      <c r="HW212" s="28"/>
      <c r="HX212" s="28"/>
      <c r="HY212" s="28"/>
      <c r="HZ212" s="28"/>
      <c r="IA212" s="28"/>
      <c r="IB212" s="28"/>
      <c r="IC212" s="28"/>
      <c r="ID212" s="28"/>
      <c r="IE212" s="28"/>
      <c r="IF212" s="28"/>
      <c r="IG212" s="28"/>
      <c r="IH212" s="28"/>
      <c r="II212" s="28"/>
      <c r="IJ212" s="28"/>
      <c r="IK212" s="28"/>
      <c r="IL212" s="28"/>
      <c r="IM212" s="28"/>
      <c r="IN212" s="28"/>
      <c r="IO212" s="28"/>
      <c r="IP212" s="28"/>
      <c r="IQ212" s="28"/>
      <c r="IR212" s="28"/>
      <c r="IS212" s="28"/>
    </row>
    <row r="213" spans="2:253" ht="15" customHeight="1" x14ac:dyDescent="0.25"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  <c r="FS213" s="28"/>
      <c r="FT213" s="28"/>
      <c r="FU213" s="28"/>
      <c r="FV213" s="28"/>
      <c r="FW213" s="28"/>
      <c r="FX213" s="28"/>
      <c r="FY213" s="28"/>
      <c r="FZ213" s="28"/>
      <c r="GA213" s="28"/>
      <c r="GB213" s="28"/>
      <c r="GC213" s="28"/>
      <c r="GD213" s="28"/>
      <c r="GE213" s="28"/>
      <c r="GF213" s="28"/>
      <c r="GG213" s="28"/>
      <c r="GH213" s="28"/>
      <c r="GI213" s="28"/>
      <c r="GJ213" s="28"/>
      <c r="GK213" s="28"/>
      <c r="GL213" s="28"/>
      <c r="GM213" s="28"/>
      <c r="GN213" s="28"/>
      <c r="GO213" s="28"/>
      <c r="GP213" s="28"/>
      <c r="GQ213" s="28"/>
      <c r="GR213" s="28"/>
      <c r="GS213" s="28"/>
      <c r="GT213" s="28"/>
      <c r="GU213" s="28"/>
      <c r="GV213" s="28"/>
      <c r="GW213" s="28"/>
      <c r="GX213" s="28"/>
      <c r="GY213" s="28"/>
      <c r="GZ213" s="28"/>
      <c r="HA213" s="28"/>
      <c r="HB213" s="28"/>
      <c r="HC213" s="28"/>
      <c r="HD213" s="28"/>
      <c r="HE213" s="28"/>
      <c r="HF213" s="28"/>
      <c r="HG213" s="28"/>
      <c r="HH213" s="28"/>
      <c r="HI213" s="28"/>
      <c r="HJ213" s="28"/>
      <c r="HK213" s="28"/>
      <c r="HL213" s="28"/>
      <c r="HM213" s="28"/>
      <c r="HN213" s="28"/>
      <c r="HO213" s="28"/>
      <c r="HP213" s="28"/>
      <c r="HQ213" s="28"/>
      <c r="HR213" s="28"/>
      <c r="HS213" s="28"/>
      <c r="HT213" s="28"/>
      <c r="HU213" s="28"/>
      <c r="HV213" s="28"/>
      <c r="HW213" s="28"/>
      <c r="HX213" s="28"/>
      <c r="HY213" s="28"/>
      <c r="HZ213" s="28"/>
      <c r="IA213" s="28"/>
      <c r="IB213" s="28"/>
      <c r="IC213" s="28"/>
      <c r="ID213" s="28"/>
      <c r="IE213" s="28"/>
      <c r="IF213" s="28"/>
      <c r="IG213" s="28"/>
      <c r="IH213" s="28"/>
      <c r="II213" s="28"/>
      <c r="IJ213" s="28"/>
      <c r="IK213" s="28"/>
      <c r="IL213" s="28"/>
      <c r="IM213" s="28"/>
      <c r="IN213" s="28"/>
      <c r="IO213" s="28"/>
      <c r="IP213" s="28"/>
      <c r="IQ213" s="28"/>
      <c r="IR213" s="28"/>
      <c r="IS213" s="28"/>
    </row>
    <row r="214" spans="2:253" ht="15" customHeight="1" x14ac:dyDescent="0.25">
      <c r="B214" s="49" t="s">
        <v>576</v>
      </c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  <c r="FS214" s="28"/>
      <c r="FT214" s="28"/>
      <c r="FU214" s="28"/>
      <c r="FV214" s="28"/>
      <c r="FW214" s="28"/>
      <c r="FX214" s="28"/>
      <c r="FY214" s="28"/>
      <c r="FZ214" s="28"/>
      <c r="GA214" s="28"/>
      <c r="GB214" s="28"/>
      <c r="GC214" s="28"/>
      <c r="GD214" s="28"/>
      <c r="GE214" s="28"/>
      <c r="GF214" s="28"/>
      <c r="GG214" s="28"/>
      <c r="GH214" s="28"/>
      <c r="GI214" s="28"/>
      <c r="GJ214" s="28"/>
      <c r="GK214" s="28"/>
      <c r="GL214" s="28"/>
      <c r="GM214" s="28"/>
      <c r="GN214" s="28"/>
      <c r="GO214" s="28"/>
      <c r="GP214" s="28"/>
      <c r="GQ214" s="28"/>
      <c r="GR214" s="28"/>
      <c r="GS214" s="28"/>
      <c r="GT214" s="28"/>
      <c r="GU214" s="28"/>
      <c r="GV214" s="28"/>
      <c r="GW214" s="28"/>
      <c r="GX214" s="28"/>
      <c r="GY214" s="28"/>
      <c r="GZ214" s="28"/>
      <c r="HA214" s="28"/>
      <c r="HB214" s="28"/>
      <c r="HC214" s="28"/>
      <c r="HD214" s="28"/>
      <c r="HE214" s="28"/>
      <c r="HF214" s="28"/>
      <c r="HG214" s="28"/>
      <c r="HH214" s="28"/>
      <c r="HI214" s="28"/>
      <c r="HJ214" s="28"/>
      <c r="HK214" s="28"/>
      <c r="HL214" s="28"/>
      <c r="HM214" s="28"/>
      <c r="HN214" s="28"/>
      <c r="HO214" s="28"/>
      <c r="HP214" s="28"/>
      <c r="HQ214" s="28"/>
      <c r="HR214" s="28"/>
      <c r="HS214" s="28"/>
      <c r="HT214" s="28"/>
      <c r="HU214" s="28"/>
      <c r="HV214" s="28"/>
      <c r="HW214" s="28"/>
      <c r="HX214" s="28"/>
      <c r="HY214" s="28"/>
      <c r="HZ214" s="28"/>
      <c r="IA214" s="28"/>
      <c r="IB214" s="28"/>
      <c r="IC214" s="28"/>
      <c r="ID214" s="28"/>
      <c r="IE214" s="28"/>
      <c r="IF214" s="28"/>
      <c r="IG214" s="28"/>
      <c r="IH214" s="28"/>
      <c r="II214" s="28"/>
      <c r="IJ214" s="28"/>
      <c r="IK214" s="28"/>
      <c r="IL214" s="28"/>
      <c r="IM214" s="28"/>
      <c r="IN214" s="28"/>
      <c r="IO214" s="28"/>
      <c r="IP214" s="28"/>
      <c r="IQ214" s="28"/>
      <c r="IR214" s="28"/>
      <c r="IS214" s="28"/>
    </row>
    <row r="215" spans="2:253" ht="15" customHeight="1" x14ac:dyDescent="0.25"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  <c r="FS215" s="28"/>
      <c r="FT215" s="28"/>
      <c r="FU215" s="28"/>
      <c r="FV215" s="28"/>
      <c r="FW215" s="28"/>
      <c r="FX215" s="28"/>
      <c r="FY215" s="28"/>
      <c r="FZ215" s="28"/>
      <c r="GA215" s="28"/>
      <c r="GB215" s="28"/>
      <c r="GC215" s="28"/>
      <c r="GD215" s="28"/>
      <c r="GE215" s="28"/>
      <c r="GF215" s="28"/>
      <c r="GG215" s="28"/>
      <c r="GH215" s="28"/>
      <c r="GI215" s="28"/>
      <c r="GJ215" s="28"/>
      <c r="GK215" s="28"/>
      <c r="GL215" s="28"/>
      <c r="GM215" s="28"/>
      <c r="GN215" s="28"/>
      <c r="GO215" s="28"/>
      <c r="GP215" s="28"/>
      <c r="GQ215" s="28"/>
      <c r="GR215" s="28"/>
      <c r="GS215" s="28"/>
      <c r="GT215" s="28"/>
      <c r="GU215" s="28"/>
      <c r="GV215" s="28"/>
      <c r="GW215" s="28"/>
      <c r="GX215" s="28"/>
      <c r="GY215" s="28"/>
      <c r="GZ215" s="28"/>
      <c r="HA215" s="28"/>
      <c r="HB215" s="28"/>
      <c r="HC215" s="28"/>
      <c r="HD215" s="28"/>
      <c r="HE215" s="28"/>
      <c r="HF215" s="28"/>
      <c r="HG215" s="28"/>
      <c r="HH215" s="28"/>
      <c r="HI215" s="28"/>
      <c r="HJ215" s="28"/>
      <c r="HK215" s="28"/>
      <c r="HL215" s="28"/>
      <c r="HM215" s="28"/>
      <c r="HN215" s="28"/>
      <c r="HO215" s="28"/>
      <c r="HP215" s="28"/>
      <c r="HQ215" s="28"/>
      <c r="HR215" s="28"/>
      <c r="HS215" s="28"/>
      <c r="HT215" s="28"/>
      <c r="HU215" s="28"/>
      <c r="HV215" s="28"/>
      <c r="HW215" s="28"/>
      <c r="HX215" s="28"/>
      <c r="HY215" s="28"/>
      <c r="HZ215" s="28"/>
      <c r="IA215" s="28"/>
      <c r="IB215" s="28"/>
      <c r="IC215" s="28"/>
      <c r="ID215" s="28"/>
      <c r="IE215" s="28"/>
      <c r="IF215" s="28"/>
      <c r="IG215" s="28"/>
      <c r="IH215" s="28"/>
      <c r="II215" s="28"/>
      <c r="IJ215" s="28"/>
      <c r="IK215" s="28"/>
      <c r="IL215" s="28"/>
      <c r="IM215" s="28"/>
      <c r="IN215" s="28"/>
      <c r="IO215" s="28"/>
      <c r="IP215" s="28"/>
      <c r="IQ215" s="28"/>
      <c r="IR215" s="28"/>
      <c r="IS215" s="28"/>
    </row>
    <row r="216" spans="2:253" ht="15" customHeight="1" x14ac:dyDescent="0.25">
      <c r="B216" s="47" t="s">
        <v>112</v>
      </c>
      <c r="C216" s="47"/>
      <c r="D216" s="47"/>
      <c r="E216" s="47"/>
      <c r="F216" s="47"/>
      <c r="G216" s="47"/>
      <c r="H216" s="47"/>
      <c r="I216" s="47"/>
      <c r="J216" s="3"/>
      <c r="K216" s="47" t="s">
        <v>212</v>
      </c>
      <c r="L216" s="47"/>
      <c r="M216" s="47"/>
      <c r="N216" s="47"/>
      <c r="O216" s="47"/>
      <c r="P216" s="47"/>
      <c r="Q216" s="47"/>
      <c r="R216" s="47"/>
      <c r="S216" s="13"/>
      <c r="T216" s="47" t="s">
        <v>213</v>
      </c>
      <c r="U216" s="47"/>
      <c r="V216" s="47"/>
      <c r="W216" s="47"/>
      <c r="X216" s="47"/>
      <c r="Y216" s="47"/>
      <c r="Z216" s="47"/>
      <c r="AA216" s="47"/>
      <c r="AB216" s="3"/>
      <c r="AC216" s="47" t="s">
        <v>110</v>
      </c>
      <c r="AD216" s="47"/>
      <c r="AE216" s="47"/>
      <c r="AF216" s="47"/>
      <c r="AG216" s="47"/>
      <c r="AH216" s="47"/>
      <c r="AI216" s="47"/>
      <c r="AJ216" s="47"/>
      <c r="AK216" s="3"/>
      <c r="AL216" s="47" t="s">
        <v>10</v>
      </c>
      <c r="AM216" s="47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  <c r="FS216" s="28"/>
      <c r="FT216" s="28"/>
      <c r="FU216" s="28"/>
      <c r="FV216" s="28"/>
      <c r="FW216" s="28"/>
      <c r="FX216" s="28"/>
      <c r="FY216" s="28"/>
      <c r="FZ216" s="28"/>
      <c r="GA216" s="28"/>
      <c r="GB216" s="28"/>
      <c r="GC216" s="28"/>
      <c r="GD216" s="28"/>
      <c r="GE216" s="28"/>
      <c r="GF216" s="28"/>
      <c r="GG216" s="28"/>
      <c r="GH216" s="28"/>
      <c r="GI216" s="28"/>
      <c r="GJ216" s="28"/>
      <c r="GK216" s="28"/>
      <c r="GL216" s="28"/>
      <c r="GM216" s="28"/>
      <c r="GN216" s="28"/>
      <c r="GO216" s="28"/>
      <c r="GP216" s="28"/>
      <c r="GQ216" s="28"/>
      <c r="GR216" s="28"/>
      <c r="GS216" s="28"/>
      <c r="GT216" s="28"/>
      <c r="GU216" s="28"/>
      <c r="GV216" s="28"/>
      <c r="GW216" s="28"/>
      <c r="GX216" s="28"/>
      <c r="GY216" s="28"/>
      <c r="GZ216" s="28"/>
      <c r="HA216" s="28"/>
      <c r="HB216" s="28"/>
      <c r="HC216" s="28"/>
      <c r="HD216" s="28"/>
      <c r="HE216" s="28"/>
      <c r="HF216" s="28"/>
      <c r="HG216" s="28"/>
      <c r="HH216" s="28"/>
      <c r="HI216" s="28"/>
      <c r="HJ216" s="28"/>
      <c r="HK216" s="28"/>
      <c r="HL216" s="28"/>
      <c r="HM216" s="28"/>
      <c r="HN216" s="28"/>
      <c r="HO216" s="28"/>
      <c r="HP216" s="28"/>
      <c r="HQ216" s="28"/>
      <c r="HR216" s="28"/>
      <c r="HS216" s="28"/>
      <c r="HT216" s="28"/>
      <c r="HU216" s="28"/>
      <c r="HV216" s="28"/>
      <c r="HW216" s="28"/>
      <c r="HX216" s="28"/>
      <c r="HY216" s="28"/>
      <c r="HZ216" s="28"/>
      <c r="IA216" s="28"/>
      <c r="IB216" s="28"/>
      <c r="IC216" s="28"/>
      <c r="ID216" s="28"/>
      <c r="IE216" s="28"/>
      <c r="IF216" s="28"/>
      <c r="IG216" s="28"/>
      <c r="IH216" s="28"/>
      <c r="II216" s="28"/>
      <c r="IJ216" s="28"/>
      <c r="IK216" s="28"/>
      <c r="IL216" s="28"/>
      <c r="IM216" s="28"/>
      <c r="IN216" s="28"/>
      <c r="IO216" s="28"/>
      <c r="IP216" s="28"/>
      <c r="IQ216" s="28"/>
      <c r="IR216" s="28"/>
      <c r="IS216" s="28"/>
    </row>
    <row r="217" spans="2:253" ht="15" customHeight="1" x14ac:dyDescent="0.25">
      <c r="B217" s="2">
        <f t="shared" ref="B217:I217" si="42">H209</f>
        <v>0</v>
      </c>
      <c r="C217" s="2">
        <f t="shared" si="42"/>
        <v>0</v>
      </c>
      <c r="D217" s="2">
        <f t="shared" si="42"/>
        <v>0</v>
      </c>
      <c r="E217" s="2">
        <f t="shared" si="42"/>
        <v>0</v>
      </c>
      <c r="F217" s="2">
        <f t="shared" si="42"/>
        <v>0</v>
      </c>
      <c r="G217" s="2">
        <f t="shared" si="42"/>
        <v>0</v>
      </c>
      <c r="H217" s="2">
        <f t="shared" si="42"/>
        <v>0</v>
      </c>
      <c r="I217" s="2">
        <f t="shared" si="42"/>
        <v>1</v>
      </c>
      <c r="J217" s="3"/>
      <c r="K217" s="2">
        <f t="shared" ref="K217:R217" ca="1" si="43">AL104</f>
        <v>0</v>
      </c>
      <c r="L217" s="2">
        <f t="shared" ca="1" si="43"/>
        <v>0</v>
      </c>
      <c r="M217" s="2">
        <f t="shared" ca="1" si="43"/>
        <v>0</v>
      </c>
      <c r="N217" s="2">
        <f t="shared" ca="1" si="43"/>
        <v>0</v>
      </c>
      <c r="O217" s="2">
        <f t="shared" ca="1" si="43"/>
        <v>0</v>
      </c>
      <c r="P217" s="2">
        <f t="shared" ca="1" si="43"/>
        <v>0</v>
      </c>
      <c r="Q217" s="2">
        <f t="shared" ca="1" si="43"/>
        <v>0</v>
      </c>
      <c r="R217" s="2">
        <f t="shared" ca="1" si="43"/>
        <v>0</v>
      </c>
      <c r="S217" s="13"/>
      <c r="T217" s="2" t="b">
        <f t="shared" ref="T217:AA217" ca="1" si="44">F144</f>
        <v>0</v>
      </c>
      <c r="U217" s="2" t="b">
        <f t="shared" ca="1" si="44"/>
        <v>0</v>
      </c>
      <c r="V217" s="2" t="b">
        <f t="shared" ca="1" si="44"/>
        <v>0</v>
      </c>
      <c r="W217" s="2" t="b">
        <f t="shared" ca="1" si="44"/>
        <v>1</v>
      </c>
      <c r="X217" s="2" t="b">
        <f t="shared" ca="1" si="44"/>
        <v>0</v>
      </c>
      <c r="Y217" s="2" t="b">
        <f t="shared" ca="1" si="44"/>
        <v>0</v>
      </c>
      <c r="Z217" s="2" t="b">
        <f t="shared" ca="1" si="44"/>
        <v>0</v>
      </c>
      <c r="AA217" s="2" t="b">
        <f t="shared" ca="1" si="44"/>
        <v>1</v>
      </c>
      <c r="AB217" s="3"/>
      <c r="AC217" s="2">
        <f t="shared" ref="AC217:AJ217" si="45">J31</f>
        <v>1</v>
      </c>
      <c r="AD217" s="2">
        <f t="shared" si="45"/>
        <v>1</v>
      </c>
      <c r="AE217" s="2">
        <f t="shared" si="45"/>
        <v>1</v>
      </c>
      <c r="AF217" s="2">
        <f t="shared" si="45"/>
        <v>1</v>
      </c>
      <c r="AG217" s="2">
        <f t="shared" si="45"/>
        <v>1</v>
      </c>
      <c r="AH217" s="2">
        <f t="shared" si="45"/>
        <v>1</v>
      </c>
      <c r="AI217" s="2">
        <f t="shared" si="45"/>
        <v>1</v>
      </c>
      <c r="AJ217" s="2">
        <f t="shared" si="45"/>
        <v>1</v>
      </c>
      <c r="AK217" s="3"/>
      <c r="AL217" s="2">
        <f>M82</f>
        <v>0</v>
      </c>
      <c r="AM217" s="2">
        <f>N82</f>
        <v>0</v>
      </c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  <c r="FS217" s="28"/>
      <c r="FT217" s="28"/>
      <c r="FU217" s="28"/>
      <c r="FV217" s="28"/>
      <c r="FW217" s="28"/>
      <c r="FX217" s="28"/>
      <c r="FY217" s="28"/>
      <c r="FZ217" s="28"/>
      <c r="GA217" s="28"/>
      <c r="GB217" s="28"/>
      <c r="GC217" s="28"/>
      <c r="GD217" s="28"/>
      <c r="GE217" s="28"/>
      <c r="GF217" s="28"/>
      <c r="GG217" s="28"/>
      <c r="GH217" s="28"/>
      <c r="GI217" s="28"/>
      <c r="GJ217" s="28"/>
      <c r="GK217" s="28"/>
      <c r="GL217" s="28"/>
      <c r="GM217" s="28"/>
      <c r="GN217" s="28"/>
      <c r="GO217" s="28"/>
      <c r="GP217" s="28"/>
      <c r="GQ217" s="28"/>
      <c r="GR217" s="28"/>
      <c r="GS217" s="28"/>
      <c r="GT217" s="28"/>
      <c r="GU217" s="28"/>
      <c r="GV217" s="28"/>
      <c r="GW217" s="28"/>
      <c r="GX217" s="28"/>
      <c r="GY217" s="28"/>
      <c r="GZ217" s="28"/>
      <c r="HA217" s="28"/>
      <c r="HB217" s="28"/>
      <c r="HC217" s="28"/>
      <c r="HD217" s="28"/>
      <c r="HE217" s="28"/>
      <c r="HF217" s="28"/>
      <c r="HG217" s="28"/>
      <c r="HH217" s="28"/>
      <c r="HI217" s="28"/>
      <c r="HJ217" s="28"/>
      <c r="HK217" s="28"/>
      <c r="HL217" s="28"/>
      <c r="HM217" s="28"/>
      <c r="HN217" s="28"/>
      <c r="HO217" s="28"/>
      <c r="HP217" s="28"/>
      <c r="HQ217" s="28"/>
      <c r="HR217" s="28"/>
      <c r="HS217" s="28"/>
      <c r="HT217" s="28"/>
      <c r="HU217" s="28"/>
      <c r="HV217" s="28"/>
      <c r="HW217" s="28"/>
      <c r="HX217" s="28"/>
      <c r="HY217" s="28"/>
      <c r="HZ217" s="28"/>
      <c r="IA217" s="28"/>
      <c r="IB217" s="28"/>
      <c r="IC217" s="28"/>
      <c r="ID217" s="28"/>
      <c r="IE217" s="28"/>
      <c r="IF217" s="28"/>
      <c r="IG217" s="28"/>
      <c r="IH217" s="28"/>
      <c r="II217" s="28"/>
      <c r="IJ217" s="28"/>
      <c r="IK217" s="28"/>
      <c r="IL217" s="28"/>
      <c r="IM217" s="28"/>
      <c r="IN217" s="28"/>
      <c r="IO217" s="28"/>
      <c r="IP217" s="28"/>
      <c r="IQ217" s="28"/>
      <c r="IR217" s="28"/>
      <c r="IS217" s="28"/>
    </row>
    <row r="218" spans="2:253" ht="1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50">
        <f>(AL217*2)+(AM217*1)+1</f>
        <v>1</v>
      </c>
      <c r="AM218" s="50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  <c r="FS218" s="28"/>
      <c r="FT218" s="28"/>
      <c r="FU218" s="28"/>
      <c r="FV218" s="28"/>
      <c r="FW218" s="28"/>
      <c r="FX218" s="28"/>
      <c r="FY218" s="28"/>
      <c r="FZ218" s="28"/>
      <c r="GA218" s="28"/>
      <c r="GB218" s="28"/>
      <c r="GC218" s="28"/>
      <c r="GD218" s="28"/>
      <c r="GE218" s="28"/>
      <c r="GF218" s="28"/>
      <c r="GG218" s="28"/>
      <c r="GH218" s="28"/>
      <c r="GI218" s="28"/>
      <c r="GJ218" s="28"/>
      <c r="GK218" s="28"/>
      <c r="GL218" s="28"/>
      <c r="GM218" s="28"/>
      <c r="GN218" s="28"/>
      <c r="GO218" s="28"/>
      <c r="GP218" s="28"/>
      <c r="GQ218" s="28"/>
      <c r="GR218" s="28"/>
      <c r="GS218" s="28"/>
      <c r="GT218" s="28"/>
      <c r="GU218" s="28"/>
      <c r="GV218" s="28"/>
      <c r="GW218" s="28"/>
      <c r="GX218" s="28"/>
      <c r="GY218" s="28"/>
      <c r="GZ218" s="28"/>
      <c r="HA218" s="28"/>
      <c r="HB218" s="28"/>
      <c r="HC218" s="28"/>
      <c r="HD218" s="28"/>
      <c r="HE218" s="28"/>
      <c r="HF218" s="28"/>
      <c r="HG218" s="28"/>
      <c r="HH218" s="28"/>
      <c r="HI218" s="28"/>
      <c r="HJ218" s="28"/>
      <c r="HK218" s="28"/>
      <c r="HL218" s="28"/>
      <c r="HM218" s="28"/>
      <c r="HN218" s="28"/>
      <c r="HO218" s="28"/>
      <c r="HP218" s="28"/>
      <c r="HQ218" s="28"/>
      <c r="HR218" s="28"/>
      <c r="HS218" s="28"/>
      <c r="HT218" s="28"/>
      <c r="HU218" s="28"/>
      <c r="HV218" s="28"/>
      <c r="HW218" s="28"/>
      <c r="HX218" s="28"/>
      <c r="HY218" s="28"/>
      <c r="HZ218" s="28"/>
      <c r="IA218" s="28"/>
      <c r="IB218" s="28"/>
      <c r="IC218" s="28"/>
      <c r="ID218" s="28"/>
      <c r="IE218" s="28"/>
      <c r="IF218" s="28"/>
      <c r="IG218" s="28"/>
      <c r="IH218" s="28"/>
      <c r="II218" s="28"/>
      <c r="IJ218" s="28"/>
      <c r="IK218" s="28"/>
      <c r="IL218" s="28"/>
      <c r="IM218" s="28"/>
      <c r="IN218" s="28"/>
      <c r="IO218" s="28"/>
      <c r="IP218" s="28"/>
      <c r="IQ218" s="28"/>
      <c r="IR218" s="28"/>
      <c r="IS218" s="28"/>
    </row>
    <row r="219" spans="2:253" ht="1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  <c r="FS219" s="28"/>
      <c r="FT219" s="28"/>
      <c r="FU219" s="28"/>
      <c r="FV219" s="28"/>
      <c r="FW219" s="28"/>
      <c r="FX219" s="28"/>
      <c r="FY219" s="28"/>
      <c r="FZ219" s="28"/>
      <c r="GA219" s="28"/>
      <c r="GB219" s="28"/>
      <c r="GC219" s="28"/>
      <c r="GD219" s="28"/>
      <c r="GE219" s="28"/>
      <c r="GF219" s="28"/>
      <c r="GG219" s="28"/>
      <c r="GH219" s="28"/>
      <c r="GI219" s="28"/>
      <c r="GJ219" s="28"/>
      <c r="GK219" s="28"/>
      <c r="GL219" s="28"/>
      <c r="GM219" s="28"/>
      <c r="GN219" s="28"/>
      <c r="GO219" s="28"/>
      <c r="GP219" s="28"/>
      <c r="GQ219" s="28"/>
      <c r="GR219" s="28"/>
      <c r="GS219" s="28"/>
      <c r="GT219" s="28"/>
      <c r="GU219" s="28"/>
      <c r="GV219" s="28"/>
      <c r="GW219" s="28"/>
      <c r="GX219" s="28"/>
      <c r="GY219" s="28"/>
      <c r="GZ219" s="28"/>
      <c r="HA219" s="28"/>
      <c r="HB219" s="28"/>
      <c r="HC219" s="28"/>
      <c r="HD219" s="28"/>
      <c r="HE219" s="28"/>
      <c r="HF219" s="28"/>
      <c r="HG219" s="28"/>
      <c r="HH219" s="28"/>
      <c r="HI219" s="28"/>
      <c r="HJ219" s="28"/>
      <c r="HK219" s="28"/>
      <c r="HL219" s="28"/>
      <c r="HM219" s="28"/>
      <c r="HN219" s="28"/>
      <c r="HO219" s="28"/>
      <c r="HP219" s="28"/>
      <c r="HQ219" s="28"/>
      <c r="HR219" s="28"/>
      <c r="HS219" s="28"/>
      <c r="HT219" s="28"/>
      <c r="HU219" s="28"/>
      <c r="HV219" s="28"/>
      <c r="HW219" s="28"/>
      <c r="HX219" s="28"/>
      <c r="HY219" s="28"/>
      <c r="HZ219" s="28"/>
      <c r="IA219" s="28"/>
      <c r="IB219" s="28"/>
      <c r="IC219" s="28"/>
      <c r="ID219" s="28"/>
      <c r="IE219" s="28"/>
      <c r="IF219" s="28"/>
      <c r="IG219" s="28"/>
      <c r="IH219" s="28"/>
      <c r="II219" s="28"/>
      <c r="IJ219" s="28"/>
      <c r="IK219" s="28"/>
      <c r="IL219" s="28"/>
      <c r="IM219" s="28"/>
      <c r="IN219" s="28"/>
      <c r="IO219" s="28"/>
      <c r="IP219" s="28"/>
      <c r="IQ219" s="28"/>
      <c r="IR219" s="28"/>
      <c r="IS219" s="28"/>
    </row>
    <row r="220" spans="2:253" ht="1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48" t="s">
        <v>104</v>
      </c>
      <c r="R220" s="48"/>
      <c r="S220" s="48"/>
      <c r="T220" s="48"/>
      <c r="U220" s="48"/>
      <c r="V220" s="48"/>
      <c r="W220" s="48"/>
      <c r="X220" s="48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  <c r="FS220" s="28"/>
      <c r="FT220" s="28"/>
      <c r="FU220" s="28"/>
      <c r="FV220" s="28"/>
      <c r="FW220" s="28"/>
      <c r="FX220" s="28"/>
      <c r="FY220" s="28"/>
      <c r="FZ220" s="28"/>
      <c r="GA220" s="28"/>
      <c r="GB220" s="28"/>
      <c r="GC220" s="28"/>
      <c r="GD220" s="28"/>
      <c r="GE220" s="28"/>
      <c r="GF220" s="28"/>
      <c r="GG220" s="28"/>
      <c r="GH220" s="28"/>
      <c r="GI220" s="28"/>
      <c r="GJ220" s="28"/>
      <c r="GK220" s="28"/>
      <c r="GL220" s="28"/>
      <c r="GM220" s="28"/>
      <c r="GN220" s="28"/>
      <c r="GO220" s="28"/>
      <c r="GP220" s="28"/>
      <c r="GQ220" s="28"/>
      <c r="GR220" s="28"/>
      <c r="GS220" s="28"/>
      <c r="GT220" s="28"/>
      <c r="GU220" s="28"/>
      <c r="GV220" s="28"/>
      <c r="GW220" s="28"/>
      <c r="GX220" s="28"/>
      <c r="GY220" s="28"/>
      <c r="GZ220" s="28"/>
      <c r="HA220" s="28"/>
      <c r="HB220" s="28"/>
      <c r="HC220" s="28"/>
      <c r="HD220" s="28"/>
      <c r="HE220" s="28"/>
      <c r="HF220" s="28"/>
      <c r="HG220" s="28"/>
      <c r="HH220" s="28"/>
      <c r="HI220" s="28"/>
      <c r="HJ220" s="28"/>
      <c r="HK220" s="28"/>
      <c r="HL220" s="28"/>
      <c r="HM220" s="28"/>
      <c r="HN220" s="28"/>
      <c r="HO220" s="28"/>
      <c r="HP220" s="28"/>
      <c r="HQ220" s="28"/>
      <c r="HR220" s="28"/>
      <c r="HS220" s="28"/>
      <c r="HT220" s="28"/>
      <c r="HU220" s="28"/>
      <c r="HV220" s="28"/>
      <c r="HW220" s="28"/>
      <c r="HX220" s="28"/>
      <c r="HY220" s="28"/>
      <c r="HZ220" s="28"/>
      <c r="IA220" s="28"/>
      <c r="IB220" s="28"/>
      <c r="IC220" s="28"/>
      <c r="ID220" s="28"/>
      <c r="IE220" s="28"/>
      <c r="IF220" s="28"/>
      <c r="IG220" s="28"/>
      <c r="IH220" s="28"/>
      <c r="II220" s="28"/>
      <c r="IJ220" s="28"/>
      <c r="IK220" s="28"/>
      <c r="IL220" s="28"/>
      <c r="IM220" s="28"/>
      <c r="IN220" s="28"/>
      <c r="IO220" s="28"/>
      <c r="IP220" s="28"/>
      <c r="IQ220" s="28"/>
      <c r="IR220" s="28"/>
      <c r="IS220" s="28"/>
    </row>
    <row r="221" spans="2:253" ht="1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9">
        <f>CHOOSE($AL$218, B217, K217, T217, AC217)</f>
        <v>0</v>
      </c>
      <c r="R221" s="19">
        <f>CHOOSE($AL$218, C217, L217, U217, AD217)</f>
        <v>0</v>
      </c>
      <c r="S221" s="19">
        <f t="shared" ref="S221" si="46">CHOOSE($AL$218, D217, M217, V217, AE217)</f>
        <v>0</v>
      </c>
      <c r="T221" s="19">
        <f>CHOOSE($AL$218, E217, N217, W217, AF217)</f>
        <v>0</v>
      </c>
      <c r="U221" s="19">
        <f>CHOOSE($AL$218, F217, O217, X217, AG217)</f>
        <v>0</v>
      </c>
      <c r="V221" s="19">
        <f>CHOOSE($AL$218, G217, P217, Y217, AH217)</f>
        <v>0</v>
      </c>
      <c r="W221" s="19">
        <f>CHOOSE($AL$218, H217, Q217, Z217, AI217)</f>
        <v>0</v>
      </c>
      <c r="X221" s="19">
        <f>CHOOSE($AL$218, I217, R217, AA217, AJ217)</f>
        <v>1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  <c r="FS221" s="28"/>
      <c r="FT221" s="28"/>
      <c r="FU221" s="28"/>
      <c r="FV221" s="28"/>
      <c r="FW221" s="28"/>
      <c r="FX221" s="28"/>
      <c r="FY221" s="28"/>
      <c r="FZ221" s="28"/>
      <c r="GA221" s="28"/>
      <c r="GB221" s="28"/>
      <c r="GC221" s="28"/>
      <c r="GD221" s="28"/>
      <c r="GE221" s="28"/>
      <c r="GF221" s="28"/>
      <c r="GG221" s="28"/>
      <c r="GH221" s="28"/>
      <c r="GI221" s="28"/>
      <c r="GJ221" s="28"/>
      <c r="GK221" s="28"/>
      <c r="GL221" s="28"/>
      <c r="GM221" s="28"/>
      <c r="GN221" s="28"/>
      <c r="GO221" s="28"/>
      <c r="GP221" s="28"/>
      <c r="GQ221" s="28"/>
      <c r="GR221" s="28"/>
      <c r="GS221" s="28"/>
      <c r="GT221" s="28"/>
      <c r="GU221" s="28"/>
      <c r="GV221" s="28"/>
      <c r="GW221" s="28"/>
      <c r="GX221" s="28"/>
      <c r="GY221" s="28"/>
      <c r="GZ221" s="28"/>
      <c r="HA221" s="28"/>
      <c r="HB221" s="28"/>
      <c r="HC221" s="28"/>
      <c r="HD221" s="28"/>
      <c r="HE221" s="28"/>
      <c r="HF221" s="28"/>
      <c r="HG221" s="28"/>
      <c r="HH221" s="28"/>
      <c r="HI221" s="28"/>
      <c r="HJ221" s="28"/>
      <c r="HK221" s="28"/>
      <c r="HL221" s="28"/>
      <c r="HM221" s="28"/>
      <c r="HN221" s="28"/>
      <c r="HO221" s="28"/>
      <c r="HP221" s="28"/>
      <c r="HQ221" s="28"/>
      <c r="HR221" s="28"/>
      <c r="HS221" s="28"/>
      <c r="HT221" s="28"/>
      <c r="HU221" s="28"/>
      <c r="HV221" s="28"/>
      <c r="HW221" s="28"/>
      <c r="HX221" s="28"/>
      <c r="HY221" s="28"/>
      <c r="HZ221" s="28"/>
      <c r="IA221" s="28"/>
      <c r="IB221" s="28"/>
      <c r="IC221" s="28"/>
      <c r="ID221" s="28"/>
      <c r="IE221" s="28"/>
      <c r="IF221" s="28"/>
      <c r="IG221" s="28"/>
      <c r="IH221" s="28"/>
      <c r="II221" s="28"/>
      <c r="IJ221" s="28"/>
      <c r="IK221" s="28"/>
      <c r="IL221" s="28"/>
      <c r="IM221" s="28"/>
      <c r="IN221" s="28"/>
      <c r="IO221" s="28"/>
      <c r="IP221" s="28"/>
      <c r="IQ221" s="28"/>
      <c r="IR221" s="28"/>
      <c r="IS221" s="28"/>
    </row>
    <row r="222" spans="2:253" ht="15" customHeight="1" x14ac:dyDescent="0.25"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  <c r="FS222" s="28"/>
      <c r="FT222" s="28"/>
      <c r="FU222" s="28"/>
      <c r="FV222" s="28"/>
      <c r="FW222" s="28"/>
      <c r="FX222" s="28"/>
      <c r="FY222" s="28"/>
      <c r="FZ222" s="28"/>
      <c r="GA222" s="28"/>
      <c r="GB222" s="28"/>
      <c r="GC222" s="28"/>
      <c r="GD222" s="28"/>
      <c r="GE222" s="28"/>
      <c r="GF222" s="28"/>
      <c r="GG222" s="28"/>
      <c r="GH222" s="28"/>
      <c r="GI222" s="28"/>
      <c r="GJ222" s="28"/>
      <c r="GK222" s="28"/>
      <c r="GL222" s="28"/>
      <c r="GM222" s="28"/>
      <c r="GN222" s="28"/>
      <c r="GO222" s="28"/>
      <c r="GP222" s="28"/>
      <c r="GQ222" s="28"/>
      <c r="GR222" s="28"/>
      <c r="GS222" s="28"/>
      <c r="GT222" s="28"/>
      <c r="GU222" s="28"/>
      <c r="GV222" s="28"/>
      <c r="GW222" s="28"/>
      <c r="GX222" s="28"/>
      <c r="GY222" s="28"/>
      <c r="GZ222" s="28"/>
      <c r="HA222" s="28"/>
      <c r="HB222" s="28"/>
      <c r="HC222" s="28"/>
      <c r="HD222" s="28"/>
      <c r="HE222" s="28"/>
      <c r="HF222" s="28"/>
      <c r="HG222" s="28"/>
      <c r="HH222" s="28"/>
      <c r="HI222" s="28"/>
      <c r="HJ222" s="28"/>
      <c r="HK222" s="28"/>
      <c r="HL222" s="28"/>
      <c r="HM222" s="28"/>
      <c r="HN222" s="28"/>
      <c r="HO222" s="28"/>
      <c r="HP222" s="28"/>
      <c r="HQ222" s="28"/>
      <c r="HR222" s="28"/>
      <c r="HS222" s="28"/>
      <c r="HT222" s="28"/>
      <c r="HU222" s="28"/>
      <c r="HV222" s="28"/>
      <c r="HW222" s="28"/>
      <c r="HX222" s="28"/>
      <c r="HY222" s="28"/>
      <c r="HZ222" s="28"/>
      <c r="IA222" s="28"/>
      <c r="IB222" s="28"/>
      <c r="IC222" s="28"/>
      <c r="ID222" s="28"/>
      <c r="IE222" s="28"/>
      <c r="IF222" s="28"/>
      <c r="IG222" s="28"/>
      <c r="IH222" s="28"/>
      <c r="II222" s="28"/>
      <c r="IJ222" s="28"/>
      <c r="IK222" s="28"/>
      <c r="IL222" s="28"/>
      <c r="IM222" s="28"/>
      <c r="IN222" s="28"/>
      <c r="IO222" s="28"/>
      <c r="IP222" s="28"/>
      <c r="IQ222" s="28"/>
      <c r="IR222" s="28"/>
      <c r="IS222" s="28"/>
    </row>
    <row r="223" spans="2:253" ht="15" customHeight="1" x14ac:dyDescent="0.25">
      <c r="B223" s="49" t="s">
        <v>593</v>
      </c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AE223" s="49" t="s">
        <v>581</v>
      </c>
      <c r="AF223" s="49"/>
      <c r="AG223" s="49"/>
      <c r="AH223" s="49"/>
      <c r="AI223" s="49"/>
      <c r="AJ223" s="49"/>
      <c r="AK223" s="49"/>
      <c r="AL223" s="49"/>
      <c r="AM223" s="49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  <c r="FS223" s="28"/>
      <c r="FT223" s="28"/>
      <c r="FU223" s="28"/>
      <c r="FV223" s="28"/>
      <c r="FW223" s="28"/>
      <c r="FX223" s="28"/>
      <c r="FY223" s="28"/>
      <c r="FZ223" s="28"/>
      <c r="GA223" s="28"/>
      <c r="GB223" s="28"/>
      <c r="GC223" s="28"/>
      <c r="GD223" s="28"/>
      <c r="GE223" s="28"/>
      <c r="GF223" s="28"/>
      <c r="GG223" s="28"/>
      <c r="GH223" s="28"/>
      <c r="GI223" s="28"/>
      <c r="GJ223" s="28"/>
      <c r="GK223" s="28"/>
      <c r="GL223" s="28"/>
      <c r="GM223" s="28"/>
      <c r="GN223" s="28"/>
      <c r="GO223" s="28"/>
      <c r="GP223" s="28"/>
      <c r="GQ223" s="28"/>
      <c r="GR223" s="28"/>
      <c r="GS223" s="28"/>
      <c r="GT223" s="28"/>
      <c r="GU223" s="28"/>
      <c r="GV223" s="28"/>
      <c r="GW223" s="28"/>
      <c r="GX223" s="28"/>
      <c r="GY223" s="28"/>
      <c r="GZ223" s="28"/>
      <c r="HA223" s="28"/>
      <c r="HB223" s="28"/>
      <c r="HC223" s="28"/>
      <c r="HD223" s="28"/>
      <c r="HE223" s="28"/>
      <c r="HF223" s="28"/>
      <c r="HG223" s="28"/>
      <c r="HH223" s="28"/>
      <c r="HI223" s="28"/>
      <c r="HJ223" s="28"/>
      <c r="HK223" s="28"/>
      <c r="HL223" s="28"/>
      <c r="HM223" s="28"/>
      <c r="HN223" s="28"/>
      <c r="HO223" s="28"/>
      <c r="HP223" s="28"/>
      <c r="HQ223" s="28"/>
      <c r="HR223" s="28"/>
      <c r="HS223" s="28"/>
      <c r="HT223" s="28"/>
      <c r="HU223" s="28"/>
      <c r="HV223" s="28"/>
      <c r="HW223" s="28"/>
      <c r="HX223" s="28"/>
      <c r="HY223" s="28"/>
      <c r="HZ223" s="28"/>
      <c r="IA223" s="28"/>
      <c r="IB223" s="28"/>
      <c r="IC223" s="28"/>
      <c r="ID223" s="28"/>
      <c r="IE223" s="28"/>
      <c r="IF223" s="28"/>
      <c r="IG223" s="28"/>
      <c r="IH223" s="28"/>
      <c r="II223" s="28"/>
      <c r="IJ223" s="28"/>
      <c r="IK223" s="28"/>
      <c r="IL223" s="28"/>
      <c r="IM223" s="28"/>
      <c r="IN223" s="28"/>
      <c r="IO223" s="28"/>
      <c r="IP223" s="28"/>
      <c r="IQ223" s="28"/>
      <c r="IR223" s="28"/>
      <c r="IS223" s="28"/>
    </row>
    <row r="224" spans="2:253" ht="15" customHeight="1" x14ac:dyDescent="0.25"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AE224" s="49"/>
      <c r="AF224" s="49"/>
      <c r="AG224" s="49"/>
      <c r="AH224" s="49"/>
      <c r="AI224" s="49"/>
      <c r="AJ224" s="49"/>
      <c r="AK224" s="49"/>
      <c r="AL224" s="49"/>
      <c r="AM224" s="49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  <c r="FS224" s="28"/>
      <c r="FT224" s="28"/>
      <c r="FU224" s="28"/>
      <c r="FV224" s="28"/>
      <c r="FW224" s="28"/>
      <c r="FX224" s="28"/>
      <c r="FY224" s="28"/>
      <c r="FZ224" s="28"/>
      <c r="GA224" s="28"/>
      <c r="GB224" s="28"/>
      <c r="GC224" s="28"/>
      <c r="GD224" s="28"/>
      <c r="GE224" s="28"/>
      <c r="GF224" s="28"/>
      <c r="GG224" s="28"/>
      <c r="GH224" s="28"/>
      <c r="GI224" s="28"/>
      <c r="GJ224" s="28"/>
      <c r="GK224" s="28"/>
      <c r="GL224" s="28"/>
      <c r="GM224" s="28"/>
      <c r="GN224" s="28"/>
      <c r="GO224" s="28"/>
      <c r="GP224" s="28"/>
      <c r="GQ224" s="28"/>
      <c r="GR224" s="28"/>
      <c r="GS224" s="28"/>
      <c r="GT224" s="28"/>
      <c r="GU224" s="28"/>
      <c r="GV224" s="28"/>
      <c r="GW224" s="28"/>
      <c r="GX224" s="28"/>
      <c r="GY224" s="28"/>
      <c r="GZ224" s="28"/>
      <c r="HA224" s="28"/>
      <c r="HB224" s="28"/>
      <c r="HC224" s="28"/>
      <c r="HD224" s="28"/>
      <c r="HE224" s="28"/>
      <c r="HF224" s="28"/>
      <c r="HG224" s="28"/>
      <c r="HH224" s="28"/>
      <c r="HI224" s="28"/>
      <c r="HJ224" s="28"/>
      <c r="HK224" s="28"/>
      <c r="HL224" s="28"/>
      <c r="HM224" s="28"/>
      <c r="HN224" s="28"/>
      <c r="HO224" s="28"/>
      <c r="HP224" s="28"/>
      <c r="HQ224" s="28"/>
      <c r="HR224" s="28"/>
      <c r="HS224" s="28"/>
      <c r="HT224" s="28"/>
      <c r="HU224" s="28"/>
      <c r="HV224" s="28"/>
      <c r="HW224" s="28"/>
      <c r="HX224" s="28"/>
      <c r="HY224" s="28"/>
      <c r="HZ224" s="28"/>
      <c r="IA224" s="28"/>
      <c r="IB224" s="28"/>
      <c r="IC224" s="28"/>
      <c r="ID224" s="28"/>
      <c r="IE224" s="28"/>
      <c r="IF224" s="28"/>
      <c r="IG224" s="28"/>
      <c r="IH224" s="28"/>
      <c r="II224" s="28"/>
      <c r="IJ224" s="28"/>
      <c r="IK224" s="28"/>
      <c r="IL224" s="28"/>
      <c r="IM224" s="28"/>
      <c r="IN224" s="28"/>
      <c r="IO224" s="28"/>
      <c r="IP224" s="28"/>
      <c r="IQ224" s="28"/>
      <c r="IR224" s="28"/>
      <c r="IS224" s="28"/>
    </row>
    <row r="225" spans="2:253" ht="15" customHeight="1" x14ac:dyDescent="0.25">
      <c r="B225" s="2" t="s">
        <v>23</v>
      </c>
      <c r="C225" s="3"/>
      <c r="D225" s="2" t="s">
        <v>255</v>
      </c>
      <c r="E225" s="47" t="s">
        <v>25</v>
      </c>
      <c r="F225" s="47"/>
      <c r="G225" s="47"/>
      <c r="H225" s="52" t="s">
        <v>34</v>
      </c>
      <c r="I225" s="52"/>
      <c r="J225" s="52"/>
      <c r="K225" s="52"/>
      <c r="L225" s="3"/>
      <c r="M225" s="47" t="s">
        <v>24</v>
      </c>
      <c r="N225" s="47"/>
      <c r="O225" s="47"/>
      <c r="P225" s="47"/>
      <c r="Q225" s="47"/>
      <c r="R225" s="47"/>
      <c r="S225" s="47"/>
      <c r="T225" s="47"/>
      <c r="AE225" s="2">
        <f>L2</f>
        <v>0</v>
      </c>
      <c r="AF225" s="3"/>
      <c r="AG225" s="2" t="b">
        <f>H2</f>
        <v>1</v>
      </c>
      <c r="AH225" s="3"/>
      <c r="AI225" s="2">
        <f>AJ82</f>
        <v>0</v>
      </c>
      <c r="AJ225" s="2">
        <f>AK82</f>
        <v>0</v>
      </c>
      <c r="AK225" s="2">
        <f>AL82</f>
        <v>0</v>
      </c>
      <c r="AL225" s="2">
        <f>AM82</f>
        <v>0</v>
      </c>
      <c r="AM225" s="2" t="b">
        <f ca="1">AQ82</f>
        <v>0</v>
      </c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  <c r="FS225" s="28"/>
      <c r="FT225" s="28"/>
      <c r="FU225" s="28"/>
      <c r="FV225" s="28"/>
      <c r="FW225" s="28"/>
      <c r="FX225" s="28"/>
      <c r="FY225" s="28"/>
      <c r="FZ225" s="28"/>
      <c r="GA225" s="28"/>
      <c r="GB225" s="28"/>
      <c r="GC225" s="28"/>
      <c r="GD225" s="28"/>
      <c r="GE225" s="28"/>
      <c r="GF225" s="28"/>
      <c r="GG225" s="28"/>
      <c r="GH225" s="28"/>
      <c r="GI225" s="28"/>
      <c r="GJ225" s="28"/>
      <c r="GK225" s="28"/>
      <c r="GL225" s="28"/>
      <c r="GM225" s="28"/>
      <c r="GN225" s="28"/>
      <c r="GO225" s="28"/>
      <c r="GP225" s="28"/>
      <c r="GQ225" s="28"/>
      <c r="GR225" s="28"/>
      <c r="GS225" s="28"/>
      <c r="GT225" s="28"/>
      <c r="GU225" s="28"/>
      <c r="GV225" s="28"/>
      <c r="GW225" s="28"/>
      <c r="GX225" s="28"/>
      <c r="GY225" s="28"/>
      <c r="GZ225" s="28"/>
      <c r="HA225" s="28"/>
      <c r="HB225" s="28"/>
      <c r="HC225" s="28"/>
      <c r="HD225" s="28"/>
      <c r="HE225" s="28"/>
      <c r="HF225" s="28"/>
      <c r="HG225" s="28"/>
      <c r="HH225" s="28"/>
      <c r="HI225" s="28"/>
      <c r="HJ225" s="28"/>
      <c r="HK225" s="28"/>
      <c r="HL225" s="28"/>
      <c r="HM225" s="28"/>
      <c r="HN225" s="28"/>
      <c r="HO225" s="28"/>
      <c r="HP225" s="28"/>
      <c r="HQ225" s="28"/>
      <c r="HR225" s="28"/>
      <c r="HS225" s="28"/>
      <c r="HT225" s="28"/>
      <c r="HU225" s="28"/>
      <c r="HV225" s="28"/>
      <c r="HW225" s="28"/>
      <c r="HX225" s="28"/>
      <c r="HY225" s="28"/>
      <c r="HZ225" s="28"/>
      <c r="IA225" s="28"/>
      <c r="IB225" s="28"/>
      <c r="IC225" s="28"/>
      <c r="ID225" s="28"/>
      <c r="IE225" s="28"/>
      <c r="IF225" s="28"/>
      <c r="IG225" s="28"/>
      <c r="IH225" s="28"/>
      <c r="II225" s="28"/>
      <c r="IJ225" s="28"/>
      <c r="IK225" s="28"/>
      <c r="IL225" s="28"/>
      <c r="IM225" s="28"/>
      <c r="IN225" s="28"/>
      <c r="IO225" s="28"/>
      <c r="IP225" s="28"/>
      <c r="IQ225" s="28"/>
      <c r="IR225" s="28"/>
      <c r="IS225" s="28"/>
    </row>
    <row r="226" spans="2:253" ht="15" customHeight="1" x14ac:dyDescent="0.25">
      <c r="B226" s="2">
        <f>L2</f>
        <v>0</v>
      </c>
      <c r="C226" s="3"/>
      <c r="D226" s="2" t="b">
        <f>H2</f>
        <v>1</v>
      </c>
      <c r="E226" s="3"/>
      <c r="F226" s="2">
        <f>V82</f>
        <v>0</v>
      </c>
      <c r="G226" s="3"/>
      <c r="H226" s="2">
        <f>F31</f>
        <v>1</v>
      </c>
      <c r="I226" s="2">
        <f>G31</f>
        <v>1</v>
      </c>
      <c r="J226" s="2">
        <f>H31</f>
        <v>1</v>
      </c>
      <c r="K226" s="2">
        <f>I31</f>
        <v>1</v>
      </c>
      <c r="L226" s="3"/>
      <c r="M226" s="2">
        <f t="shared" ref="M226:T226" si="47">Q221</f>
        <v>0</v>
      </c>
      <c r="N226" s="2">
        <f t="shared" si="47"/>
        <v>0</v>
      </c>
      <c r="O226" s="2">
        <f>S221</f>
        <v>0</v>
      </c>
      <c r="P226" s="2">
        <f>T221</f>
        <v>0</v>
      </c>
      <c r="Q226" s="2">
        <f>U221</f>
        <v>0</v>
      </c>
      <c r="R226" s="2">
        <f>V221</f>
        <v>0</v>
      </c>
      <c r="S226" s="2">
        <f t="shared" si="47"/>
        <v>0</v>
      </c>
      <c r="T226" s="2">
        <f t="shared" si="47"/>
        <v>1</v>
      </c>
      <c r="AE226" s="2" t="s">
        <v>23</v>
      </c>
      <c r="AF226" s="3"/>
      <c r="AG226" s="2" t="s">
        <v>255</v>
      </c>
      <c r="AH226" s="3"/>
      <c r="AI226" s="47" t="s">
        <v>113</v>
      </c>
      <c r="AJ226" s="47"/>
      <c r="AK226" s="47"/>
      <c r="AL226" s="47"/>
      <c r="AM226" s="47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  <c r="FS226" s="28"/>
      <c r="FT226" s="28"/>
      <c r="FU226" s="28"/>
      <c r="FV226" s="28"/>
      <c r="FW226" s="28"/>
      <c r="FX226" s="28"/>
      <c r="FY226" s="28"/>
      <c r="FZ226" s="28"/>
      <c r="GA226" s="28"/>
      <c r="GB226" s="28"/>
      <c r="GC226" s="28"/>
      <c r="GD226" s="28"/>
      <c r="GE226" s="28"/>
      <c r="GF226" s="28"/>
      <c r="GG226" s="28"/>
      <c r="GH226" s="28"/>
      <c r="GI226" s="28"/>
      <c r="GJ226" s="28"/>
      <c r="GK226" s="28"/>
      <c r="GL226" s="28"/>
      <c r="GM226" s="28"/>
      <c r="GN226" s="28"/>
      <c r="GO226" s="28"/>
      <c r="GP226" s="28"/>
      <c r="GQ226" s="28"/>
      <c r="GR226" s="28"/>
      <c r="GS226" s="28"/>
      <c r="GT226" s="28"/>
      <c r="GU226" s="28"/>
      <c r="GV226" s="28"/>
      <c r="GW226" s="28"/>
      <c r="GX226" s="28"/>
      <c r="GY226" s="28"/>
      <c r="GZ226" s="28"/>
      <c r="HA226" s="28"/>
      <c r="HB226" s="28"/>
      <c r="HC226" s="28"/>
      <c r="HD226" s="28"/>
      <c r="HE226" s="28"/>
      <c r="HF226" s="28"/>
      <c r="HG226" s="28"/>
      <c r="HH226" s="28"/>
      <c r="HI226" s="28"/>
      <c r="HJ226" s="28"/>
      <c r="HK226" s="28"/>
      <c r="HL226" s="28"/>
      <c r="HM226" s="28"/>
      <c r="HN226" s="28"/>
      <c r="HO226" s="28"/>
      <c r="HP226" s="28"/>
      <c r="HQ226" s="28"/>
      <c r="HR226" s="28"/>
      <c r="HS226" s="28"/>
      <c r="HT226" s="28"/>
      <c r="HU226" s="28"/>
      <c r="HV226" s="28"/>
      <c r="HW226" s="28"/>
      <c r="HX226" s="28"/>
      <c r="HY226" s="28"/>
      <c r="HZ226" s="28"/>
      <c r="IA226" s="28"/>
      <c r="IB226" s="28"/>
      <c r="IC226" s="28"/>
      <c r="ID226" s="28"/>
      <c r="IE226" s="28"/>
      <c r="IF226" s="28"/>
      <c r="IG226" s="28"/>
      <c r="IH226" s="28"/>
      <c r="II226" s="28"/>
      <c r="IJ226" s="28"/>
      <c r="IK226" s="28"/>
      <c r="IL226" s="28"/>
      <c r="IM226" s="28"/>
      <c r="IN226" s="28"/>
      <c r="IO226" s="28"/>
      <c r="IP226" s="28"/>
      <c r="IQ226" s="28"/>
      <c r="IR226" s="28"/>
      <c r="IS226" s="28"/>
    </row>
    <row r="227" spans="2:253" ht="15" customHeight="1" x14ac:dyDescent="0.25">
      <c r="B227" s="3"/>
      <c r="C227" s="3"/>
      <c r="D227" s="3"/>
      <c r="E227" s="3"/>
      <c r="F227" s="3"/>
      <c r="G227" s="3"/>
      <c r="H227" s="50">
        <f>(H226*8)+(I226*4)+(J226*2)+(K226*1)</f>
        <v>15</v>
      </c>
      <c r="I227" s="50"/>
      <c r="J227" s="50"/>
      <c r="K227" s="50"/>
      <c r="L227" s="3"/>
      <c r="M227" s="3"/>
      <c r="N227" s="3"/>
      <c r="O227" s="3"/>
      <c r="P227" s="3"/>
      <c r="Q227" s="3"/>
      <c r="R227" s="3"/>
      <c r="S227" s="3"/>
      <c r="T227" s="3"/>
      <c r="AE227" s="26"/>
      <c r="AF227" s="26"/>
      <c r="AG227" s="26"/>
      <c r="AH227" s="26"/>
      <c r="AI227" s="26"/>
      <c r="AJ227" s="26"/>
      <c r="AK227" s="26"/>
      <c r="AL227" s="26"/>
      <c r="AM227" s="26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  <c r="FS227" s="28"/>
      <c r="FT227" s="28"/>
      <c r="FU227" s="28"/>
      <c r="FV227" s="28"/>
      <c r="FW227" s="28"/>
      <c r="FX227" s="28"/>
      <c r="FY227" s="28"/>
      <c r="FZ227" s="28"/>
      <c r="GA227" s="28"/>
      <c r="GB227" s="28"/>
      <c r="GC227" s="28"/>
      <c r="GD227" s="28"/>
      <c r="GE227" s="28"/>
      <c r="GF227" s="28"/>
      <c r="GG227" s="28"/>
      <c r="GH227" s="28"/>
      <c r="GI227" s="28"/>
      <c r="GJ227" s="28"/>
      <c r="GK227" s="28"/>
      <c r="GL227" s="28"/>
      <c r="GM227" s="28"/>
      <c r="GN227" s="28"/>
      <c r="GO227" s="28"/>
      <c r="GP227" s="28"/>
      <c r="GQ227" s="28"/>
      <c r="GR227" s="28"/>
      <c r="GS227" s="28"/>
      <c r="GT227" s="28"/>
      <c r="GU227" s="28"/>
      <c r="GV227" s="28"/>
      <c r="GW227" s="28"/>
      <c r="GX227" s="28"/>
      <c r="GY227" s="28"/>
      <c r="GZ227" s="28"/>
      <c r="HA227" s="28"/>
      <c r="HB227" s="28"/>
      <c r="HC227" s="28"/>
      <c r="HD227" s="28"/>
      <c r="HE227" s="28"/>
      <c r="HF227" s="28"/>
      <c r="HG227" s="28"/>
      <c r="HH227" s="28"/>
      <c r="HI227" s="28"/>
      <c r="HJ227" s="28"/>
      <c r="HK227" s="28"/>
      <c r="HL227" s="28"/>
      <c r="HM227" s="28"/>
      <c r="HN227" s="28"/>
      <c r="HO227" s="28"/>
      <c r="HP227" s="28"/>
      <c r="HQ227" s="28"/>
      <c r="HR227" s="28"/>
      <c r="HS227" s="28"/>
      <c r="HT227" s="28"/>
      <c r="HU227" s="28"/>
      <c r="HV227" s="28"/>
      <c r="HW227" s="28"/>
      <c r="HX227" s="28"/>
      <c r="HY227" s="28"/>
      <c r="HZ227" s="28"/>
      <c r="IA227" s="28"/>
      <c r="IB227" s="28"/>
      <c r="IC227" s="28"/>
      <c r="ID227" s="28"/>
      <c r="IE227" s="28"/>
      <c r="IF227" s="28"/>
      <c r="IG227" s="28"/>
      <c r="IH227" s="28"/>
      <c r="II227" s="28"/>
      <c r="IJ227" s="28"/>
      <c r="IK227" s="28"/>
      <c r="IL227" s="28"/>
      <c r="IM227" s="28"/>
      <c r="IN227" s="28"/>
      <c r="IO227" s="28"/>
      <c r="IP227" s="28"/>
      <c r="IQ227" s="28"/>
      <c r="IR227" s="28"/>
      <c r="IS227" s="28"/>
    </row>
    <row r="228" spans="2:253" ht="1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AE228" s="3"/>
      <c r="AF228" s="3"/>
      <c r="AG228" s="9" t="s">
        <v>0</v>
      </c>
      <c r="AH228" s="10">
        <f>IF(AG225,0,IF(AND(AE225,AI225),S209,AH228))</f>
        <v>0</v>
      </c>
      <c r="AI228" s="9" t="s">
        <v>6</v>
      </c>
      <c r="AJ228" s="10">
        <f>IF(AG225,0,IF(AND(AE225,AJ225),T209,AJ228))</f>
        <v>0</v>
      </c>
      <c r="AK228" s="3"/>
      <c r="AL228" s="3"/>
      <c r="AM228" s="3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  <c r="FS228" s="28"/>
      <c r="FT228" s="28"/>
      <c r="FU228" s="28"/>
      <c r="FV228" s="28"/>
      <c r="FW228" s="28"/>
      <c r="FX228" s="28"/>
      <c r="FY228" s="28"/>
      <c r="FZ228" s="28"/>
      <c r="GA228" s="28"/>
      <c r="GB228" s="28"/>
      <c r="GC228" s="28"/>
      <c r="GD228" s="28"/>
      <c r="GE228" s="28"/>
      <c r="GF228" s="28"/>
      <c r="GG228" s="28"/>
      <c r="GH228" s="28"/>
      <c r="GI228" s="28"/>
      <c r="GJ228" s="28"/>
      <c r="GK228" s="28"/>
      <c r="GL228" s="28"/>
      <c r="GM228" s="28"/>
      <c r="GN228" s="28"/>
      <c r="GO228" s="28"/>
      <c r="GP228" s="28"/>
      <c r="GQ228" s="28"/>
      <c r="GR228" s="28"/>
      <c r="GS228" s="28"/>
      <c r="GT228" s="28"/>
      <c r="GU228" s="28"/>
      <c r="GV228" s="28"/>
      <c r="GW228" s="28"/>
      <c r="GX228" s="28"/>
      <c r="GY228" s="28"/>
      <c r="GZ228" s="28"/>
      <c r="HA228" s="28"/>
      <c r="HB228" s="28"/>
      <c r="HC228" s="28"/>
      <c r="HD228" s="28"/>
      <c r="HE228" s="28"/>
      <c r="HF228" s="28"/>
      <c r="HG228" s="28"/>
      <c r="HH228" s="28"/>
      <c r="HI228" s="28"/>
      <c r="HJ228" s="28"/>
      <c r="HK228" s="28"/>
      <c r="HL228" s="28"/>
      <c r="HM228" s="28"/>
      <c r="HN228" s="28"/>
      <c r="HO228" s="28"/>
      <c r="HP228" s="28"/>
      <c r="HQ228" s="28"/>
      <c r="HR228" s="28"/>
      <c r="HS228" s="28"/>
      <c r="HT228" s="28"/>
      <c r="HU228" s="28"/>
      <c r="HV228" s="28"/>
      <c r="HW228" s="28"/>
      <c r="HX228" s="28"/>
      <c r="HY228" s="28"/>
      <c r="HZ228" s="28"/>
      <c r="IA228" s="28"/>
      <c r="IB228" s="28"/>
      <c r="IC228" s="28"/>
      <c r="ID228" s="28"/>
      <c r="IE228" s="28"/>
      <c r="IF228" s="28"/>
      <c r="IG228" s="28"/>
      <c r="IH228" s="28"/>
      <c r="II228" s="28"/>
      <c r="IJ228" s="28"/>
      <c r="IK228" s="28"/>
      <c r="IL228" s="28"/>
      <c r="IM228" s="28"/>
      <c r="IN228" s="28"/>
      <c r="IO228" s="28"/>
      <c r="IP228" s="28"/>
      <c r="IQ228" s="28"/>
      <c r="IR228" s="28"/>
      <c r="IS228" s="28"/>
    </row>
    <row r="229" spans="2:253" ht="15" customHeight="1" x14ac:dyDescent="0.25">
      <c r="B229" s="22" t="s">
        <v>33</v>
      </c>
      <c r="C229" s="22">
        <f t="shared" ref="C229:H236" si="48">IF($D$226,0,IF(AND($B$226,$F$226),IF(ROW()-ROW($C$229)=$H$227,M$226,C229),C229))</f>
        <v>0</v>
      </c>
      <c r="D229" s="22">
        <f t="shared" si="48"/>
        <v>0</v>
      </c>
      <c r="E229" s="22">
        <f t="shared" si="48"/>
        <v>0</v>
      </c>
      <c r="F229" s="22">
        <f t="shared" si="48"/>
        <v>0</v>
      </c>
      <c r="G229" s="22">
        <f t="shared" si="48"/>
        <v>0</v>
      </c>
      <c r="H229" s="22">
        <f t="shared" si="48"/>
        <v>0</v>
      </c>
      <c r="I229" s="22">
        <f t="shared" ref="I229:J236" si="49">IF($D$226,0,IF(AND($B$226,$F$226),IF(ROW()-ROW($C$229)=$H$227,S$226,I229),I229))</f>
        <v>0</v>
      </c>
      <c r="J229" s="22">
        <f t="shared" si="49"/>
        <v>0</v>
      </c>
      <c r="K229" s="3"/>
      <c r="L229" s="22" t="s">
        <v>35</v>
      </c>
      <c r="M229" s="22">
        <f t="shared" ref="M229:T236" si="50">IF($D$226,0,IF(AND($B$226,$F$226),IF(ROW()-ROW($M$229)+8=$H$227,M$226,M229),M229))</f>
        <v>0</v>
      </c>
      <c r="N229" s="22">
        <f t="shared" si="50"/>
        <v>0</v>
      </c>
      <c r="O229" s="22">
        <f t="shared" si="50"/>
        <v>0</v>
      </c>
      <c r="P229" s="22">
        <f t="shared" si="50"/>
        <v>0</v>
      </c>
      <c r="Q229" s="22">
        <f t="shared" si="50"/>
        <v>0</v>
      </c>
      <c r="R229" s="22">
        <f t="shared" si="50"/>
        <v>0</v>
      </c>
      <c r="S229" s="22">
        <f t="shared" si="50"/>
        <v>0</v>
      </c>
      <c r="T229" s="22">
        <f t="shared" si="50"/>
        <v>0</v>
      </c>
      <c r="AE229" s="3"/>
      <c r="AF229" s="3"/>
      <c r="AG229" s="9" t="s">
        <v>4</v>
      </c>
      <c r="AH229" s="10">
        <f>IF(AG225,0,IF(AND(AE225,AK225),U209,AH229))</f>
        <v>0</v>
      </c>
      <c r="AI229" s="9" t="s">
        <v>5</v>
      </c>
      <c r="AJ229" s="10">
        <f>IF(AG225,0,IF(AND(AE225,AL225),V209,AJ229))</f>
        <v>0</v>
      </c>
      <c r="AK229" s="3"/>
      <c r="AL229" s="3"/>
      <c r="AM229" s="3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  <c r="FS229" s="28"/>
      <c r="FT229" s="28"/>
      <c r="FU229" s="28"/>
      <c r="FV229" s="28"/>
      <c r="FW229" s="28"/>
      <c r="FX229" s="28"/>
      <c r="FY229" s="28"/>
      <c r="FZ229" s="28"/>
      <c r="GA229" s="28"/>
      <c r="GB229" s="28"/>
      <c r="GC229" s="28"/>
      <c r="GD229" s="28"/>
      <c r="GE229" s="28"/>
      <c r="GF229" s="28"/>
      <c r="GG229" s="28"/>
      <c r="GH229" s="28"/>
      <c r="GI229" s="28"/>
      <c r="GJ229" s="28"/>
      <c r="GK229" s="28"/>
      <c r="GL229" s="28"/>
      <c r="GM229" s="28"/>
      <c r="GN229" s="28"/>
      <c r="GO229" s="28"/>
      <c r="GP229" s="28"/>
      <c r="GQ229" s="28"/>
      <c r="GR229" s="28"/>
      <c r="GS229" s="28"/>
      <c r="GT229" s="28"/>
      <c r="GU229" s="28"/>
      <c r="GV229" s="28"/>
      <c r="GW229" s="28"/>
      <c r="GX229" s="28"/>
      <c r="GY229" s="28"/>
      <c r="GZ229" s="28"/>
      <c r="HA229" s="28"/>
      <c r="HB229" s="28"/>
      <c r="HC229" s="28"/>
      <c r="HD229" s="28"/>
      <c r="HE229" s="28"/>
      <c r="HF229" s="28"/>
      <c r="HG229" s="28"/>
      <c r="HH229" s="28"/>
      <c r="HI229" s="28"/>
      <c r="HJ229" s="28"/>
      <c r="HK229" s="28"/>
      <c r="HL229" s="28"/>
      <c r="HM229" s="28"/>
      <c r="HN229" s="28"/>
      <c r="HO229" s="28"/>
      <c r="HP229" s="28"/>
      <c r="HQ229" s="28"/>
      <c r="HR229" s="28"/>
      <c r="HS229" s="28"/>
      <c r="HT229" s="28"/>
      <c r="HU229" s="28"/>
      <c r="HV229" s="28"/>
      <c r="HW229" s="28"/>
      <c r="HX229" s="28"/>
      <c r="HY229" s="28"/>
      <c r="HZ229" s="28"/>
      <c r="IA229" s="28"/>
      <c r="IB229" s="28"/>
      <c r="IC229" s="28"/>
      <c r="ID229" s="28"/>
      <c r="IE229" s="28"/>
      <c r="IF229" s="28"/>
      <c r="IG229" s="28"/>
      <c r="IH229" s="28"/>
      <c r="II229" s="28"/>
      <c r="IJ229" s="28"/>
      <c r="IK229" s="28"/>
      <c r="IL229" s="28"/>
      <c r="IM229" s="28"/>
      <c r="IN229" s="28"/>
      <c r="IO229" s="28"/>
      <c r="IP229" s="28"/>
      <c r="IQ229" s="28"/>
      <c r="IR229" s="28"/>
      <c r="IS229" s="28"/>
    </row>
    <row r="230" spans="2:253" ht="15" customHeight="1" x14ac:dyDescent="0.25">
      <c r="B230" s="18" t="s">
        <v>26</v>
      </c>
      <c r="C230" s="18">
        <f t="shared" si="48"/>
        <v>0</v>
      </c>
      <c r="D230" s="18">
        <f t="shared" si="48"/>
        <v>0</v>
      </c>
      <c r="E230" s="18">
        <f t="shared" si="48"/>
        <v>0</v>
      </c>
      <c r="F230" s="18">
        <f t="shared" si="48"/>
        <v>0</v>
      </c>
      <c r="G230" s="18">
        <f t="shared" si="48"/>
        <v>0</v>
      </c>
      <c r="H230" s="18">
        <f t="shared" si="48"/>
        <v>0</v>
      </c>
      <c r="I230" s="18">
        <f t="shared" si="49"/>
        <v>0</v>
      </c>
      <c r="J230" s="18">
        <f t="shared" si="49"/>
        <v>0</v>
      </c>
      <c r="K230" s="3"/>
      <c r="L230" s="18" t="s">
        <v>36</v>
      </c>
      <c r="M230" s="18">
        <f t="shared" si="50"/>
        <v>0</v>
      </c>
      <c r="N230" s="18">
        <f t="shared" si="50"/>
        <v>0</v>
      </c>
      <c r="O230" s="18">
        <f t="shared" si="50"/>
        <v>0</v>
      </c>
      <c r="P230" s="18">
        <f t="shared" si="50"/>
        <v>0</v>
      </c>
      <c r="Q230" s="18">
        <f t="shared" si="50"/>
        <v>0</v>
      </c>
      <c r="R230" s="18">
        <f t="shared" si="50"/>
        <v>0</v>
      </c>
      <c r="S230" s="18">
        <f t="shared" si="50"/>
        <v>0</v>
      </c>
      <c r="T230" s="18">
        <f t="shared" si="50"/>
        <v>0</v>
      </c>
      <c r="AE230" s="3"/>
      <c r="AF230" s="3"/>
      <c r="AG230" s="36" t="s">
        <v>598</v>
      </c>
      <c r="AH230" s="10">
        <f>IF(AG225,0,IF(AND(AE225,AM225),AR82,AH230))</f>
        <v>0</v>
      </c>
      <c r="AI230" s="3"/>
      <c r="AJ230" s="3"/>
      <c r="AK230" s="3"/>
      <c r="AL230" s="3"/>
      <c r="AM230" s="3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  <c r="FS230" s="28"/>
      <c r="FT230" s="28"/>
      <c r="FU230" s="28"/>
      <c r="FV230" s="28"/>
      <c r="FW230" s="28"/>
      <c r="FX230" s="28"/>
      <c r="FY230" s="28"/>
      <c r="FZ230" s="28"/>
      <c r="GA230" s="28"/>
      <c r="GB230" s="28"/>
      <c r="GC230" s="28"/>
      <c r="GD230" s="28"/>
      <c r="GE230" s="28"/>
      <c r="GF230" s="28"/>
      <c r="GG230" s="28"/>
      <c r="GH230" s="28"/>
      <c r="GI230" s="28"/>
      <c r="GJ230" s="28"/>
      <c r="GK230" s="28"/>
      <c r="GL230" s="28"/>
      <c r="GM230" s="28"/>
      <c r="GN230" s="28"/>
      <c r="GO230" s="28"/>
      <c r="GP230" s="28"/>
      <c r="GQ230" s="28"/>
      <c r="GR230" s="28"/>
      <c r="GS230" s="28"/>
      <c r="GT230" s="28"/>
      <c r="GU230" s="28"/>
      <c r="GV230" s="28"/>
      <c r="GW230" s="28"/>
      <c r="GX230" s="28"/>
      <c r="GY230" s="28"/>
      <c r="GZ230" s="28"/>
      <c r="HA230" s="28"/>
      <c r="HB230" s="28"/>
      <c r="HC230" s="28"/>
      <c r="HD230" s="28"/>
      <c r="HE230" s="28"/>
      <c r="HF230" s="28"/>
      <c r="HG230" s="28"/>
      <c r="HH230" s="28"/>
      <c r="HI230" s="28"/>
      <c r="HJ230" s="28"/>
      <c r="HK230" s="28"/>
      <c r="HL230" s="28"/>
      <c r="HM230" s="28"/>
      <c r="HN230" s="28"/>
      <c r="HO230" s="28"/>
      <c r="HP230" s="28"/>
      <c r="HQ230" s="28"/>
      <c r="HR230" s="28"/>
      <c r="HS230" s="28"/>
      <c r="HT230" s="28"/>
      <c r="HU230" s="28"/>
      <c r="HV230" s="28"/>
      <c r="HW230" s="28"/>
      <c r="HX230" s="28"/>
      <c r="HY230" s="28"/>
      <c r="HZ230" s="28"/>
      <c r="IA230" s="28"/>
      <c r="IB230" s="28"/>
      <c r="IC230" s="28"/>
      <c r="ID230" s="28"/>
      <c r="IE230" s="28"/>
      <c r="IF230" s="28"/>
      <c r="IG230" s="28"/>
      <c r="IH230" s="28"/>
      <c r="II230" s="28"/>
      <c r="IJ230" s="28"/>
      <c r="IK230" s="28"/>
      <c r="IL230" s="28"/>
      <c r="IM230" s="28"/>
      <c r="IN230" s="28"/>
      <c r="IO230" s="28"/>
      <c r="IP230" s="28"/>
      <c r="IQ230" s="28"/>
      <c r="IR230" s="28"/>
      <c r="IS230" s="28"/>
    </row>
    <row r="231" spans="2:253" ht="15" customHeight="1" x14ac:dyDescent="0.25">
      <c r="B231" s="19" t="s">
        <v>27</v>
      </c>
      <c r="C231" s="19">
        <f t="shared" si="48"/>
        <v>0</v>
      </c>
      <c r="D231" s="19">
        <f t="shared" si="48"/>
        <v>0</v>
      </c>
      <c r="E231" s="19">
        <f t="shared" si="48"/>
        <v>0</v>
      </c>
      <c r="F231" s="19">
        <f t="shared" si="48"/>
        <v>0</v>
      </c>
      <c r="G231" s="19">
        <f t="shared" si="48"/>
        <v>0</v>
      </c>
      <c r="H231" s="19">
        <f t="shared" si="48"/>
        <v>0</v>
      </c>
      <c r="I231" s="19">
        <f t="shared" si="49"/>
        <v>0</v>
      </c>
      <c r="J231" s="19">
        <f t="shared" si="49"/>
        <v>0</v>
      </c>
      <c r="K231" s="3"/>
      <c r="L231" s="19" t="s">
        <v>37</v>
      </c>
      <c r="M231" s="19">
        <f t="shared" si="50"/>
        <v>0</v>
      </c>
      <c r="N231" s="19">
        <f t="shared" si="50"/>
        <v>0</v>
      </c>
      <c r="O231" s="19">
        <f t="shared" si="50"/>
        <v>0</v>
      </c>
      <c r="P231" s="19">
        <f t="shared" si="50"/>
        <v>0</v>
      </c>
      <c r="Q231" s="19">
        <f t="shared" si="50"/>
        <v>0</v>
      </c>
      <c r="R231" s="19">
        <f t="shared" si="50"/>
        <v>0</v>
      </c>
      <c r="S231" s="19">
        <f t="shared" si="50"/>
        <v>0</v>
      </c>
      <c r="T231" s="19">
        <f t="shared" si="50"/>
        <v>0</v>
      </c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  <c r="FS231" s="28"/>
      <c r="FT231" s="28"/>
      <c r="FU231" s="28"/>
      <c r="FV231" s="28"/>
      <c r="FW231" s="28"/>
      <c r="FX231" s="28"/>
      <c r="FY231" s="28"/>
      <c r="FZ231" s="28"/>
      <c r="GA231" s="28"/>
      <c r="GB231" s="28"/>
      <c r="GC231" s="28"/>
      <c r="GD231" s="28"/>
      <c r="GE231" s="28"/>
      <c r="GF231" s="28"/>
      <c r="GG231" s="28"/>
      <c r="GH231" s="28"/>
      <c r="GI231" s="28"/>
      <c r="GJ231" s="28"/>
      <c r="GK231" s="28"/>
      <c r="GL231" s="28"/>
      <c r="GM231" s="28"/>
      <c r="GN231" s="28"/>
      <c r="GO231" s="28"/>
      <c r="GP231" s="28"/>
      <c r="GQ231" s="28"/>
      <c r="GR231" s="28"/>
      <c r="GS231" s="28"/>
      <c r="GT231" s="28"/>
      <c r="GU231" s="28"/>
      <c r="GV231" s="28"/>
      <c r="GW231" s="28"/>
      <c r="GX231" s="28"/>
      <c r="GY231" s="28"/>
      <c r="GZ231" s="28"/>
      <c r="HA231" s="28"/>
      <c r="HB231" s="28"/>
      <c r="HC231" s="28"/>
      <c r="HD231" s="28"/>
      <c r="HE231" s="28"/>
      <c r="HF231" s="28"/>
      <c r="HG231" s="28"/>
      <c r="HH231" s="28"/>
      <c r="HI231" s="28"/>
      <c r="HJ231" s="28"/>
      <c r="HK231" s="28"/>
      <c r="HL231" s="28"/>
      <c r="HM231" s="28"/>
      <c r="HN231" s="28"/>
      <c r="HO231" s="28"/>
      <c r="HP231" s="28"/>
      <c r="HQ231" s="28"/>
      <c r="HR231" s="28"/>
      <c r="HS231" s="28"/>
      <c r="HT231" s="28"/>
      <c r="HU231" s="28"/>
      <c r="HV231" s="28"/>
      <c r="HW231" s="28"/>
      <c r="HX231" s="28"/>
      <c r="HY231" s="28"/>
      <c r="HZ231" s="28"/>
      <c r="IA231" s="28"/>
      <c r="IB231" s="28"/>
      <c r="IC231" s="28"/>
      <c r="ID231" s="28"/>
      <c r="IE231" s="28"/>
      <c r="IF231" s="28"/>
      <c r="IG231" s="28"/>
      <c r="IH231" s="28"/>
      <c r="II231" s="28"/>
      <c r="IJ231" s="28"/>
      <c r="IK231" s="28"/>
      <c r="IL231" s="28"/>
      <c r="IM231" s="28"/>
      <c r="IN231" s="28"/>
      <c r="IO231" s="28"/>
      <c r="IP231" s="28"/>
      <c r="IQ231" s="28"/>
      <c r="IR231" s="28"/>
      <c r="IS231" s="28"/>
    </row>
    <row r="232" spans="2:253" ht="15" customHeight="1" x14ac:dyDescent="0.25">
      <c r="B232" s="21" t="s">
        <v>28</v>
      </c>
      <c r="C232" s="21">
        <f t="shared" si="48"/>
        <v>0</v>
      </c>
      <c r="D232" s="21">
        <f t="shared" si="48"/>
        <v>0</v>
      </c>
      <c r="E232" s="21">
        <f t="shared" si="48"/>
        <v>0</v>
      </c>
      <c r="F232" s="21">
        <f t="shared" si="48"/>
        <v>0</v>
      </c>
      <c r="G232" s="21">
        <f t="shared" si="48"/>
        <v>0</v>
      </c>
      <c r="H232" s="21">
        <f t="shared" si="48"/>
        <v>0</v>
      </c>
      <c r="I232" s="21">
        <f t="shared" si="49"/>
        <v>0</v>
      </c>
      <c r="J232" s="21">
        <f t="shared" si="49"/>
        <v>0</v>
      </c>
      <c r="K232" s="3"/>
      <c r="L232" s="21" t="s">
        <v>38</v>
      </c>
      <c r="M232" s="21">
        <f t="shared" si="50"/>
        <v>0</v>
      </c>
      <c r="N232" s="21">
        <f t="shared" si="50"/>
        <v>0</v>
      </c>
      <c r="O232" s="21">
        <f t="shared" si="50"/>
        <v>0</v>
      </c>
      <c r="P232" s="21">
        <f t="shared" si="50"/>
        <v>0</v>
      </c>
      <c r="Q232" s="21">
        <f t="shared" si="50"/>
        <v>0</v>
      </c>
      <c r="R232" s="21">
        <f t="shared" si="50"/>
        <v>0</v>
      </c>
      <c r="S232" s="21">
        <f t="shared" si="50"/>
        <v>0</v>
      </c>
      <c r="T232" s="21">
        <f t="shared" si="50"/>
        <v>0</v>
      </c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  <c r="FS232" s="28"/>
      <c r="FT232" s="28"/>
      <c r="FU232" s="28"/>
      <c r="FV232" s="28"/>
      <c r="FW232" s="28"/>
      <c r="FX232" s="28"/>
      <c r="FY232" s="28"/>
      <c r="FZ232" s="28"/>
      <c r="GA232" s="28"/>
      <c r="GB232" s="28"/>
      <c r="GC232" s="28"/>
      <c r="GD232" s="28"/>
      <c r="GE232" s="28"/>
      <c r="GF232" s="28"/>
      <c r="GG232" s="28"/>
      <c r="GH232" s="28"/>
      <c r="GI232" s="28"/>
      <c r="GJ232" s="28"/>
      <c r="GK232" s="28"/>
      <c r="GL232" s="28"/>
      <c r="GM232" s="28"/>
      <c r="GN232" s="28"/>
      <c r="GO232" s="28"/>
      <c r="GP232" s="28"/>
      <c r="GQ232" s="28"/>
      <c r="GR232" s="28"/>
      <c r="GS232" s="28"/>
      <c r="GT232" s="28"/>
      <c r="GU232" s="28"/>
      <c r="GV232" s="28"/>
      <c r="GW232" s="28"/>
      <c r="GX232" s="28"/>
      <c r="GY232" s="28"/>
      <c r="GZ232" s="28"/>
      <c r="HA232" s="28"/>
      <c r="HB232" s="28"/>
      <c r="HC232" s="28"/>
      <c r="HD232" s="28"/>
      <c r="HE232" s="28"/>
      <c r="HF232" s="28"/>
      <c r="HG232" s="28"/>
      <c r="HH232" s="28"/>
      <c r="HI232" s="28"/>
      <c r="HJ232" s="28"/>
      <c r="HK232" s="28"/>
      <c r="HL232" s="28"/>
      <c r="HM232" s="28"/>
      <c r="HN232" s="28"/>
      <c r="HO232" s="28"/>
      <c r="HP232" s="28"/>
      <c r="HQ232" s="28"/>
      <c r="HR232" s="28"/>
      <c r="HS232" s="28"/>
      <c r="HT232" s="28"/>
      <c r="HU232" s="28"/>
      <c r="HV232" s="28"/>
      <c r="HW232" s="28"/>
      <c r="HX232" s="28"/>
      <c r="HY232" s="28"/>
      <c r="HZ232" s="28"/>
      <c r="IA232" s="28"/>
      <c r="IB232" s="28"/>
      <c r="IC232" s="28"/>
      <c r="ID232" s="28"/>
      <c r="IE232" s="28"/>
      <c r="IF232" s="28"/>
      <c r="IG232" s="28"/>
      <c r="IH232" s="28"/>
      <c r="II232" s="28"/>
      <c r="IJ232" s="28"/>
      <c r="IK232" s="28"/>
      <c r="IL232" s="28"/>
      <c r="IM232" s="28"/>
      <c r="IN232" s="28"/>
      <c r="IO232" s="28"/>
      <c r="IP232" s="28"/>
      <c r="IQ232" s="28"/>
      <c r="IR232" s="28"/>
      <c r="IS232" s="28"/>
    </row>
    <row r="233" spans="2:253" ht="15" customHeight="1" x14ac:dyDescent="0.25">
      <c r="B233" s="22" t="s">
        <v>29</v>
      </c>
      <c r="C233" s="22">
        <f t="shared" si="48"/>
        <v>0</v>
      </c>
      <c r="D233" s="22">
        <f t="shared" si="48"/>
        <v>0</v>
      </c>
      <c r="E233" s="22">
        <f t="shared" si="48"/>
        <v>0</v>
      </c>
      <c r="F233" s="22">
        <f t="shared" si="48"/>
        <v>0</v>
      </c>
      <c r="G233" s="22">
        <f t="shared" si="48"/>
        <v>0</v>
      </c>
      <c r="H233" s="22">
        <f t="shared" si="48"/>
        <v>0</v>
      </c>
      <c r="I233" s="22">
        <f t="shared" si="49"/>
        <v>0</v>
      </c>
      <c r="J233" s="22">
        <f t="shared" si="49"/>
        <v>0</v>
      </c>
      <c r="K233" s="3"/>
      <c r="L233" s="22" t="s">
        <v>39</v>
      </c>
      <c r="M233" s="22">
        <f t="shared" si="50"/>
        <v>0</v>
      </c>
      <c r="N233" s="22">
        <f t="shared" si="50"/>
        <v>0</v>
      </c>
      <c r="O233" s="22">
        <f t="shared" si="50"/>
        <v>0</v>
      </c>
      <c r="P233" s="22">
        <f t="shared" si="50"/>
        <v>0</v>
      </c>
      <c r="Q233" s="22">
        <f t="shared" si="50"/>
        <v>0</v>
      </c>
      <c r="R233" s="22">
        <f t="shared" si="50"/>
        <v>0</v>
      </c>
      <c r="S233" s="22">
        <f t="shared" si="50"/>
        <v>0</v>
      </c>
      <c r="T233" s="22">
        <f t="shared" si="50"/>
        <v>0</v>
      </c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  <c r="FS233" s="28"/>
      <c r="FT233" s="28"/>
      <c r="FU233" s="28"/>
      <c r="FV233" s="28"/>
      <c r="FW233" s="28"/>
      <c r="FX233" s="28"/>
      <c r="FY233" s="28"/>
      <c r="FZ233" s="28"/>
      <c r="GA233" s="28"/>
      <c r="GB233" s="28"/>
      <c r="GC233" s="28"/>
      <c r="GD233" s="28"/>
      <c r="GE233" s="28"/>
      <c r="GF233" s="28"/>
      <c r="GG233" s="28"/>
      <c r="GH233" s="28"/>
      <c r="GI233" s="28"/>
      <c r="GJ233" s="28"/>
      <c r="GK233" s="28"/>
      <c r="GL233" s="28"/>
      <c r="GM233" s="28"/>
      <c r="GN233" s="28"/>
      <c r="GO233" s="28"/>
      <c r="GP233" s="28"/>
      <c r="GQ233" s="28"/>
      <c r="GR233" s="28"/>
      <c r="GS233" s="28"/>
      <c r="GT233" s="28"/>
      <c r="GU233" s="28"/>
      <c r="GV233" s="28"/>
      <c r="GW233" s="28"/>
      <c r="GX233" s="28"/>
      <c r="GY233" s="28"/>
      <c r="GZ233" s="28"/>
      <c r="HA233" s="28"/>
      <c r="HB233" s="28"/>
      <c r="HC233" s="28"/>
      <c r="HD233" s="28"/>
      <c r="HE233" s="28"/>
      <c r="HF233" s="28"/>
      <c r="HG233" s="28"/>
      <c r="HH233" s="28"/>
      <c r="HI233" s="28"/>
      <c r="HJ233" s="28"/>
      <c r="HK233" s="28"/>
      <c r="HL233" s="28"/>
      <c r="HM233" s="28"/>
      <c r="HN233" s="28"/>
      <c r="HO233" s="28"/>
      <c r="HP233" s="28"/>
      <c r="HQ233" s="28"/>
      <c r="HR233" s="28"/>
      <c r="HS233" s="28"/>
      <c r="HT233" s="28"/>
      <c r="HU233" s="28"/>
      <c r="HV233" s="28"/>
      <c r="HW233" s="28"/>
      <c r="HX233" s="28"/>
      <c r="HY233" s="28"/>
      <c r="HZ233" s="28"/>
      <c r="IA233" s="28"/>
      <c r="IB233" s="28"/>
      <c r="IC233" s="28"/>
      <c r="ID233" s="28"/>
      <c r="IE233" s="28"/>
      <c r="IF233" s="28"/>
      <c r="IG233" s="28"/>
      <c r="IH233" s="28"/>
      <c r="II233" s="28"/>
      <c r="IJ233" s="28"/>
      <c r="IK233" s="28"/>
      <c r="IL233" s="28"/>
      <c r="IM233" s="28"/>
      <c r="IN233" s="28"/>
      <c r="IO233" s="28"/>
      <c r="IP233" s="28"/>
      <c r="IQ233" s="28"/>
      <c r="IR233" s="28"/>
      <c r="IS233" s="28"/>
    </row>
    <row r="234" spans="2:253" ht="15" customHeight="1" x14ac:dyDescent="0.25">
      <c r="B234" s="18" t="s">
        <v>30</v>
      </c>
      <c r="C234" s="18">
        <f t="shared" si="48"/>
        <v>0</v>
      </c>
      <c r="D234" s="18">
        <f t="shared" si="48"/>
        <v>0</v>
      </c>
      <c r="E234" s="18">
        <f t="shared" si="48"/>
        <v>0</v>
      </c>
      <c r="F234" s="18">
        <f t="shared" si="48"/>
        <v>0</v>
      </c>
      <c r="G234" s="18">
        <f t="shared" si="48"/>
        <v>0</v>
      </c>
      <c r="H234" s="18">
        <f t="shared" si="48"/>
        <v>0</v>
      </c>
      <c r="I234" s="18">
        <f t="shared" si="49"/>
        <v>0</v>
      </c>
      <c r="J234" s="18">
        <f t="shared" si="49"/>
        <v>0</v>
      </c>
      <c r="K234" s="3"/>
      <c r="L234" s="18" t="s">
        <v>40</v>
      </c>
      <c r="M234" s="18">
        <f t="shared" si="50"/>
        <v>0</v>
      </c>
      <c r="N234" s="18">
        <f t="shared" si="50"/>
        <v>0</v>
      </c>
      <c r="O234" s="18">
        <f t="shared" si="50"/>
        <v>0</v>
      </c>
      <c r="P234" s="18">
        <f t="shared" si="50"/>
        <v>0</v>
      </c>
      <c r="Q234" s="18">
        <f t="shared" si="50"/>
        <v>0</v>
      </c>
      <c r="R234" s="18">
        <f t="shared" si="50"/>
        <v>0</v>
      </c>
      <c r="S234" s="18">
        <f t="shared" si="50"/>
        <v>0</v>
      </c>
      <c r="T234" s="18">
        <f t="shared" si="50"/>
        <v>0</v>
      </c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  <c r="FS234" s="28"/>
      <c r="FT234" s="28"/>
      <c r="FU234" s="28"/>
      <c r="FV234" s="28"/>
      <c r="FW234" s="28"/>
      <c r="FX234" s="28"/>
      <c r="FY234" s="28"/>
      <c r="FZ234" s="28"/>
      <c r="GA234" s="28"/>
      <c r="GB234" s="28"/>
      <c r="GC234" s="28"/>
      <c r="GD234" s="28"/>
      <c r="GE234" s="28"/>
      <c r="GF234" s="28"/>
      <c r="GG234" s="28"/>
      <c r="GH234" s="28"/>
      <c r="GI234" s="28"/>
      <c r="GJ234" s="28"/>
      <c r="GK234" s="28"/>
      <c r="GL234" s="28"/>
      <c r="GM234" s="28"/>
      <c r="GN234" s="28"/>
      <c r="GO234" s="28"/>
      <c r="GP234" s="28"/>
      <c r="GQ234" s="28"/>
      <c r="GR234" s="28"/>
      <c r="GS234" s="28"/>
      <c r="GT234" s="28"/>
      <c r="GU234" s="28"/>
      <c r="GV234" s="28"/>
      <c r="GW234" s="28"/>
      <c r="GX234" s="28"/>
      <c r="GY234" s="28"/>
      <c r="GZ234" s="28"/>
      <c r="HA234" s="28"/>
      <c r="HB234" s="28"/>
      <c r="HC234" s="28"/>
      <c r="HD234" s="28"/>
      <c r="HE234" s="28"/>
      <c r="HF234" s="28"/>
      <c r="HG234" s="28"/>
      <c r="HH234" s="28"/>
      <c r="HI234" s="28"/>
      <c r="HJ234" s="28"/>
      <c r="HK234" s="28"/>
      <c r="HL234" s="28"/>
      <c r="HM234" s="28"/>
      <c r="HN234" s="28"/>
      <c r="HO234" s="28"/>
      <c r="HP234" s="28"/>
      <c r="HQ234" s="28"/>
      <c r="HR234" s="28"/>
      <c r="HS234" s="28"/>
      <c r="HT234" s="28"/>
      <c r="HU234" s="28"/>
      <c r="HV234" s="28"/>
      <c r="HW234" s="28"/>
      <c r="HX234" s="28"/>
      <c r="HY234" s="28"/>
      <c r="HZ234" s="28"/>
      <c r="IA234" s="28"/>
      <c r="IB234" s="28"/>
      <c r="IC234" s="28"/>
      <c r="ID234" s="28"/>
      <c r="IE234" s="28"/>
      <c r="IF234" s="28"/>
      <c r="IG234" s="28"/>
      <c r="IH234" s="28"/>
      <c r="II234" s="28"/>
      <c r="IJ234" s="28"/>
      <c r="IK234" s="28"/>
      <c r="IL234" s="28"/>
      <c r="IM234" s="28"/>
      <c r="IN234" s="28"/>
      <c r="IO234" s="28"/>
      <c r="IP234" s="28"/>
      <c r="IQ234" s="28"/>
      <c r="IR234" s="28"/>
      <c r="IS234" s="28"/>
    </row>
    <row r="235" spans="2:253" ht="15" customHeight="1" x14ac:dyDescent="0.25">
      <c r="B235" s="19" t="s">
        <v>31</v>
      </c>
      <c r="C235" s="19">
        <f t="shared" si="48"/>
        <v>0</v>
      </c>
      <c r="D235" s="19">
        <f t="shared" si="48"/>
        <v>0</v>
      </c>
      <c r="E235" s="19">
        <f t="shared" si="48"/>
        <v>0</v>
      </c>
      <c r="F235" s="19">
        <f t="shared" si="48"/>
        <v>0</v>
      </c>
      <c r="G235" s="19">
        <f t="shared" si="48"/>
        <v>0</v>
      </c>
      <c r="H235" s="19">
        <f t="shared" si="48"/>
        <v>0</v>
      </c>
      <c r="I235" s="19">
        <f t="shared" si="49"/>
        <v>0</v>
      </c>
      <c r="J235" s="19">
        <f t="shared" si="49"/>
        <v>0</v>
      </c>
      <c r="K235" s="3"/>
      <c r="L235" s="19" t="s">
        <v>41</v>
      </c>
      <c r="M235" s="19">
        <f t="shared" si="50"/>
        <v>0</v>
      </c>
      <c r="N235" s="19">
        <f t="shared" si="50"/>
        <v>0</v>
      </c>
      <c r="O235" s="19">
        <f t="shared" si="50"/>
        <v>0</v>
      </c>
      <c r="P235" s="19">
        <f t="shared" si="50"/>
        <v>0</v>
      </c>
      <c r="Q235" s="19">
        <f t="shared" si="50"/>
        <v>0</v>
      </c>
      <c r="R235" s="19">
        <f t="shared" si="50"/>
        <v>0</v>
      </c>
      <c r="S235" s="19">
        <f t="shared" si="50"/>
        <v>0</v>
      </c>
      <c r="T235" s="19">
        <f t="shared" si="50"/>
        <v>0</v>
      </c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  <c r="FS235" s="28"/>
      <c r="FT235" s="28"/>
      <c r="FU235" s="28"/>
      <c r="FV235" s="28"/>
      <c r="FW235" s="28"/>
      <c r="FX235" s="28"/>
      <c r="FY235" s="28"/>
      <c r="FZ235" s="28"/>
      <c r="GA235" s="28"/>
      <c r="GB235" s="28"/>
      <c r="GC235" s="28"/>
      <c r="GD235" s="28"/>
      <c r="GE235" s="28"/>
      <c r="GF235" s="28"/>
      <c r="GG235" s="28"/>
      <c r="GH235" s="28"/>
      <c r="GI235" s="28"/>
      <c r="GJ235" s="28"/>
      <c r="GK235" s="28"/>
      <c r="GL235" s="28"/>
      <c r="GM235" s="28"/>
      <c r="GN235" s="28"/>
      <c r="GO235" s="28"/>
      <c r="GP235" s="28"/>
      <c r="GQ235" s="28"/>
      <c r="GR235" s="28"/>
      <c r="GS235" s="28"/>
      <c r="GT235" s="28"/>
      <c r="GU235" s="28"/>
      <c r="GV235" s="28"/>
      <c r="GW235" s="28"/>
      <c r="GX235" s="28"/>
      <c r="GY235" s="28"/>
      <c r="GZ235" s="28"/>
      <c r="HA235" s="28"/>
      <c r="HB235" s="28"/>
      <c r="HC235" s="28"/>
      <c r="HD235" s="28"/>
      <c r="HE235" s="28"/>
      <c r="HF235" s="28"/>
      <c r="HG235" s="28"/>
      <c r="HH235" s="28"/>
      <c r="HI235" s="28"/>
      <c r="HJ235" s="28"/>
      <c r="HK235" s="28"/>
      <c r="HL235" s="28"/>
      <c r="HM235" s="28"/>
      <c r="HN235" s="28"/>
      <c r="HO235" s="28"/>
      <c r="HP235" s="28"/>
      <c r="HQ235" s="28"/>
      <c r="HR235" s="28"/>
      <c r="HS235" s="28"/>
      <c r="HT235" s="28"/>
      <c r="HU235" s="28"/>
      <c r="HV235" s="28"/>
      <c r="HW235" s="28"/>
      <c r="HX235" s="28"/>
      <c r="HY235" s="28"/>
      <c r="HZ235" s="28"/>
      <c r="IA235" s="28"/>
      <c r="IB235" s="28"/>
      <c r="IC235" s="28"/>
      <c r="ID235" s="28"/>
      <c r="IE235" s="28"/>
      <c r="IF235" s="28"/>
      <c r="IG235" s="28"/>
      <c r="IH235" s="28"/>
      <c r="II235" s="28"/>
      <c r="IJ235" s="28"/>
      <c r="IK235" s="28"/>
      <c r="IL235" s="28"/>
      <c r="IM235" s="28"/>
      <c r="IN235" s="28"/>
      <c r="IO235" s="28"/>
      <c r="IP235" s="28"/>
      <c r="IQ235" s="28"/>
      <c r="IR235" s="28"/>
      <c r="IS235" s="28"/>
    </row>
    <row r="236" spans="2:253" ht="15" customHeight="1" x14ac:dyDescent="0.25">
      <c r="B236" s="21" t="s">
        <v>32</v>
      </c>
      <c r="C236" s="21">
        <f t="shared" si="48"/>
        <v>0</v>
      </c>
      <c r="D236" s="21">
        <f t="shared" si="48"/>
        <v>0</v>
      </c>
      <c r="E236" s="21">
        <f t="shared" si="48"/>
        <v>0</v>
      </c>
      <c r="F236" s="21">
        <f t="shared" si="48"/>
        <v>0</v>
      </c>
      <c r="G236" s="21">
        <f t="shared" si="48"/>
        <v>0</v>
      </c>
      <c r="H236" s="21">
        <f t="shared" si="48"/>
        <v>0</v>
      </c>
      <c r="I236" s="21">
        <f t="shared" si="49"/>
        <v>0</v>
      </c>
      <c r="J236" s="21">
        <f t="shared" si="49"/>
        <v>0</v>
      </c>
      <c r="K236" s="3"/>
      <c r="L236" s="21" t="s">
        <v>42</v>
      </c>
      <c r="M236" s="21">
        <f t="shared" si="50"/>
        <v>0</v>
      </c>
      <c r="N236" s="21">
        <f t="shared" si="50"/>
        <v>0</v>
      </c>
      <c r="O236" s="21">
        <f t="shared" si="50"/>
        <v>0</v>
      </c>
      <c r="P236" s="21">
        <f t="shared" si="50"/>
        <v>0</v>
      </c>
      <c r="Q236" s="21">
        <f t="shared" si="50"/>
        <v>0</v>
      </c>
      <c r="R236" s="21">
        <f t="shared" si="50"/>
        <v>0</v>
      </c>
      <c r="S236" s="21">
        <f t="shared" si="50"/>
        <v>0</v>
      </c>
      <c r="T236" s="21">
        <f t="shared" si="50"/>
        <v>0</v>
      </c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  <c r="FS236" s="28"/>
      <c r="FT236" s="28"/>
      <c r="FU236" s="28"/>
      <c r="FV236" s="28"/>
      <c r="FW236" s="28"/>
      <c r="FX236" s="28"/>
      <c r="FY236" s="28"/>
      <c r="FZ236" s="28"/>
      <c r="GA236" s="28"/>
      <c r="GB236" s="28"/>
      <c r="GC236" s="28"/>
      <c r="GD236" s="28"/>
      <c r="GE236" s="28"/>
      <c r="GF236" s="28"/>
      <c r="GG236" s="28"/>
      <c r="GH236" s="28"/>
      <c r="GI236" s="28"/>
      <c r="GJ236" s="28"/>
      <c r="GK236" s="28"/>
      <c r="GL236" s="28"/>
      <c r="GM236" s="28"/>
      <c r="GN236" s="28"/>
      <c r="GO236" s="28"/>
      <c r="GP236" s="28"/>
      <c r="GQ236" s="28"/>
      <c r="GR236" s="28"/>
      <c r="GS236" s="28"/>
      <c r="GT236" s="28"/>
      <c r="GU236" s="28"/>
      <c r="GV236" s="28"/>
      <c r="GW236" s="28"/>
      <c r="GX236" s="28"/>
      <c r="GY236" s="28"/>
      <c r="GZ236" s="28"/>
      <c r="HA236" s="28"/>
      <c r="HB236" s="28"/>
      <c r="HC236" s="28"/>
      <c r="HD236" s="28"/>
      <c r="HE236" s="28"/>
      <c r="HF236" s="28"/>
      <c r="HG236" s="28"/>
      <c r="HH236" s="28"/>
      <c r="HI236" s="28"/>
      <c r="HJ236" s="28"/>
      <c r="HK236" s="28"/>
      <c r="HL236" s="28"/>
      <c r="HM236" s="28"/>
      <c r="HN236" s="28"/>
      <c r="HO236" s="28"/>
      <c r="HP236" s="28"/>
      <c r="HQ236" s="28"/>
      <c r="HR236" s="28"/>
      <c r="HS236" s="28"/>
      <c r="HT236" s="28"/>
      <c r="HU236" s="28"/>
      <c r="HV236" s="28"/>
      <c r="HW236" s="28"/>
      <c r="HX236" s="28"/>
      <c r="HY236" s="28"/>
      <c r="HZ236" s="28"/>
      <c r="IA236" s="28"/>
      <c r="IB236" s="28"/>
      <c r="IC236" s="28"/>
      <c r="ID236" s="28"/>
      <c r="IE236" s="28"/>
      <c r="IF236" s="28"/>
      <c r="IG236" s="28"/>
      <c r="IH236" s="28"/>
      <c r="II236" s="28"/>
      <c r="IJ236" s="28"/>
      <c r="IK236" s="28"/>
      <c r="IL236" s="28"/>
      <c r="IM236" s="28"/>
      <c r="IN236" s="28"/>
      <c r="IO236" s="28"/>
      <c r="IP236" s="28"/>
      <c r="IQ236" s="28"/>
      <c r="IR236" s="28"/>
      <c r="IS236" s="28"/>
    </row>
    <row r="237" spans="2:253" ht="15" customHeight="1" x14ac:dyDescent="0.25"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  <c r="FS237" s="28"/>
      <c r="FT237" s="28"/>
      <c r="FU237" s="28"/>
      <c r="FV237" s="28"/>
      <c r="FW237" s="28"/>
      <c r="FX237" s="28"/>
      <c r="FY237" s="28"/>
      <c r="FZ237" s="28"/>
      <c r="GA237" s="28"/>
      <c r="GB237" s="28"/>
      <c r="GC237" s="28"/>
      <c r="GD237" s="28"/>
      <c r="GE237" s="28"/>
      <c r="GF237" s="28"/>
      <c r="GG237" s="28"/>
      <c r="GH237" s="28"/>
      <c r="GI237" s="28"/>
      <c r="GJ237" s="28"/>
      <c r="GK237" s="28"/>
      <c r="GL237" s="28"/>
      <c r="GM237" s="28"/>
      <c r="GN237" s="28"/>
      <c r="GO237" s="28"/>
      <c r="GP237" s="28"/>
      <c r="GQ237" s="28"/>
      <c r="GR237" s="28"/>
      <c r="GS237" s="28"/>
      <c r="GT237" s="28"/>
      <c r="GU237" s="28"/>
      <c r="GV237" s="28"/>
      <c r="GW237" s="28"/>
      <c r="GX237" s="28"/>
      <c r="GY237" s="28"/>
      <c r="GZ237" s="28"/>
      <c r="HA237" s="28"/>
      <c r="HB237" s="28"/>
      <c r="HC237" s="28"/>
      <c r="HD237" s="28"/>
      <c r="HE237" s="28"/>
      <c r="HF237" s="28"/>
      <c r="HG237" s="28"/>
      <c r="HH237" s="28"/>
      <c r="HI237" s="28"/>
      <c r="HJ237" s="28"/>
      <c r="HK237" s="28"/>
      <c r="HL237" s="28"/>
      <c r="HM237" s="28"/>
      <c r="HN237" s="28"/>
      <c r="HO237" s="28"/>
      <c r="HP237" s="28"/>
      <c r="HQ237" s="28"/>
      <c r="HR237" s="28"/>
      <c r="HS237" s="28"/>
      <c r="HT237" s="28"/>
      <c r="HU237" s="28"/>
      <c r="HV237" s="28"/>
      <c r="HW237" s="28"/>
      <c r="HX237" s="28"/>
      <c r="HY237" s="28"/>
      <c r="HZ237" s="28"/>
      <c r="IA237" s="28"/>
      <c r="IB237" s="28"/>
      <c r="IC237" s="28"/>
      <c r="ID237" s="28"/>
      <c r="IE237" s="28"/>
      <c r="IF237" s="28"/>
      <c r="IG237" s="28"/>
      <c r="IH237" s="28"/>
      <c r="II237" s="28"/>
      <c r="IJ237" s="28"/>
      <c r="IK237" s="28"/>
      <c r="IL237" s="28"/>
      <c r="IM237" s="28"/>
      <c r="IN237" s="28"/>
      <c r="IO237" s="28"/>
      <c r="IP237" s="28"/>
      <c r="IQ237" s="28"/>
      <c r="IR237" s="28"/>
      <c r="IS237" s="28"/>
    </row>
    <row r="238" spans="2:253" ht="15" customHeight="1" x14ac:dyDescent="0.25"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  <c r="FS238" s="28"/>
      <c r="FT238" s="28"/>
      <c r="FU238" s="28"/>
      <c r="FV238" s="28"/>
      <c r="FW238" s="28"/>
      <c r="FX238" s="28"/>
      <c r="FY238" s="28"/>
      <c r="FZ238" s="28"/>
      <c r="GA238" s="28"/>
      <c r="GB238" s="28"/>
      <c r="GC238" s="28"/>
      <c r="GD238" s="28"/>
      <c r="GE238" s="28"/>
      <c r="GF238" s="28"/>
      <c r="GG238" s="28"/>
      <c r="GH238" s="28"/>
      <c r="GI238" s="28"/>
      <c r="GJ238" s="28"/>
      <c r="GK238" s="28"/>
      <c r="GL238" s="28"/>
      <c r="GM238" s="28"/>
      <c r="GN238" s="28"/>
      <c r="GO238" s="28"/>
      <c r="GP238" s="28"/>
      <c r="GQ238" s="28"/>
      <c r="GR238" s="28"/>
      <c r="GS238" s="28"/>
      <c r="GT238" s="28"/>
      <c r="GU238" s="28"/>
      <c r="GV238" s="28"/>
      <c r="GW238" s="28"/>
      <c r="GX238" s="28"/>
      <c r="GY238" s="28"/>
      <c r="GZ238" s="28"/>
      <c r="HA238" s="28"/>
      <c r="HB238" s="28"/>
      <c r="HC238" s="28"/>
      <c r="HD238" s="28"/>
      <c r="HE238" s="28"/>
      <c r="HF238" s="28"/>
      <c r="HG238" s="28"/>
      <c r="HH238" s="28"/>
      <c r="HI238" s="28"/>
      <c r="HJ238" s="28"/>
      <c r="HK238" s="28"/>
      <c r="HL238" s="28"/>
      <c r="HM238" s="28"/>
      <c r="HN238" s="28"/>
      <c r="HO238" s="28"/>
      <c r="HP238" s="28"/>
      <c r="HQ238" s="28"/>
      <c r="HR238" s="28"/>
      <c r="HS238" s="28"/>
      <c r="HT238" s="28"/>
      <c r="HU238" s="28"/>
      <c r="HV238" s="28"/>
      <c r="HW238" s="28"/>
      <c r="HX238" s="28"/>
      <c r="HY238" s="28"/>
      <c r="HZ238" s="28"/>
      <c r="IA238" s="28"/>
      <c r="IB238" s="28"/>
      <c r="IC238" s="28"/>
      <c r="ID238" s="28"/>
      <c r="IE238" s="28"/>
      <c r="IF238" s="28"/>
      <c r="IG238" s="28"/>
      <c r="IH238" s="28"/>
      <c r="II238" s="28"/>
      <c r="IJ238" s="28"/>
      <c r="IK238" s="28"/>
      <c r="IL238" s="28"/>
      <c r="IM238" s="28"/>
      <c r="IN238" s="28"/>
      <c r="IO238" s="28"/>
      <c r="IP238" s="28"/>
      <c r="IQ238" s="28"/>
      <c r="IR238" s="28"/>
      <c r="IS238" s="28"/>
    </row>
    <row r="239" spans="2:253" ht="15" customHeight="1" x14ac:dyDescent="0.25"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  <c r="FS239" s="28"/>
      <c r="FT239" s="28"/>
      <c r="FU239" s="28"/>
      <c r="FV239" s="28"/>
      <c r="FW239" s="28"/>
      <c r="FX239" s="28"/>
      <c r="FY239" s="28"/>
      <c r="FZ239" s="28"/>
      <c r="GA239" s="28"/>
      <c r="GB239" s="28"/>
      <c r="GC239" s="28"/>
      <c r="GD239" s="28"/>
      <c r="GE239" s="28"/>
      <c r="GF239" s="28"/>
      <c r="GG239" s="28"/>
      <c r="GH239" s="28"/>
      <c r="GI239" s="28"/>
      <c r="GJ239" s="28"/>
      <c r="GK239" s="28"/>
      <c r="GL239" s="28"/>
      <c r="GM239" s="28"/>
      <c r="GN239" s="28"/>
      <c r="GO239" s="28"/>
      <c r="GP239" s="28"/>
      <c r="GQ239" s="28"/>
      <c r="GR239" s="28"/>
      <c r="GS239" s="28"/>
      <c r="GT239" s="28"/>
      <c r="GU239" s="28"/>
      <c r="GV239" s="28"/>
      <c r="GW239" s="28"/>
      <c r="GX239" s="28"/>
      <c r="GY239" s="28"/>
      <c r="GZ239" s="28"/>
      <c r="HA239" s="28"/>
      <c r="HB239" s="28"/>
      <c r="HC239" s="28"/>
      <c r="HD239" s="28"/>
      <c r="HE239" s="28"/>
      <c r="HF239" s="28"/>
      <c r="HG239" s="28"/>
      <c r="HH239" s="28"/>
      <c r="HI239" s="28"/>
      <c r="HJ239" s="28"/>
      <c r="HK239" s="28"/>
      <c r="HL239" s="28"/>
      <c r="HM239" s="28"/>
      <c r="HN239" s="28"/>
      <c r="HO239" s="28"/>
      <c r="HP239" s="28"/>
      <c r="HQ239" s="28"/>
      <c r="HR239" s="28"/>
      <c r="HS239" s="28"/>
      <c r="HT239" s="28"/>
      <c r="HU239" s="28"/>
      <c r="HV239" s="28"/>
      <c r="HW239" s="28"/>
      <c r="HX239" s="28"/>
      <c r="HY239" s="28"/>
      <c r="HZ239" s="28"/>
      <c r="IA239" s="28"/>
      <c r="IB239" s="28"/>
      <c r="IC239" s="28"/>
      <c r="ID239" s="28"/>
      <c r="IE239" s="28"/>
      <c r="IF239" s="28"/>
      <c r="IG239" s="28"/>
      <c r="IH239" s="28"/>
      <c r="II239" s="28"/>
      <c r="IJ239" s="28"/>
      <c r="IK239" s="28"/>
      <c r="IL239" s="28"/>
      <c r="IM239" s="28"/>
      <c r="IN239" s="28"/>
      <c r="IO239" s="28"/>
      <c r="IP239" s="28"/>
      <c r="IQ239" s="28"/>
      <c r="IR239" s="28"/>
      <c r="IS239" s="28"/>
    </row>
    <row r="240" spans="2:253" ht="15" customHeight="1" x14ac:dyDescent="0.25"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  <c r="FS240" s="28"/>
      <c r="FT240" s="28"/>
      <c r="FU240" s="28"/>
      <c r="FV240" s="28"/>
      <c r="FW240" s="28"/>
      <c r="FX240" s="28"/>
      <c r="FY240" s="28"/>
      <c r="FZ240" s="28"/>
      <c r="GA240" s="28"/>
      <c r="GB240" s="28"/>
      <c r="GC240" s="28"/>
      <c r="GD240" s="28"/>
      <c r="GE240" s="28"/>
      <c r="GF240" s="28"/>
      <c r="GG240" s="28"/>
      <c r="GH240" s="28"/>
      <c r="GI240" s="28"/>
      <c r="GJ240" s="28"/>
      <c r="GK240" s="28"/>
      <c r="GL240" s="28"/>
      <c r="GM240" s="28"/>
      <c r="GN240" s="28"/>
      <c r="GO240" s="28"/>
      <c r="GP240" s="28"/>
      <c r="GQ240" s="28"/>
      <c r="GR240" s="28"/>
      <c r="GS240" s="28"/>
      <c r="GT240" s="28"/>
      <c r="GU240" s="28"/>
      <c r="GV240" s="28"/>
      <c r="GW240" s="28"/>
      <c r="GX240" s="28"/>
      <c r="GY240" s="28"/>
      <c r="GZ240" s="28"/>
      <c r="HA240" s="28"/>
      <c r="HB240" s="28"/>
      <c r="HC240" s="28"/>
      <c r="HD240" s="28"/>
      <c r="HE240" s="28"/>
      <c r="HF240" s="28"/>
      <c r="HG240" s="28"/>
      <c r="HH240" s="28"/>
      <c r="HI240" s="28"/>
      <c r="HJ240" s="28"/>
      <c r="HK240" s="28"/>
      <c r="HL240" s="28"/>
      <c r="HM240" s="28"/>
      <c r="HN240" s="28"/>
      <c r="HO240" s="28"/>
      <c r="HP240" s="28"/>
      <c r="HQ240" s="28"/>
      <c r="HR240" s="28"/>
      <c r="HS240" s="28"/>
      <c r="HT240" s="28"/>
      <c r="HU240" s="28"/>
      <c r="HV240" s="28"/>
      <c r="HW240" s="28"/>
      <c r="HX240" s="28"/>
      <c r="HY240" s="28"/>
      <c r="HZ240" s="28"/>
      <c r="IA240" s="28"/>
      <c r="IB240" s="28"/>
      <c r="IC240" s="28"/>
      <c r="ID240" s="28"/>
      <c r="IE240" s="28"/>
      <c r="IF240" s="28"/>
      <c r="IG240" s="28"/>
      <c r="IH240" s="28"/>
      <c r="II240" s="28"/>
      <c r="IJ240" s="28"/>
      <c r="IK240" s="28"/>
      <c r="IL240" s="28"/>
      <c r="IM240" s="28"/>
      <c r="IN240" s="28"/>
      <c r="IO240" s="28"/>
      <c r="IP240" s="28"/>
      <c r="IQ240" s="28"/>
      <c r="IR240" s="28"/>
      <c r="IS240" s="28"/>
    </row>
    <row r="241" spans="2:253" ht="15" customHeight="1" x14ac:dyDescent="0.25">
      <c r="B241" s="49" t="s">
        <v>575</v>
      </c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  <c r="FS241" s="28"/>
      <c r="FT241" s="28"/>
      <c r="FU241" s="28"/>
      <c r="FV241" s="28"/>
      <c r="FW241" s="28"/>
      <c r="FX241" s="28"/>
      <c r="FY241" s="28"/>
      <c r="FZ241" s="28"/>
      <c r="GA241" s="28"/>
      <c r="GB241" s="28"/>
      <c r="GC241" s="28"/>
      <c r="GD241" s="28"/>
      <c r="GE241" s="28"/>
      <c r="GF241" s="28"/>
      <c r="GG241" s="28"/>
      <c r="GH241" s="28"/>
      <c r="GI241" s="28"/>
      <c r="GJ241" s="28"/>
      <c r="GK241" s="28"/>
      <c r="GL241" s="28"/>
      <c r="GM241" s="28"/>
      <c r="GN241" s="28"/>
      <c r="GO241" s="28"/>
      <c r="GP241" s="28"/>
      <c r="GQ241" s="28"/>
      <c r="GR241" s="28"/>
      <c r="GS241" s="28"/>
      <c r="GT241" s="28"/>
      <c r="GU241" s="28"/>
      <c r="GV241" s="28"/>
      <c r="GW241" s="28"/>
      <c r="GX241" s="28"/>
      <c r="GY241" s="28"/>
      <c r="GZ241" s="28"/>
      <c r="HA241" s="28"/>
      <c r="HB241" s="28"/>
      <c r="HC241" s="28"/>
      <c r="HD241" s="28"/>
      <c r="HE241" s="28"/>
      <c r="HF241" s="28"/>
      <c r="HG241" s="28"/>
      <c r="HH241" s="28"/>
      <c r="HI241" s="28"/>
      <c r="HJ241" s="28"/>
      <c r="HK241" s="28"/>
      <c r="HL241" s="28"/>
      <c r="HM241" s="28"/>
      <c r="HN241" s="28"/>
      <c r="HO241" s="28"/>
      <c r="HP241" s="28"/>
      <c r="HQ241" s="28"/>
      <c r="HR241" s="28"/>
      <c r="HS241" s="28"/>
      <c r="HT241" s="28"/>
      <c r="HU241" s="28"/>
      <c r="HV241" s="28"/>
      <c r="HW241" s="28"/>
      <c r="HX241" s="28"/>
      <c r="HY241" s="28"/>
      <c r="HZ241" s="28"/>
      <c r="IA241" s="28"/>
      <c r="IB241" s="28"/>
    </row>
    <row r="242" spans="2:253" ht="15" customHeight="1" x14ac:dyDescent="0.25"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  <c r="FS242" s="28"/>
      <c r="FT242" s="28"/>
      <c r="FU242" s="28"/>
      <c r="FV242" s="28"/>
      <c r="FW242" s="28"/>
      <c r="FX242" s="28"/>
      <c r="FY242" s="28"/>
      <c r="FZ242" s="28"/>
      <c r="GA242" s="28"/>
      <c r="GB242" s="28"/>
      <c r="GC242" s="28"/>
      <c r="GD242" s="28"/>
      <c r="GE242" s="28"/>
      <c r="GF242" s="28"/>
      <c r="GG242" s="28"/>
      <c r="GH242" s="28"/>
      <c r="GI242" s="28"/>
      <c r="GJ242" s="28"/>
      <c r="GK242" s="28"/>
      <c r="GL242" s="28"/>
      <c r="GM242" s="28"/>
      <c r="GN242" s="28"/>
      <c r="GO242" s="28"/>
      <c r="GP242" s="28"/>
      <c r="GQ242" s="28"/>
      <c r="GR242" s="28"/>
      <c r="GS242" s="28"/>
      <c r="GT242" s="28"/>
      <c r="GU242" s="28"/>
      <c r="GV242" s="28"/>
      <c r="GW242" s="28"/>
      <c r="GX242" s="28"/>
      <c r="GY242" s="28"/>
      <c r="GZ242" s="28"/>
      <c r="HA242" s="28"/>
      <c r="HB242" s="28"/>
      <c r="HC242" s="28"/>
      <c r="HD242" s="28"/>
      <c r="HE242" s="28"/>
      <c r="HF242" s="28"/>
      <c r="HG242" s="28"/>
      <c r="HH242" s="28"/>
      <c r="HI242" s="28"/>
      <c r="HJ242" s="28"/>
      <c r="HK242" s="28"/>
      <c r="HL242" s="28"/>
      <c r="HM242" s="28"/>
      <c r="HN242" s="28"/>
      <c r="HO242" s="28"/>
      <c r="HP242" s="28"/>
      <c r="HQ242" s="28"/>
      <c r="HR242" s="28"/>
      <c r="HS242" s="28"/>
      <c r="HT242" s="28"/>
      <c r="HU242" s="28"/>
      <c r="HV242" s="28"/>
      <c r="HW242" s="28"/>
      <c r="HX242" s="28"/>
      <c r="HY242" s="28"/>
      <c r="HZ242" s="28"/>
      <c r="IA242" s="28"/>
      <c r="IB242" s="28"/>
    </row>
    <row r="243" spans="2:253" ht="15" customHeight="1" x14ac:dyDescent="0.25">
      <c r="B243" s="47" t="s">
        <v>262</v>
      </c>
      <c r="C243" s="47"/>
      <c r="D243" s="47"/>
      <c r="E243" s="47"/>
      <c r="F243" s="47"/>
      <c r="G243" s="47"/>
      <c r="H243" s="47"/>
      <c r="I243" s="47"/>
      <c r="J243" s="3"/>
      <c r="K243" s="47" t="s">
        <v>261</v>
      </c>
      <c r="L243" s="47"/>
      <c r="M243" s="47"/>
      <c r="N243" s="47"/>
      <c r="O243" s="47"/>
      <c r="P243" s="47"/>
      <c r="Q243" s="47"/>
      <c r="R243" s="47"/>
      <c r="S243" s="3"/>
      <c r="T243" s="47" t="s">
        <v>260</v>
      </c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3"/>
      <c r="AG243" s="47" t="s">
        <v>10</v>
      </c>
      <c r="AH243" s="47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  <c r="FS243" s="28"/>
      <c r="FT243" s="28"/>
      <c r="FU243" s="28"/>
      <c r="FV243" s="28"/>
      <c r="FW243" s="28"/>
      <c r="FX243" s="28"/>
      <c r="FY243" s="28"/>
      <c r="FZ243" s="28"/>
      <c r="GA243" s="28"/>
      <c r="GB243" s="28"/>
      <c r="GC243" s="28"/>
      <c r="GD243" s="28"/>
      <c r="GE243" s="28"/>
      <c r="GF243" s="28"/>
      <c r="GG243" s="28"/>
      <c r="GH243" s="28"/>
      <c r="GI243" s="28"/>
      <c r="GJ243" s="28"/>
      <c r="GK243" s="28"/>
      <c r="GL243" s="28"/>
      <c r="GM243" s="28"/>
      <c r="GN243" s="28"/>
      <c r="GO243" s="28"/>
      <c r="GP243" s="28"/>
      <c r="GQ243" s="28"/>
      <c r="GR243" s="28"/>
      <c r="GS243" s="28"/>
      <c r="GT243" s="28"/>
      <c r="GU243" s="28"/>
      <c r="GV243" s="28"/>
      <c r="GW243" s="28"/>
      <c r="GX243" s="28"/>
      <c r="GY243" s="28"/>
      <c r="GZ243" s="28"/>
      <c r="HA243" s="28"/>
      <c r="HB243" s="28"/>
      <c r="HC243" s="28"/>
      <c r="HD243" s="28"/>
      <c r="HE243" s="28"/>
      <c r="HF243" s="28"/>
      <c r="HG243" s="28"/>
      <c r="HH243" s="28"/>
      <c r="HI243" s="28"/>
      <c r="HJ243" s="28"/>
      <c r="HK243" s="28"/>
      <c r="HL243" s="28"/>
      <c r="HM243" s="28"/>
      <c r="HN243" s="28"/>
      <c r="HO243" s="28"/>
      <c r="HP243" s="28"/>
      <c r="HQ243" s="28"/>
      <c r="HR243" s="28"/>
      <c r="HS243" s="28"/>
      <c r="HT243" s="28"/>
      <c r="HU243" s="28"/>
      <c r="HV243" s="28"/>
      <c r="HW243" s="28"/>
      <c r="HX243" s="28"/>
      <c r="HY243" s="28"/>
      <c r="HZ243" s="28"/>
      <c r="IA243" s="28"/>
      <c r="IB243" s="28"/>
    </row>
    <row r="244" spans="2:253" ht="15" customHeight="1" x14ac:dyDescent="0.25">
      <c r="B244" s="2" t="b">
        <f t="shared" ref="B244:I244" ca="1" si="51">F144</f>
        <v>0</v>
      </c>
      <c r="C244" s="2" t="b">
        <f t="shared" ca="1" si="51"/>
        <v>0</v>
      </c>
      <c r="D244" s="2" t="b">
        <f t="shared" ca="1" si="51"/>
        <v>0</v>
      </c>
      <c r="E244" s="2" t="b">
        <f t="shared" ca="1" si="51"/>
        <v>1</v>
      </c>
      <c r="F244" s="2" t="b">
        <f t="shared" ca="1" si="51"/>
        <v>0</v>
      </c>
      <c r="G244" s="2" t="b">
        <f t="shared" ca="1" si="51"/>
        <v>0</v>
      </c>
      <c r="H244" s="2" t="b">
        <f t="shared" ca="1" si="51"/>
        <v>0</v>
      </c>
      <c r="I244" s="2" t="b">
        <f t="shared" ca="1" si="51"/>
        <v>1</v>
      </c>
      <c r="J244" s="3"/>
      <c r="K244" s="3">
        <v>0</v>
      </c>
      <c r="L244" s="3">
        <v>0</v>
      </c>
      <c r="M244" s="3">
        <v>0</v>
      </c>
      <c r="N244" s="3">
        <v>0</v>
      </c>
      <c r="O244" s="2" t="b">
        <f ca="1">J144</f>
        <v>0</v>
      </c>
      <c r="P244" s="2" t="b">
        <f ca="1">K144</f>
        <v>0</v>
      </c>
      <c r="Q244" s="2" t="b">
        <f ca="1">L144</f>
        <v>0</v>
      </c>
      <c r="R244" s="2" t="b">
        <f ca="1">M144</f>
        <v>1</v>
      </c>
      <c r="S244" s="3"/>
      <c r="T244" s="2">
        <f t="shared" ref="T244:AE244" ca="1" si="52">S42</f>
        <v>0</v>
      </c>
      <c r="U244" s="2">
        <f t="shared" ca="1" si="52"/>
        <v>0</v>
      </c>
      <c r="V244" s="2">
        <f t="shared" ca="1" si="52"/>
        <v>0</v>
      </c>
      <c r="W244" s="2">
        <f t="shared" ca="1" si="52"/>
        <v>0</v>
      </c>
      <c r="X244" s="2">
        <f t="shared" ca="1" si="52"/>
        <v>0</v>
      </c>
      <c r="Y244" s="2">
        <f t="shared" ca="1" si="52"/>
        <v>0</v>
      </c>
      <c r="Z244" s="2">
        <f t="shared" ca="1" si="52"/>
        <v>0</v>
      </c>
      <c r="AA244" s="2">
        <f t="shared" ca="1" si="52"/>
        <v>0</v>
      </c>
      <c r="AB244" s="2">
        <f t="shared" ca="1" si="52"/>
        <v>0</v>
      </c>
      <c r="AC244" s="2">
        <f t="shared" ca="1" si="52"/>
        <v>0</v>
      </c>
      <c r="AD244" s="2">
        <f t="shared" ca="1" si="52"/>
        <v>0</v>
      </c>
      <c r="AE244" s="2">
        <f t="shared" ca="1" si="52"/>
        <v>0</v>
      </c>
      <c r="AF244" s="3"/>
      <c r="AG244" s="2">
        <f ca="1">Z84</f>
        <v>0</v>
      </c>
      <c r="AH244" s="2">
        <f ca="1">AA84</f>
        <v>0</v>
      </c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  <c r="FS244" s="28"/>
      <c r="FT244" s="28"/>
      <c r="FU244" s="28"/>
      <c r="FV244" s="28"/>
      <c r="FW244" s="28"/>
      <c r="FX244" s="28"/>
      <c r="FY244" s="28"/>
      <c r="FZ244" s="28"/>
      <c r="GA244" s="28"/>
      <c r="GB244" s="28"/>
      <c r="GC244" s="28"/>
      <c r="GD244" s="28"/>
      <c r="GE244" s="28"/>
      <c r="GF244" s="28"/>
      <c r="GG244" s="28"/>
      <c r="GH244" s="28"/>
      <c r="GI244" s="28"/>
      <c r="GJ244" s="28"/>
      <c r="GK244" s="28"/>
      <c r="GL244" s="28"/>
      <c r="GM244" s="28"/>
      <c r="GN244" s="28"/>
      <c r="GO244" s="28"/>
      <c r="GP244" s="28"/>
      <c r="GQ244" s="28"/>
      <c r="GR244" s="28"/>
      <c r="GS244" s="28"/>
      <c r="GT244" s="28"/>
      <c r="GU244" s="28"/>
      <c r="GV244" s="28"/>
      <c r="GW244" s="28"/>
      <c r="GX244" s="28"/>
      <c r="GY244" s="28"/>
      <c r="GZ244" s="28"/>
      <c r="HA244" s="28"/>
      <c r="HB244" s="28"/>
      <c r="HC244" s="28"/>
      <c r="HD244" s="28"/>
      <c r="HE244" s="28"/>
      <c r="HF244" s="28"/>
      <c r="HG244" s="28"/>
      <c r="HH244" s="28"/>
      <c r="HI244" s="28"/>
      <c r="HJ244" s="28"/>
      <c r="HK244" s="28"/>
      <c r="HL244" s="28"/>
      <c r="HM244" s="28"/>
      <c r="HN244" s="28"/>
      <c r="HO244" s="28"/>
      <c r="HP244" s="28"/>
      <c r="HQ244" s="28"/>
      <c r="HR244" s="28"/>
      <c r="HS244" s="28"/>
      <c r="HT244" s="28"/>
      <c r="HU244" s="28"/>
      <c r="HV244" s="28"/>
      <c r="HW244" s="28"/>
      <c r="HX244" s="28"/>
      <c r="HY244" s="28"/>
      <c r="HZ244" s="28"/>
      <c r="IA244" s="28"/>
      <c r="IB244" s="28"/>
    </row>
    <row r="245" spans="2:253" ht="1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50">
        <f ca="1">(AG244*2)+(AH244*1)+1</f>
        <v>1</v>
      </c>
      <c r="AH245" s="50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  <c r="FS245" s="28"/>
      <c r="FT245" s="28"/>
      <c r="FU245" s="28"/>
      <c r="FV245" s="28"/>
      <c r="FW245" s="28"/>
      <c r="FX245" s="28"/>
      <c r="FY245" s="28"/>
      <c r="FZ245" s="28"/>
      <c r="GA245" s="28"/>
      <c r="GB245" s="28"/>
      <c r="GC245" s="28"/>
      <c r="GD245" s="28"/>
      <c r="GE245" s="28"/>
      <c r="GF245" s="28"/>
      <c r="GG245" s="28"/>
      <c r="GH245" s="28"/>
      <c r="GI245" s="28"/>
      <c r="GJ245" s="28"/>
      <c r="GK245" s="28"/>
      <c r="GL245" s="28"/>
      <c r="GM245" s="28"/>
      <c r="GN245" s="28"/>
      <c r="GO245" s="28"/>
      <c r="GP245" s="28"/>
      <c r="GQ245" s="28"/>
      <c r="GR245" s="28"/>
      <c r="GS245" s="28"/>
      <c r="GT245" s="28"/>
      <c r="GU245" s="28"/>
      <c r="GV245" s="28"/>
      <c r="GW245" s="28"/>
      <c r="GX245" s="28"/>
      <c r="GY245" s="28"/>
      <c r="GZ245" s="28"/>
      <c r="HA245" s="28"/>
      <c r="HB245" s="28"/>
      <c r="HC245" s="28"/>
      <c r="HD245" s="28"/>
      <c r="HE245" s="28"/>
      <c r="HF245" s="28"/>
      <c r="HG245" s="28"/>
      <c r="HH245" s="28"/>
      <c r="HI245" s="28"/>
      <c r="HJ245" s="28"/>
      <c r="HK245" s="28"/>
      <c r="HL245" s="28"/>
      <c r="HM245" s="28"/>
      <c r="HN245" s="28"/>
      <c r="HO245" s="28"/>
      <c r="HP245" s="28"/>
      <c r="HQ245" s="28"/>
      <c r="HR245" s="28"/>
      <c r="HS245" s="28"/>
      <c r="HT245" s="28"/>
      <c r="HU245" s="28"/>
      <c r="HV245" s="28"/>
      <c r="HW245" s="28"/>
      <c r="HX245" s="28"/>
      <c r="HY245" s="28"/>
      <c r="HZ245" s="28"/>
      <c r="IA245" s="28"/>
      <c r="IB245" s="28"/>
    </row>
    <row r="246" spans="2:253" ht="1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  <c r="FS246" s="28"/>
      <c r="FT246" s="28"/>
      <c r="FU246" s="28"/>
      <c r="FV246" s="28"/>
      <c r="FW246" s="28"/>
      <c r="FX246" s="28"/>
      <c r="FY246" s="28"/>
      <c r="FZ246" s="28"/>
      <c r="GA246" s="28"/>
      <c r="GB246" s="28"/>
      <c r="GC246" s="28"/>
      <c r="GD246" s="28"/>
      <c r="GE246" s="28"/>
      <c r="GF246" s="28"/>
      <c r="GG246" s="28"/>
      <c r="GH246" s="28"/>
      <c r="GI246" s="28"/>
      <c r="GJ246" s="28"/>
      <c r="GK246" s="28"/>
      <c r="GL246" s="28"/>
      <c r="GM246" s="28"/>
      <c r="GN246" s="28"/>
      <c r="GO246" s="28"/>
      <c r="GP246" s="28"/>
      <c r="GQ246" s="28"/>
      <c r="GR246" s="28"/>
      <c r="GS246" s="28"/>
      <c r="GT246" s="28"/>
      <c r="GU246" s="28"/>
      <c r="GV246" s="28"/>
      <c r="GW246" s="28"/>
      <c r="GX246" s="28"/>
      <c r="GY246" s="28"/>
      <c r="GZ246" s="28"/>
      <c r="HA246" s="28"/>
      <c r="HB246" s="28"/>
      <c r="HC246" s="28"/>
      <c r="HD246" s="28"/>
      <c r="HE246" s="28"/>
      <c r="HF246" s="28"/>
      <c r="HG246" s="28"/>
      <c r="HH246" s="28"/>
      <c r="HI246" s="28"/>
      <c r="HJ246" s="28"/>
      <c r="HK246" s="28"/>
      <c r="HL246" s="28"/>
      <c r="HM246" s="28"/>
      <c r="HN246" s="28"/>
      <c r="HO246" s="28"/>
      <c r="HP246" s="28"/>
      <c r="HQ246" s="28"/>
      <c r="HR246" s="28"/>
      <c r="HS246" s="28"/>
      <c r="HT246" s="28"/>
      <c r="HU246" s="28"/>
      <c r="HV246" s="28"/>
      <c r="HW246" s="28"/>
      <c r="HX246" s="28"/>
      <c r="HY246" s="28"/>
      <c r="HZ246" s="28"/>
      <c r="IA246" s="28"/>
      <c r="IB246" s="28"/>
    </row>
    <row r="247" spans="2:253" ht="1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8" t="s">
        <v>104</v>
      </c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  <c r="FS247" s="28"/>
      <c r="FT247" s="28"/>
      <c r="FU247" s="28"/>
      <c r="FV247" s="28"/>
      <c r="FW247" s="28"/>
      <c r="FX247" s="28"/>
      <c r="FY247" s="28"/>
      <c r="FZ247" s="28"/>
      <c r="GA247" s="28"/>
      <c r="GB247" s="28"/>
      <c r="GC247" s="28"/>
      <c r="GD247" s="28"/>
      <c r="GE247" s="28"/>
      <c r="GF247" s="28"/>
      <c r="GG247" s="28"/>
      <c r="GH247" s="28"/>
      <c r="GI247" s="28"/>
      <c r="GJ247" s="28"/>
      <c r="GK247" s="28"/>
      <c r="GL247" s="28"/>
      <c r="GM247" s="28"/>
      <c r="GN247" s="28"/>
      <c r="GO247" s="28"/>
      <c r="GP247" s="28"/>
      <c r="GQ247" s="28"/>
      <c r="GR247" s="28"/>
      <c r="GS247" s="28"/>
      <c r="GT247" s="28"/>
      <c r="GU247" s="28"/>
      <c r="GV247" s="28"/>
      <c r="GW247" s="28"/>
      <c r="GX247" s="28"/>
      <c r="GY247" s="28"/>
      <c r="GZ247" s="28"/>
      <c r="HA247" s="28"/>
      <c r="HB247" s="28"/>
      <c r="HC247" s="28"/>
      <c r="HD247" s="28"/>
      <c r="HE247" s="28"/>
      <c r="HF247" s="28"/>
      <c r="HG247" s="28"/>
      <c r="HH247" s="28"/>
      <c r="HI247" s="28"/>
      <c r="HJ247" s="28"/>
      <c r="HK247" s="28"/>
      <c r="HL247" s="28"/>
      <c r="HM247" s="28"/>
      <c r="HN247" s="28"/>
      <c r="HO247" s="28"/>
      <c r="HP247" s="28"/>
      <c r="HQ247" s="28"/>
      <c r="HR247" s="28"/>
      <c r="HS247" s="28"/>
      <c r="HT247" s="28"/>
      <c r="HU247" s="28"/>
      <c r="HV247" s="28"/>
      <c r="HW247" s="28"/>
      <c r="HX247" s="28"/>
      <c r="HY247" s="28"/>
      <c r="HZ247" s="28"/>
      <c r="IA247" s="28"/>
      <c r="IB247" s="28"/>
    </row>
    <row r="248" spans="2:253" ht="1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19">
        <f ca="1">CHOOSE($AG$245,0,0,O244,T244)</f>
        <v>0</v>
      </c>
      <c r="M248" s="19">
        <f ca="1">CHOOSE($AG$245,0,0,P244,U244)</f>
        <v>0</v>
      </c>
      <c r="N248" s="19">
        <f ca="1">CHOOSE($AG$245,0,0,Q244,V244)</f>
        <v>0</v>
      </c>
      <c r="O248" s="19">
        <f ca="1">CHOOSE($AG$245,0,0,R244,W244)</f>
        <v>0</v>
      </c>
      <c r="P248" s="19">
        <f t="shared" ref="P248:W248" ca="1" si="53">CHOOSE($AG$245,0,B244,0,X244)</f>
        <v>0</v>
      </c>
      <c r="Q248" s="19">
        <f t="shared" ca="1" si="53"/>
        <v>0</v>
      </c>
      <c r="R248" s="19">
        <f t="shared" ca="1" si="53"/>
        <v>0</v>
      </c>
      <c r="S248" s="19">
        <f t="shared" ca="1" si="53"/>
        <v>0</v>
      </c>
      <c r="T248" s="19">
        <f t="shared" ca="1" si="53"/>
        <v>0</v>
      </c>
      <c r="U248" s="19">
        <f t="shared" ca="1" si="53"/>
        <v>0</v>
      </c>
      <c r="V248" s="19">
        <f t="shared" ca="1" si="53"/>
        <v>0</v>
      </c>
      <c r="W248" s="19">
        <f t="shared" ca="1" si="53"/>
        <v>0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  <c r="FS248" s="28"/>
      <c r="FT248" s="28"/>
      <c r="FU248" s="28"/>
      <c r="FV248" s="28"/>
      <c r="FW248" s="28"/>
      <c r="FX248" s="28"/>
      <c r="FY248" s="28"/>
      <c r="FZ248" s="28"/>
      <c r="GA248" s="28"/>
      <c r="GB248" s="28"/>
      <c r="GC248" s="28"/>
      <c r="GD248" s="28"/>
      <c r="GE248" s="28"/>
      <c r="GF248" s="28"/>
      <c r="GG248" s="28"/>
      <c r="GH248" s="28"/>
      <c r="GI248" s="28"/>
      <c r="GJ248" s="28"/>
      <c r="GK248" s="28"/>
      <c r="GL248" s="28"/>
      <c r="GM248" s="28"/>
      <c r="GN248" s="28"/>
      <c r="GO248" s="28"/>
      <c r="GP248" s="28"/>
      <c r="GQ248" s="28"/>
      <c r="GR248" s="28"/>
      <c r="GS248" s="28"/>
      <c r="GT248" s="28"/>
      <c r="GU248" s="28"/>
      <c r="GV248" s="28"/>
      <c r="GW248" s="28"/>
      <c r="GX248" s="28"/>
      <c r="GY248" s="28"/>
      <c r="GZ248" s="28"/>
      <c r="HA248" s="28"/>
      <c r="HB248" s="28"/>
      <c r="HC248" s="28"/>
      <c r="HD248" s="28"/>
      <c r="HE248" s="28"/>
      <c r="HF248" s="28"/>
      <c r="HG248" s="28"/>
      <c r="HH248" s="28"/>
      <c r="HI248" s="28"/>
      <c r="HJ248" s="28"/>
      <c r="HK248" s="28"/>
      <c r="HL248" s="28"/>
      <c r="HM248" s="28"/>
      <c r="HN248" s="28"/>
      <c r="HO248" s="28"/>
      <c r="HP248" s="28"/>
      <c r="HQ248" s="28"/>
      <c r="HR248" s="28"/>
      <c r="HS248" s="28"/>
      <c r="HT248" s="28"/>
      <c r="HU248" s="28"/>
      <c r="HV248" s="28"/>
      <c r="HW248" s="28"/>
      <c r="HX248" s="28"/>
      <c r="HY248" s="28"/>
      <c r="HZ248" s="28"/>
      <c r="IA248" s="28"/>
      <c r="IB248" s="28"/>
    </row>
    <row r="249" spans="2:253" ht="15" customHeight="1" x14ac:dyDescent="0.25"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  <c r="FS249" s="28"/>
      <c r="FT249" s="28"/>
      <c r="FU249" s="28"/>
      <c r="FV249" s="28"/>
      <c r="FW249" s="28"/>
      <c r="FX249" s="28"/>
      <c r="FY249" s="28"/>
      <c r="FZ249" s="28"/>
      <c r="GA249" s="28"/>
      <c r="GB249" s="28"/>
      <c r="GC249" s="28"/>
      <c r="GD249" s="28"/>
      <c r="GE249" s="28"/>
      <c r="GF249" s="28"/>
      <c r="GG249" s="28"/>
      <c r="GH249" s="28"/>
      <c r="GI249" s="28"/>
      <c r="GJ249" s="28"/>
      <c r="GK249" s="28"/>
      <c r="GL249" s="28"/>
      <c r="GM249" s="28"/>
      <c r="GN249" s="28"/>
      <c r="GO249" s="28"/>
      <c r="GP249" s="28"/>
      <c r="GQ249" s="28"/>
      <c r="GR249" s="28"/>
      <c r="GS249" s="28"/>
      <c r="GT249" s="28"/>
      <c r="GU249" s="28"/>
      <c r="GV249" s="28"/>
      <c r="GW249" s="28"/>
      <c r="GX249" s="28"/>
      <c r="GY249" s="28"/>
      <c r="GZ249" s="28"/>
      <c r="HA249" s="28"/>
      <c r="HB249" s="28"/>
      <c r="HC249" s="28"/>
      <c r="HD249" s="28"/>
      <c r="HE249" s="28"/>
      <c r="HF249" s="28"/>
      <c r="HG249" s="28"/>
      <c r="HH249" s="28"/>
      <c r="HI249" s="28"/>
      <c r="HJ249" s="28"/>
      <c r="HK249" s="28"/>
      <c r="HL249" s="28"/>
      <c r="HM249" s="28"/>
      <c r="HN249" s="28"/>
      <c r="HO249" s="28"/>
      <c r="HP249" s="28"/>
      <c r="HQ249" s="28"/>
      <c r="HR249" s="28"/>
      <c r="HS249" s="28"/>
      <c r="HT249" s="28"/>
      <c r="HU249" s="28"/>
      <c r="HV249" s="28"/>
      <c r="HW249" s="28"/>
      <c r="HX249" s="28"/>
      <c r="HY249" s="28"/>
      <c r="HZ249" s="28"/>
      <c r="IA249" s="28"/>
      <c r="IB249" s="28"/>
      <c r="IC249" s="28"/>
      <c r="ID249" s="28"/>
      <c r="IE249" s="28"/>
      <c r="IF249" s="28"/>
      <c r="IG249" s="28"/>
      <c r="IH249" s="28"/>
      <c r="II249" s="28"/>
      <c r="IJ249" s="28"/>
      <c r="IK249" s="28"/>
      <c r="IL249" s="28"/>
      <c r="IM249" s="28"/>
      <c r="IN249" s="28"/>
      <c r="IO249" s="28"/>
      <c r="IP249" s="28"/>
      <c r="IQ249" s="28"/>
      <c r="IR249" s="28"/>
      <c r="IS249" s="28"/>
    </row>
    <row r="250" spans="2:253" ht="15" customHeight="1" x14ac:dyDescent="0.25"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  <c r="FS250" s="28"/>
      <c r="FT250" s="28"/>
      <c r="FU250" s="28"/>
      <c r="FV250" s="28"/>
      <c r="FW250" s="28"/>
      <c r="FX250" s="28"/>
      <c r="FY250" s="28"/>
      <c r="FZ250" s="28"/>
      <c r="GA250" s="28"/>
      <c r="GB250" s="28"/>
      <c r="GC250" s="28"/>
      <c r="GD250" s="28"/>
      <c r="GE250" s="28"/>
      <c r="GF250" s="28"/>
      <c r="GG250" s="28"/>
      <c r="GH250" s="28"/>
      <c r="GI250" s="28"/>
      <c r="GJ250" s="28"/>
      <c r="GK250" s="28"/>
      <c r="GL250" s="28"/>
      <c r="GM250" s="28"/>
      <c r="GN250" s="28"/>
      <c r="GO250" s="28"/>
      <c r="GP250" s="28"/>
      <c r="GQ250" s="28"/>
      <c r="GR250" s="28"/>
      <c r="GS250" s="28"/>
      <c r="GT250" s="28"/>
      <c r="GU250" s="28"/>
      <c r="GV250" s="28"/>
      <c r="GW250" s="28"/>
      <c r="GX250" s="28"/>
      <c r="GY250" s="28"/>
      <c r="GZ250" s="28"/>
      <c r="HA250" s="28"/>
      <c r="HB250" s="28"/>
      <c r="HC250" s="28"/>
      <c r="HD250" s="28"/>
      <c r="HE250" s="28"/>
      <c r="HF250" s="28"/>
      <c r="HG250" s="28"/>
      <c r="HH250" s="28"/>
      <c r="HI250" s="28"/>
      <c r="HJ250" s="28"/>
      <c r="HK250" s="28"/>
      <c r="HL250" s="28"/>
      <c r="HM250" s="28"/>
      <c r="HN250" s="28"/>
      <c r="HO250" s="28"/>
      <c r="HP250" s="28"/>
      <c r="HQ250" s="28"/>
      <c r="HR250" s="28"/>
      <c r="HS250" s="28"/>
      <c r="HT250" s="28"/>
      <c r="HU250" s="28"/>
      <c r="HV250" s="28"/>
      <c r="HW250" s="28"/>
      <c r="HX250" s="28"/>
      <c r="HY250" s="28"/>
      <c r="HZ250" s="28"/>
      <c r="IA250" s="28"/>
      <c r="IB250" s="28"/>
      <c r="IC250" s="28"/>
      <c r="ID250" s="28"/>
      <c r="IE250" s="28"/>
      <c r="IF250" s="28"/>
      <c r="IG250" s="28"/>
      <c r="IH250" s="28"/>
      <c r="II250" s="28"/>
      <c r="IJ250" s="28"/>
      <c r="IK250" s="28"/>
      <c r="IL250" s="28"/>
      <c r="IM250" s="28"/>
      <c r="IN250" s="28"/>
      <c r="IO250" s="28"/>
      <c r="IP250" s="28"/>
      <c r="IQ250" s="28"/>
      <c r="IR250" s="28"/>
      <c r="IS250" s="28"/>
    </row>
    <row r="251" spans="2:253" ht="15" customHeight="1" x14ac:dyDescent="0.25">
      <c r="B251" s="49" t="s">
        <v>236</v>
      </c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  <c r="FS251" s="28"/>
      <c r="FT251" s="28"/>
      <c r="FU251" s="28"/>
      <c r="FV251" s="28"/>
      <c r="FW251" s="28"/>
      <c r="FX251" s="28"/>
      <c r="FY251" s="28"/>
      <c r="FZ251" s="28"/>
      <c r="GA251" s="28"/>
      <c r="GB251" s="28"/>
      <c r="GC251" s="28"/>
      <c r="GD251" s="28"/>
      <c r="GE251" s="28"/>
      <c r="GF251" s="28"/>
      <c r="GG251" s="28"/>
      <c r="GH251" s="28"/>
      <c r="GI251" s="28"/>
      <c r="GJ251" s="28"/>
      <c r="GK251" s="28"/>
      <c r="GL251" s="28"/>
      <c r="GM251" s="28"/>
      <c r="GN251" s="28"/>
      <c r="GO251" s="28"/>
      <c r="GP251" s="28"/>
      <c r="GQ251" s="28"/>
      <c r="GR251" s="28"/>
      <c r="GS251" s="28"/>
      <c r="GT251" s="28"/>
      <c r="GU251" s="28"/>
      <c r="GV251" s="28"/>
      <c r="GW251" s="28"/>
      <c r="GX251" s="28"/>
      <c r="GY251" s="28"/>
      <c r="GZ251" s="28"/>
      <c r="HA251" s="28"/>
      <c r="HB251" s="28"/>
      <c r="HC251" s="28"/>
      <c r="HD251" s="28"/>
      <c r="HE251" s="28"/>
      <c r="HF251" s="28"/>
      <c r="HG251" s="28"/>
      <c r="HH251" s="28"/>
      <c r="HI251" s="28"/>
      <c r="HJ251" s="28"/>
      <c r="HK251" s="28"/>
      <c r="HL251" s="28"/>
      <c r="HM251" s="28"/>
      <c r="HN251" s="28"/>
      <c r="HO251" s="28"/>
      <c r="HP251" s="28"/>
      <c r="HQ251" s="28"/>
      <c r="HR251" s="28"/>
      <c r="HS251" s="28"/>
      <c r="HT251" s="28"/>
      <c r="HU251" s="28"/>
      <c r="HV251" s="28"/>
      <c r="HW251" s="28"/>
      <c r="HX251" s="28"/>
      <c r="HY251" s="28"/>
      <c r="HZ251" s="28"/>
      <c r="IA251" s="28"/>
      <c r="IB251" s="28"/>
      <c r="IC251" s="28"/>
      <c r="ID251" s="28"/>
      <c r="IE251" s="28"/>
      <c r="IF251" s="28"/>
      <c r="IG251" s="28"/>
      <c r="IH251" s="28"/>
      <c r="II251" s="28"/>
      <c r="IJ251" s="28"/>
      <c r="IK251" s="28"/>
      <c r="IL251" s="28"/>
      <c r="IM251" s="28"/>
      <c r="IN251" s="28"/>
      <c r="IO251" s="28"/>
      <c r="IP251" s="28"/>
      <c r="IQ251" s="28"/>
      <c r="IR251" s="28"/>
      <c r="IS251" s="28"/>
    </row>
    <row r="252" spans="2:253" ht="15" customHeight="1" x14ac:dyDescent="0.25"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  <c r="FS252" s="28"/>
      <c r="FT252" s="28"/>
      <c r="FU252" s="28"/>
      <c r="FV252" s="28"/>
      <c r="FW252" s="28"/>
      <c r="FX252" s="28"/>
      <c r="FY252" s="28"/>
      <c r="FZ252" s="28"/>
      <c r="GA252" s="28"/>
      <c r="GB252" s="28"/>
      <c r="GC252" s="28"/>
      <c r="GD252" s="28"/>
      <c r="GE252" s="28"/>
      <c r="GF252" s="28"/>
      <c r="GG252" s="28"/>
      <c r="GH252" s="28"/>
      <c r="GI252" s="28"/>
      <c r="GJ252" s="28"/>
      <c r="GK252" s="28"/>
      <c r="GL252" s="28"/>
      <c r="GM252" s="28"/>
      <c r="GN252" s="28"/>
      <c r="GO252" s="28"/>
      <c r="GP252" s="28"/>
      <c r="GQ252" s="28"/>
      <c r="GR252" s="28"/>
      <c r="GS252" s="28"/>
      <c r="GT252" s="28"/>
      <c r="GU252" s="28"/>
      <c r="GV252" s="28"/>
      <c r="GW252" s="28"/>
      <c r="GX252" s="28"/>
      <c r="GY252" s="28"/>
      <c r="GZ252" s="28"/>
      <c r="HA252" s="28"/>
      <c r="HB252" s="28"/>
      <c r="HC252" s="28"/>
      <c r="HD252" s="28"/>
      <c r="HE252" s="28"/>
      <c r="HF252" s="28"/>
      <c r="HG252" s="28"/>
      <c r="HH252" s="28"/>
      <c r="HI252" s="28"/>
      <c r="HJ252" s="28"/>
      <c r="HK252" s="28"/>
      <c r="HL252" s="28"/>
      <c r="HM252" s="28"/>
      <c r="HN252" s="28"/>
      <c r="HO252" s="28"/>
      <c r="HP252" s="28"/>
      <c r="HQ252" s="28"/>
      <c r="HR252" s="28"/>
      <c r="HS252" s="28"/>
      <c r="HT252" s="28"/>
      <c r="HU252" s="28"/>
      <c r="HV252" s="28"/>
      <c r="HW252" s="28"/>
      <c r="HX252" s="28"/>
      <c r="HY252" s="28"/>
      <c r="HZ252" s="28"/>
      <c r="IA252" s="28"/>
      <c r="IB252" s="28"/>
      <c r="IC252" s="28"/>
      <c r="ID252" s="28"/>
      <c r="IE252" s="28"/>
      <c r="IF252" s="28"/>
      <c r="IG252" s="28"/>
      <c r="IH252" s="28"/>
      <c r="II252" s="28"/>
      <c r="IJ252" s="28"/>
      <c r="IK252" s="28"/>
      <c r="IL252" s="28"/>
      <c r="IM252" s="28"/>
      <c r="IN252" s="28"/>
      <c r="IO252" s="28"/>
      <c r="IP252" s="28"/>
      <c r="IQ252" s="28"/>
      <c r="IR252" s="28"/>
      <c r="IS252" s="28"/>
    </row>
    <row r="253" spans="2:253" ht="15" customHeight="1" x14ac:dyDescent="0.25">
      <c r="B253" s="2" t="s">
        <v>23</v>
      </c>
      <c r="C253" s="3"/>
      <c r="D253" s="2" t="s">
        <v>22</v>
      </c>
      <c r="E253" s="3"/>
      <c r="F253" s="2" t="s">
        <v>255</v>
      </c>
      <c r="G253" s="3"/>
      <c r="H253" s="2" t="s">
        <v>18</v>
      </c>
      <c r="I253" s="3"/>
      <c r="J253" s="2" t="s">
        <v>287</v>
      </c>
      <c r="K253" s="3"/>
      <c r="L253" s="47" t="s">
        <v>258</v>
      </c>
      <c r="M253" s="47"/>
      <c r="N253" s="47"/>
      <c r="O253" s="47"/>
      <c r="P253" s="47"/>
      <c r="Q253" s="47"/>
      <c r="R253" s="47"/>
      <c r="S253" s="47"/>
      <c r="T253" s="3"/>
      <c r="U253" s="47" t="s">
        <v>259</v>
      </c>
      <c r="V253" s="47"/>
      <c r="W253" s="3"/>
      <c r="X253" s="47" t="s">
        <v>263</v>
      </c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  <c r="FS253" s="28"/>
      <c r="FT253" s="28"/>
      <c r="FU253" s="28"/>
      <c r="FV253" s="28"/>
      <c r="FW253" s="28"/>
      <c r="FX253" s="28"/>
      <c r="FY253" s="28"/>
      <c r="FZ253" s="28"/>
      <c r="GA253" s="28"/>
      <c r="GB253" s="28"/>
      <c r="GC253" s="28"/>
      <c r="GD253" s="28"/>
      <c r="GE253" s="28"/>
      <c r="GF253" s="28"/>
      <c r="GG253" s="28"/>
      <c r="GH253" s="28"/>
      <c r="GI253" s="28"/>
      <c r="GJ253" s="28"/>
      <c r="GK253" s="28"/>
      <c r="GL253" s="28"/>
      <c r="GM253" s="28"/>
      <c r="GN253" s="28"/>
      <c r="GO253" s="28"/>
      <c r="GP253" s="28"/>
      <c r="GQ253" s="28"/>
      <c r="GR253" s="28"/>
      <c r="GS253" s="28"/>
      <c r="GT253" s="28"/>
      <c r="GU253" s="28"/>
      <c r="GV253" s="28"/>
      <c r="GW253" s="28"/>
      <c r="GX253" s="28"/>
      <c r="GY253" s="28"/>
      <c r="GZ253" s="28"/>
      <c r="HA253" s="28"/>
      <c r="HB253" s="28"/>
      <c r="HC253" s="28"/>
      <c r="HD253" s="28"/>
      <c r="HE253" s="28"/>
      <c r="HF253" s="28"/>
      <c r="HG253" s="28"/>
      <c r="HH253" s="28"/>
      <c r="HI253" s="28"/>
      <c r="HJ253" s="28"/>
      <c r="HK253" s="28"/>
      <c r="HL253" s="28"/>
      <c r="HM253" s="28"/>
      <c r="HN253" s="28"/>
      <c r="HO253" s="28"/>
      <c r="HP253" s="28"/>
      <c r="HQ253" s="28"/>
      <c r="HR253" s="28"/>
      <c r="HS253" s="28"/>
      <c r="HT253" s="28"/>
      <c r="HU253" s="28"/>
      <c r="HV253" s="28"/>
      <c r="HW253" s="28"/>
      <c r="HX253" s="28"/>
      <c r="HY253" s="28"/>
      <c r="HZ253" s="28"/>
      <c r="IA253" s="28"/>
      <c r="IB253" s="28"/>
      <c r="IC253" s="28"/>
      <c r="ID253" s="28"/>
      <c r="IE253" s="28"/>
      <c r="IF253" s="28"/>
      <c r="IG253" s="28"/>
      <c r="IH253" s="28"/>
      <c r="II253" s="28"/>
      <c r="IJ253" s="28"/>
      <c r="IK253" s="28"/>
      <c r="IL253" s="28"/>
      <c r="IM253" s="28"/>
      <c r="IN253" s="28"/>
      <c r="IO253" s="28"/>
      <c r="IP253" s="28"/>
      <c r="IQ253" s="28"/>
      <c r="IR253" s="28"/>
      <c r="IS253" s="28"/>
    </row>
    <row r="254" spans="2:253" ht="15" customHeight="1" x14ac:dyDescent="0.25">
      <c r="B254" s="2">
        <f>L2</f>
        <v>0</v>
      </c>
      <c r="C254" s="3"/>
      <c r="D254" s="2">
        <v>1</v>
      </c>
      <c r="E254" s="3"/>
      <c r="F254" s="2" t="b">
        <f>H2</f>
        <v>1</v>
      </c>
      <c r="G254" s="3"/>
      <c r="H254" s="2">
        <f ca="1">C84</f>
        <v>1</v>
      </c>
      <c r="I254" s="3"/>
      <c r="J254" s="2">
        <f>Y82</f>
        <v>0</v>
      </c>
      <c r="K254" s="3"/>
      <c r="L254" s="2">
        <f t="shared" ref="L254:S254" si="54">J31</f>
        <v>1</v>
      </c>
      <c r="M254" s="2">
        <f t="shared" si="54"/>
        <v>1</v>
      </c>
      <c r="N254" s="2">
        <f t="shared" si="54"/>
        <v>1</v>
      </c>
      <c r="O254" s="2">
        <f t="shared" si="54"/>
        <v>1</v>
      </c>
      <c r="P254" s="2">
        <f t="shared" si="54"/>
        <v>1</v>
      </c>
      <c r="Q254" s="2">
        <f t="shared" si="54"/>
        <v>1</v>
      </c>
      <c r="R254" s="2">
        <f t="shared" si="54"/>
        <v>1</v>
      </c>
      <c r="S254" s="2">
        <f t="shared" si="54"/>
        <v>1</v>
      </c>
      <c r="T254" s="3"/>
      <c r="U254" s="2">
        <f ca="1">Z84</f>
        <v>0</v>
      </c>
      <c r="V254" s="2">
        <f ca="1">AA84</f>
        <v>0</v>
      </c>
      <c r="W254" s="3"/>
      <c r="X254" s="2">
        <f t="shared" ref="X254:AI254" ca="1" si="55">L248</f>
        <v>0</v>
      </c>
      <c r="Y254" s="2">
        <f t="shared" ca="1" si="55"/>
        <v>0</v>
      </c>
      <c r="Z254" s="2">
        <f t="shared" ca="1" si="55"/>
        <v>0</v>
      </c>
      <c r="AA254" s="2">
        <f t="shared" ca="1" si="55"/>
        <v>0</v>
      </c>
      <c r="AB254" s="2">
        <f t="shared" ca="1" si="55"/>
        <v>0</v>
      </c>
      <c r="AC254" s="2">
        <f t="shared" ca="1" si="55"/>
        <v>0</v>
      </c>
      <c r="AD254" s="2">
        <f t="shared" ca="1" si="55"/>
        <v>0</v>
      </c>
      <c r="AE254" s="2">
        <f t="shared" ca="1" si="55"/>
        <v>0</v>
      </c>
      <c r="AF254" s="2">
        <f t="shared" ca="1" si="55"/>
        <v>0</v>
      </c>
      <c r="AG254" s="2">
        <f t="shared" ca="1" si="55"/>
        <v>0</v>
      </c>
      <c r="AH254" s="2">
        <f t="shared" ca="1" si="55"/>
        <v>0</v>
      </c>
      <c r="AI254" s="2">
        <f t="shared" ca="1" si="55"/>
        <v>0</v>
      </c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  <c r="FS254" s="28"/>
      <c r="FT254" s="28"/>
      <c r="FU254" s="28"/>
      <c r="FV254" s="28"/>
      <c r="FW254" s="28"/>
      <c r="FX254" s="28"/>
      <c r="FY254" s="28"/>
      <c r="FZ254" s="28"/>
      <c r="GA254" s="28"/>
      <c r="GB254" s="28"/>
      <c r="GC254" s="28"/>
      <c r="GD254" s="28"/>
      <c r="GE254" s="28"/>
      <c r="GF254" s="28"/>
      <c r="GG254" s="28"/>
      <c r="GH254" s="28"/>
      <c r="GI254" s="28"/>
      <c r="GJ254" s="28"/>
      <c r="GK254" s="28"/>
      <c r="GL254" s="28"/>
      <c r="GM254" s="28"/>
      <c r="GN254" s="28"/>
      <c r="GO254" s="28"/>
      <c r="GP254" s="28"/>
      <c r="GQ254" s="28"/>
      <c r="GR254" s="28"/>
      <c r="GS254" s="28"/>
      <c r="GT254" s="28"/>
      <c r="GU254" s="28"/>
      <c r="GV254" s="28"/>
      <c r="GW254" s="28"/>
      <c r="GX254" s="28"/>
      <c r="GY254" s="28"/>
      <c r="GZ254" s="28"/>
      <c r="HA254" s="28"/>
      <c r="HB254" s="28"/>
      <c r="HC254" s="28"/>
      <c r="HD254" s="28"/>
      <c r="HE254" s="28"/>
      <c r="HF254" s="28"/>
      <c r="HG254" s="28"/>
      <c r="HH254" s="28"/>
      <c r="HI254" s="28"/>
      <c r="HJ254" s="28"/>
      <c r="HK254" s="28"/>
      <c r="HL254" s="28"/>
      <c r="HM254" s="28"/>
      <c r="HN254" s="28"/>
      <c r="HO254" s="28"/>
      <c r="HP254" s="28"/>
      <c r="HQ254" s="28"/>
      <c r="HR254" s="28"/>
      <c r="HS254" s="28"/>
      <c r="HT254" s="28"/>
      <c r="HU254" s="28"/>
      <c r="HV254" s="28"/>
      <c r="HW254" s="28"/>
      <c r="HX254" s="28"/>
      <c r="HY254" s="28"/>
      <c r="HZ254" s="28"/>
      <c r="IA254" s="28"/>
      <c r="IB254" s="28"/>
      <c r="IC254" s="28"/>
      <c r="ID254" s="28"/>
      <c r="IE254" s="28"/>
      <c r="IF254" s="28"/>
      <c r="IG254" s="28"/>
      <c r="IH254" s="28"/>
      <c r="II254" s="28"/>
      <c r="IJ254" s="28"/>
      <c r="IK254" s="28"/>
      <c r="IL254" s="28"/>
      <c r="IM254" s="28"/>
      <c r="IN254" s="28"/>
      <c r="IO254" s="28"/>
      <c r="IP254" s="28"/>
      <c r="IQ254" s="28"/>
      <c r="IR254" s="28"/>
      <c r="IS254" s="28"/>
    </row>
    <row r="255" spans="2:253" ht="1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  <c r="FS255" s="28"/>
      <c r="FT255" s="28"/>
      <c r="FU255" s="28"/>
      <c r="FV255" s="28"/>
      <c r="FW255" s="28"/>
      <c r="FX255" s="28"/>
      <c r="FY255" s="28"/>
      <c r="FZ255" s="28"/>
      <c r="GA255" s="28"/>
      <c r="GB255" s="28"/>
      <c r="GC255" s="28"/>
      <c r="GD255" s="28"/>
      <c r="GE255" s="28"/>
      <c r="GF255" s="28"/>
      <c r="GG255" s="28"/>
      <c r="GH255" s="28"/>
      <c r="GI255" s="28"/>
      <c r="GJ255" s="28"/>
      <c r="GK255" s="28"/>
      <c r="GL255" s="28"/>
      <c r="GM255" s="28"/>
      <c r="GN255" s="28"/>
      <c r="GO255" s="28"/>
      <c r="GP255" s="28"/>
      <c r="GQ255" s="28"/>
      <c r="GR255" s="28"/>
      <c r="GS255" s="28"/>
      <c r="GT255" s="28"/>
      <c r="GU255" s="28"/>
      <c r="GV255" s="28"/>
      <c r="GW255" s="28"/>
      <c r="GX255" s="28"/>
      <c r="GY255" s="28"/>
      <c r="GZ255" s="28"/>
      <c r="HA255" s="28"/>
      <c r="HB255" s="28"/>
      <c r="HC255" s="28"/>
      <c r="HD255" s="28"/>
      <c r="HE255" s="28"/>
      <c r="HF255" s="28"/>
      <c r="HG255" s="28"/>
      <c r="HH255" s="28"/>
      <c r="HI255" s="28"/>
      <c r="HJ255" s="28"/>
      <c r="HK255" s="28"/>
      <c r="HL255" s="28"/>
      <c r="HM255" s="28"/>
      <c r="HN255" s="28"/>
      <c r="HO255" s="28"/>
      <c r="HP255" s="28"/>
      <c r="HQ255" s="28"/>
      <c r="HR255" s="28"/>
      <c r="HS255" s="28"/>
      <c r="HT255" s="28"/>
      <c r="HU255" s="28"/>
      <c r="HV255" s="28"/>
      <c r="HW255" s="28"/>
      <c r="HX255" s="28"/>
      <c r="HY255" s="28"/>
      <c r="HZ255" s="28"/>
      <c r="IA255" s="28"/>
      <c r="IB255" s="28"/>
      <c r="IC255" s="28"/>
      <c r="ID255" s="28"/>
      <c r="IE255" s="28"/>
      <c r="IF255" s="28"/>
      <c r="IG255" s="28"/>
      <c r="IH255" s="28"/>
      <c r="II255" s="28"/>
      <c r="IJ255" s="28"/>
      <c r="IK255" s="28"/>
      <c r="IL255" s="28"/>
      <c r="IM255" s="28"/>
      <c r="IN255" s="28"/>
      <c r="IO255" s="28"/>
      <c r="IP255" s="28"/>
      <c r="IQ255" s="28"/>
      <c r="IR255" s="28"/>
      <c r="IS255" s="28"/>
    </row>
    <row r="256" spans="2:253" ht="1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17" t="b">
        <f>IF($J$254,L254)</f>
        <v>0</v>
      </c>
      <c r="N256" s="17" t="b">
        <f>IF($J$254,L254)</f>
        <v>0</v>
      </c>
      <c r="O256" s="17" t="b">
        <f>IF($J$254,L254)</f>
        <v>0</v>
      </c>
      <c r="P256" s="17" t="b">
        <f>IF($J$254,L254)</f>
        <v>0</v>
      </c>
      <c r="Q256" s="17" t="b">
        <f t="shared" ref="Q256:S256" si="56">IF($J$254,L254)</f>
        <v>0</v>
      </c>
      <c r="R256" s="17" t="b">
        <f t="shared" si="56"/>
        <v>0</v>
      </c>
      <c r="S256" s="17" t="b">
        <f t="shared" si="56"/>
        <v>0</v>
      </c>
      <c r="T256" s="17" t="b">
        <f>IF($J$254,O254)</f>
        <v>0</v>
      </c>
      <c r="U256" s="17" t="b">
        <f>IF($J$254,P254)</f>
        <v>0</v>
      </c>
      <c r="V256" s="17" t="b">
        <f>IF($J$254,Q254)</f>
        <v>0</v>
      </c>
      <c r="W256" s="17" t="b">
        <f>IF($J$254,R254)</f>
        <v>0</v>
      </c>
      <c r="X256" s="17" t="b">
        <f>IF($J$254,S254)</f>
        <v>0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  <c r="FS256" s="28"/>
      <c r="FT256" s="28"/>
      <c r="FU256" s="28"/>
      <c r="FV256" s="28"/>
      <c r="FW256" s="28"/>
      <c r="FX256" s="28"/>
      <c r="FY256" s="28"/>
      <c r="FZ256" s="28"/>
      <c r="GA256" s="28"/>
      <c r="GB256" s="28"/>
      <c r="GC256" s="28"/>
      <c r="GD256" s="28"/>
      <c r="GE256" s="28"/>
      <c r="GF256" s="28"/>
      <c r="GG256" s="28"/>
      <c r="GH256" s="28"/>
      <c r="GI256" s="28"/>
      <c r="GJ256" s="28"/>
      <c r="GK256" s="28"/>
      <c r="GL256" s="28"/>
      <c r="GM256" s="28"/>
      <c r="GN256" s="28"/>
      <c r="GO256" s="28"/>
      <c r="GP256" s="28"/>
      <c r="GQ256" s="28"/>
      <c r="GR256" s="28"/>
      <c r="GS256" s="28"/>
      <c r="GT256" s="28"/>
      <c r="GU256" s="28"/>
      <c r="GV256" s="28"/>
      <c r="GW256" s="28"/>
      <c r="GX256" s="28"/>
      <c r="GY256" s="28"/>
      <c r="GZ256" s="28"/>
      <c r="HA256" s="28"/>
      <c r="HB256" s="28"/>
      <c r="HC256" s="28"/>
      <c r="HD256" s="28"/>
      <c r="HE256" s="28"/>
      <c r="HF256" s="28"/>
      <c r="HG256" s="28"/>
      <c r="HH256" s="28"/>
      <c r="HI256" s="28"/>
      <c r="HJ256" s="28"/>
      <c r="HK256" s="28"/>
      <c r="HL256" s="28"/>
      <c r="HM256" s="28"/>
      <c r="HN256" s="28"/>
      <c r="HO256" s="28"/>
      <c r="HP256" s="28"/>
      <c r="HQ256" s="28"/>
      <c r="HR256" s="28"/>
      <c r="HS256" s="28"/>
      <c r="HT256" s="28"/>
      <c r="HU256" s="28"/>
      <c r="HV256" s="28"/>
      <c r="HW256" s="28"/>
      <c r="HX256" s="28"/>
      <c r="HY256" s="28"/>
      <c r="HZ256" s="28"/>
      <c r="IA256" s="28"/>
      <c r="IB256" s="28"/>
      <c r="IC256" s="28"/>
      <c r="ID256" s="28"/>
      <c r="IE256" s="28"/>
      <c r="IF256" s="28"/>
      <c r="IG256" s="28"/>
      <c r="IH256" s="28"/>
      <c r="II256" s="28"/>
      <c r="IJ256" s="28"/>
      <c r="IK256" s="28"/>
      <c r="IL256" s="28"/>
      <c r="IM256" s="28"/>
      <c r="IN256" s="28"/>
      <c r="IO256" s="28"/>
      <c r="IP256" s="28"/>
      <c r="IQ256" s="28"/>
      <c r="IR256" s="28"/>
      <c r="IS256" s="28"/>
    </row>
    <row r="257" spans="2:253" ht="1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17" t="b">
        <f ca="1">X261+X256+H254&gt;=2</f>
        <v>0</v>
      </c>
      <c r="N257" s="17" t="b">
        <f ca="1">W261+W256+M257&gt;=2</f>
        <v>0</v>
      </c>
      <c r="O257" s="17" t="b">
        <f ca="1">V261+V256+N257&gt;=2</f>
        <v>0</v>
      </c>
      <c r="P257" s="17" t="b">
        <f ca="1">U261+U256+O257&gt;=2</f>
        <v>0</v>
      </c>
      <c r="Q257" s="17" t="b">
        <f ca="1">T261+T256+P257&gt;=2</f>
        <v>0</v>
      </c>
      <c r="R257" s="17" t="b">
        <f ca="1">S261+S256+Q257&gt;=2</f>
        <v>0</v>
      </c>
      <c r="S257" s="17" t="b">
        <f ca="1">R261+R256+R257&gt;=2</f>
        <v>0</v>
      </c>
      <c r="T257" s="17" t="b">
        <f ca="1">Q261+Q256+S257&gt;=2</f>
        <v>0</v>
      </c>
      <c r="U257" s="17" t="b">
        <f ca="1">P261+P256+T257&gt;=2</f>
        <v>0</v>
      </c>
      <c r="V257" s="17" t="b">
        <f ca="1">O261+O256+U257&gt;=2</f>
        <v>0</v>
      </c>
      <c r="W257" s="17" t="b">
        <f ca="1">N261+N256+V257&gt;=2</f>
        <v>0</v>
      </c>
      <c r="X257" s="17" t="b">
        <f ca="1">M261+M256+W257&gt;=2</f>
        <v>0</v>
      </c>
      <c r="Y257" s="53" t="s">
        <v>256</v>
      </c>
      <c r="Z257" s="53"/>
      <c r="AA257" s="53"/>
      <c r="AB257" s="3"/>
      <c r="AC257" s="3"/>
      <c r="AD257" s="3"/>
      <c r="AE257" s="3"/>
      <c r="AF257" s="3"/>
      <c r="AG257" s="3"/>
      <c r="AH257" s="3"/>
      <c r="AI257" s="3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  <c r="FS257" s="28"/>
      <c r="FT257" s="28"/>
      <c r="FU257" s="28"/>
      <c r="FV257" s="28"/>
      <c r="FW257" s="28"/>
      <c r="FX257" s="28"/>
      <c r="FY257" s="28"/>
      <c r="FZ257" s="28"/>
      <c r="GA257" s="28"/>
      <c r="GB257" s="28"/>
      <c r="GC257" s="28"/>
      <c r="GD257" s="28"/>
      <c r="GE257" s="28"/>
      <c r="GF257" s="28"/>
      <c r="GG257" s="28"/>
      <c r="GH257" s="28"/>
      <c r="GI257" s="28"/>
      <c r="GJ257" s="28"/>
      <c r="GK257" s="28"/>
      <c r="GL257" s="28"/>
      <c r="GM257" s="28"/>
      <c r="GN257" s="28"/>
      <c r="GO257" s="28"/>
      <c r="GP257" s="28"/>
      <c r="GQ257" s="28"/>
      <c r="GR257" s="28"/>
      <c r="GS257" s="28"/>
      <c r="GT257" s="28"/>
      <c r="GU257" s="28"/>
      <c r="GV257" s="28"/>
      <c r="GW257" s="28"/>
      <c r="GX257" s="28"/>
      <c r="GY257" s="28"/>
      <c r="GZ257" s="28"/>
      <c r="HA257" s="28"/>
      <c r="HB257" s="28"/>
      <c r="HC257" s="28"/>
      <c r="HD257" s="28"/>
      <c r="HE257" s="28"/>
      <c r="HF257" s="28"/>
      <c r="HG257" s="28"/>
      <c r="HH257" s="28"/>
      <c r="HI257" s="28"/>
      <c r="HJ257" s="28"/>
      <c r="HK257" s="28"/>
      <c r="HL257" s="28"/>
      <c r="HM257" s="28"/>
      <c r="HN257" s="28"/>
      <c r="HO257" s="28"/>
      <c r="HP257" s="28"/>
      <c r="HQ257" s="28"/>
      <c r="HR257" s="28"/>
      <c r="HS257" s="28"/>
      <c r="HT257" s="28"/>
      <c r="HU257" s="28"/>
      <c r="HV257" s="28"/>
      <c r="HW257" s="28"/>
      <c r="HX257" s="28"/>
      <c r="HY257" s="28"/>
      <c r="HZ257" s="28"/>
      <c r="IA257" s="28"/>
      <c r="IB257" s="28"/>
      <c r="IC257" s="28"/>
      <c r="ID257" s="28"/>
      <c r="IE257" s="28"/>
      <c r="IF257" s="28"/>
      <c r="IG257" s="28"/>
      <c r="IH257" s="28"/>
      <c r="II257" s="28"/>
      <c r="IJ257" s="28"/>
      <c r="IK257" s="28"/>
      <c r="IL257" s="28"/>
      <c r="IM257" s="28"/>
      <c r="IN257" s="28"/>
      <c r="IO257" s="28"/>
      <c r="IP257" s="28"/>
      <c r="IQ257" s="28"/>
      <c r="IR257" s="28"/>
      <c r="IS257" s="28"/>
    </row>
    <row r="258" spans="2:253" ht="1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17" t="b">
        <f ca="1">_xlfn.XOR(M261,M256,W257)</f>
        <v>0</v>
      </c>
      <c r="N258" s="17" t="b">
        <f ca="1">_xlfn.XOR(N261,N256,V257)</f>
        <v>0</v>
      </c>
      <c r="O258" s="17" t="b">
        <f ca="1">_xlfn.XOR(O261,O256,U257)</f>
        <v>0</v>
      </c>
      <c r="P258" s="17" t="b">
        <f ca="1">_xlfn.XOR(P261,P256,T257)</f>
        <v>0</v>
      </c>
      <c r="Q258" s="17" t="b">
        <f ca="1">_xlfn.XOR(Q261,Q256,S257)</f>
        <v>0</v>
      </c>
      <c r="R258" s="17" t="b">
        <f ca="1">_xlfn.XOR(R261,R256,R257)</f>
        <v>0</v>
      </c>
      <c r="S258" s="17" t="b">
        <f ca="1">_xlfn.XOR(S261,S256,Q257)</f>
        <v>0</v>
      </c>
      <c r="T258" s="17" t="b">
        <f ca="1">_xlfn.XOR(T261,T256,P257)</f>
        <v>0</v>
      </c>
      <c r="U258" s="17" t="b">
        <f ca="1">_xlfn.XOR(U261,U256,O257)</f>
        <v>0</v>
      </c>
      <c r="V258" s="17" t="b">
        <f ca="1">_xlfn.XOR(V261,V256,N257)</f>
        <v>1</v>
      </c>
      <c r="W258" s="17" t="b">
        <f ca="1">_xlfn.XOR(W261,W256,M257)</f>
        <v>0</v>
      </c>
      <c r="X258" s="17" t="b">
        <f ca="1">_xlfn.XOR(X261,X256,H254)</f>
        <v>1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  <c r="FS258" s="28"/>
      <c r="FT258" s="28"/>
      <c r="FU258" s="28"/>
      <c r="FV258" s="28"/>
      <c r="FW258" s="28"/>
      <c r="FX258" s="28"/>
      <c r="FY258" s="28"/>
      <c r="FZ258" s="28"/>
      <c r="GA258" s="28"/>
      <c r="GB258" s="28"/>
      <c r="GC258" s="28"/>
      <c r="GD258" s="28"/>
      <c r="GE258" s="28"/>
      <c r="GF258" s="28"/>
      <c r="GG258" s="28"/>
      <c r="GH258" s="28"/>
      <c r="GI258" s="28"/>
      <c r="GJ258" s="28"/>
      <c r="GK258" s="28"/>
      <c r="GL258" s="28"/>
      <c r="GM258" s="28"/>
      <c r="GN258" s="28"/>
      <c r="GO258" s="28"/>
      <c r="GP258" s="28"/>
      <c r="GQ258" s="28"/>
      <c r="GR258" s="28"/>
      <c r="GS258" s="28"/>
      <c r="GT258" s="28"/>
      <c r="GU258" s="28"/>
      <c r="GV258" s="28"/>
      <c r="GW258" s="28"/>
      <c r="GX258" s="28"/>
      <c r="GY258" s="28"/>
      <c r="GZ258" s="28"/>
      <c r="HA258" s="28"/>
      <c r="HB258" s="28"/>
      <c r="HC258" s="28"/>
      <c r="HD258" s="28"/>
      <c r="HE258" s="28"/>
      <c r="HF258" s="28"/>
      <c r="HG258" s="28"/>
      <c r="HH258" s="28"/>
      <c r="HI258" s="28"/>
      <c r="HJ258" s="28"/>
      <c r="HK258" s="28"/>
      <c r="HL258" s="28"/>
      <c r="HM258" s="28"/>
      <c r="HN258" s="28"/>
      <c r="HO258" s="28"/>
      <c r="HP258" s="28"/>
      <c r="HQ258" s="28"/>
      <c r="HR258" s="28"/>
      <c r="HS258" s="28"/>
      <c r="HT258" s="28"/>
      <c r="HU258" s="28"/>
      <c r="HV258" s="28"/>
      <c r="HW258" s="28"/>
      <c r="HX258" s="28"/>
      <c r="HY258" s="28"/>
      <c r="HZ258" s="28"/>
      <c r="IA258" s="28"/>
      <c r="IB258" s="28"/>
      <c r="IC258" s="28"/>
      <c r="ID258" s="28"/>
      <c r="IE258" s="28"/>
      <c r="IF258" s="28"/>
      <c r="IG258" s="28"/>
      <c r="IH258" s="28"/>
      <c r="II258" s="28"/>
      <c r="IJ258" s="28"/>
      <c r="IK258" s="28"/>
      <c r="IL258" s="28"/>
      <c r="IM258" s="28"/>
      <c r="IN258" s="28"/>
      <c r="IO258" s="28"/>
      <c r="IP258" s="28"/>
      <c r="IQ258" s="28"/>
      <c r="IR258" s="28"/>
      <c r="IS258" s="28"/>
    </row>
    <row r="259" spans="2:253" ht="1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  <c r="GD259" s="28"/>
      <c r="GE259" s="28"/>
      <c r="GF259" s="28"/>
      <c r="GG259" s="28"/>
      <c r="GH259" s="28"/>
      <c r="GI259" s="28"/>
      <c r="GJ259" s="28"/>
      <c r="GK259" s="28"/>
      <c r="GL259" s="28"/>
      <c r="GM259" s="28"/>
      <c r="GN259" s="28"/>
      <c r="GO259" s="28"/>
      <c r="GP259" s="28"/>
      <c r="GQ259" s="28"/>
      <c r="GR259" s="28"/>
      <c r="GS259" s="28"/>
      <c r="GT259" s="28"/>
      <c r="GU259" s="28"/>
      <c r="GV259" s="28"/>
      <c r="GW259" s="28"/>
      <c r="GX259" s="28"/>
      <c r="GY259" s="28"/>
      <c r="GZ259" s="28"/>
      <c r="HA259" s="28"/>
      <c r="HB259" s="28"/>
      <c r="HC259" s="28"/>
      <c r="HD259" s="28"/>
      <c r="HE259" s="28"/>
      <c r="HF259" s="28"/>
      <c r="HG259" s="28"/>
      <c r="HH259" s="28"/>
      <c r="HI259" s="28"/>
      <c r="HJ259" s="28"/>
      <c r="HK259" s="28"/>
      <c r="HL259" s="28"/>
      <c r="HM259" s="28"/>
      <c r="HN259" s="28"/>
      <c r="HO259" s="28"/>
      <c r="HP259" s="28"/>
      <c r="HQ259" s="28"/>
      <c r="HR259" s="28"/>
      <c r="HS259" s="28"/>
      <c r="HT259" s="28"/>
      <c r="HU259" s="28"/>
      <c r="HV259" s="28"/>
      <c r="HW259" s="28"/>
      <c r="HX259" s="28"/>
      <c r="HY259" s="28"/>
      <c r="HZ259" s="28"/>
      <c r="IA259" s="28"/>
      <c r="IB259" s="28"/>
      <c r="IC259" s="28"/>
      <c r="ID259" s="28"/>
      <c r="IE259" s="28"/>
      <c r="IF259" s="28"/>
      <c r="IG259" s="28"/>
      <c r="IH259" s="28"/>
      <c r="II259" s="28"/>
      <c r="IJ259" s="28"/>
      <c r="IK259" s="28"/>
      <c r="IL259" s="28"/>
      <c r="IM259" s="28"/>
      <c r="IN259" s="28"/>
      <c r="IO259" s="28"/>
      <c r="IP259" s="28"/>
      <c r="IQ259" s="28"/>
      <c r="IR259" s="28"/>
      <c r="IS259" s="28"/>
    </row>
    <row r="260" spans="2:253" ht="1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8" t="s">
        <v>257</v>
      </c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  <c r="FS260" s="28"/>
      <c r="FT260" s="28"/>
      <c r="FU260" s="28"/>
      <c r="FV260" s="28"/>
      <c r="FW260" s="28"/>
      <c r="FX260" s="28"/>
      <c r="FY260" s="28"/>
      <c r="FZ260" s="28"/>
      <c r="GA260" s="28"/>
      <c r="GB260" s="28"/>
      <c r="GC260" s="28"/>
      <c r="GD260" s="28"/>
      <c r="GE260" s="28"/>
      <c r="GF260" s="28"/>
      <c r="GG260" s="28"/>
      <c r="GH260" s="28"/>
      <c r="GI260" s="28"/>
      <c r="GJ260" s="28"/>
      <c r="GK260" s="28"/>
      <c r="GL260" s="28"/>
      <c r="GM260" s="28"/>
      <c r="GN260" s="28"/>
      <c r="GO260" s="28"/>
      <c r="GP260" s="28"/>
      <c r="GQ260" s="28"/>
      <c r="GR260" s="28"/>
      <c r="GS260" s="28"/>
      <c r="GT260" s="28"/>
      <c r="GU260" s="28"/>
      <c r="GV260" s="28"/>
      <c r="GW260" s="28"/>
      <c r="GX260" s="28"/>
      <c r="GY260" s="28"/>
      <c r="GZ260" s="28"/>
      <c r="HA260" s="28"/>
      <c r="HB260" s="28"/>
      <c r="HC260" s="28"/>
      <c r="HD260" s="28"/>
      <c r="HE260" s="28"/>
      <c r="HF260" s="28"/>
      <c r="HG260" s="28"/>
      <c r="HH260" s="28"/>
      <c r="HI260" s="28"/>
      <c r="HJ260" s="28"/>
      <c r="HK260" s="28"/>
      <c r="HL260" s="28"/>
      <c r="HM260" s="28"/>
      <c r="HN260" s="28"/>
      <c r="HO260" s="28"/>
      <c r="HP260" s="28"/>
      <c r="HQ260" s="28"/>
      <c r="HR260" s="28"/>
      <c r="HS260" s="28"/>
      <c r="HT260" s="28"/>
      <c r="HU260" s="28"/>
      <c r="HV260" s="28"/>
      <c r="HW260" s="28"/>
      <c r="HX260" s="28"/>
      <c r="HY260" s="28"/>
      <c r="HZ260" s="28"/>
      <c r="IA260" s="28"/>
      <c r="IB260" s="28"/>
      <c r="IC260" s="28"/>
      <c r="ID260" s="28"/>
      <c r="IE260" s="28"/>
      <c r="IF260" s="28"/>
      <c r="IG260" s="28"/>
      <c r="IH260" s="28"/>
      <c r="II260" s="28"/>
      <c r="IJ260" s="28"/>
      <c r="IK260" s="28"/>
      <c r="IL260" s="28"/>
      <c r="IM260" s="28"/>
      <c r="IN260" s="28"/>
      <c r="IO260" s="28"/>
      <c r="IP260" s="28"/>
      <c r="IQ260" s="28"/>
      <c r="IR260" s="28"/>
      <c r="IS260" s="28"/>
    </row>
    <row r="261" spans="2:253" ht="1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19">
        <f>IF(F254, 0, IF(AND(B254,D254),IF(U254,X254,M258),M261))</f>
        <v>0</v>
      </c>
      <c r="N261" s="19">
        <f>IF(F254, 0, IF(AND(B254,D254),IF(U254,Y254,N258),N261))</f>
        <v>0</v>
      </c>
      <c r="O261" s="19">
        <f>IF(F254, 0, IF(AND(B254,D254),IF(U254,Z254,O258),O261))</f>
        <v>0</v>
      </c>
      <c r="P261" s="19">
        <f>IF(F254, 0, IF(AND(B254,D254),IF(U254,AA254,P258),P261))</f>
        <v>0</v>
      </c>
      <c r="Q261" s="19">
        <f>IF(F254, 0, IF(AND(B254,D254),IF(V254,AB254,Q258),Q261))</f>
        <v>0</v>
      </c>
      <c r="R261" s="19">
        <f>IF(F254, 0, IF(AND(B254,D254),IF(V254,AC254,R258),R261))</f>
        <v>0</v>
      </c>
      <c r="S261" s="19">
        <f>IF(F254, 0, IF(AND(B254,D254),IF(V254,AD254,S258),S261))</f>
        <v>0</v>
      </c>
      <c r="T261" s="19">
        <f>IF(F254, 0, IF(AND(B254,D254),IF(V254,AE254,T258),T261))</f>
        <v>0</v>
      </c>
      <c r="U261" s="19">
        <f>IF(F254, 0, IF(AND(B254,D254),IF(V254,AF254,U258),U261))</f>
        <v>0</v>
      </c>
      <c r="V261" s="19">
        <f>IF(F254, 1, IF(AND(B254,D254),IF(V254,AG254,V258),V261))</f>
        <v>1</v>
      </c>
      <c r="W261" s="19">
        <f>IF(F254, 0, IF(AND(B254,D254),IF(V254,AH254,W258),W261))</f>
        <v>0</v>
      </c>
      <c r="X261" s="19">
        <f>IF(F254, 0, IF(AND(B254,D254),IF(V254,AI254,X258),X261))</f>
        <v>0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  <c r="FS261" s="28"/>
      <c r="FT261" s="28"/>
      <c r="FU261" s="28"/>
      <c r="FV261" s="28"/>
      <c r="FW261" s="28"/>
      <c r="FX261" s="28"/>
      <c r="FY261" s="28"/>
      <c r="FZ261" s="28"/>
      <c r="GA261" s="28"/>
      <c r="GB261" s="28"/>
      <c r="GC261" s="28"/>
      <c r="GD261" s="28"/>
      <c r="GE261" s="28"/>
      <c r="GF261" s="28"/>
      <c r="GG261" s="28"/>
      <c r="GH261" s="28"/>
      <c r="GI261" s="28"/>
      <c r="GJ261" s="28"/>
      <c r="GK261" s="28"/>
      <c r="GL261" s="28"/>
      <c r="GM261" s="28"/>
      <c r="GN261" s="28"/>
      <c r="GO261" s="28"/>
      <c r="GP261" s="28"/>
      <c r="GQ261" s="28"/>
      <c r="GR261" s="28"/>
      <c r="GS261" s="28"/>
      <c r="GT261" s="28"/>
      <c r="GU261" s="28"/>
      <c r="GV261" s="28"/>
      <c r="GW261" s="28"/>
      <c r="GX261" s="28"/>
      <c r="GY261" s="28"/>
      <c r="GZ261" s="28"/>
      <c r="HA261" s="28"/>
      <c r="HB261" s="28"/>
      <c r="HC261" s="28"/>
      <c r="HD261" s="28"/>
      <c r="HE261" s="28"/>
      <c r="HF261" s="28"/>
      <c r="HG261" s="28"/>
      <c r="HH261" s="28"/>
      <c r="HI261" s="28"/>
      <c r="HJ261" s="28"/>
      <c r="HK261" s="28"/>
      <c r="HL261" s="28"/>
      <c r="HM261" s="28"/>
      <c r="HN261" s="28"/>
      <c r="HO261" s="28"/>
      <c r="HP261" s="28"/>
      <c r="HQ261" s="28"/>
      <c r="HR261" s="28"/>
      <c r="HS261" s="28"/>
      <c r="HT261" s="28"/>
      <c r="HU261" s="28"/>
      <c r="HV261" s="28"/>
      <c r="HW261" s="28"/>
      <c r="HX261" s="28"/>
      <c r="HY261" s="28"/>
      <c r="HZ261" s="28"/>
      <c r="IA261" s="28"/>
      <c r="IB261" s="28"/>
      <c r="IC261" s="28"/>
      <c r="ID261" s="28"/>
      <c r="IE261" s="28"/>
      <c r="IF261" s="28"/>
      <c r="IG261" s="28"/>
      <c r="IH261" s="28"/>
      <c r="II261" s="28"/>
      <c r="IJ261" s="28"/>
      <c r="IK261" s="28"/>
      <c r="IL261" s="28"/>
      <c r="IM261" s="28"/>
      <c r="IN261" s="28"/>
      <c r="IO261" s="28"/>
      <c r="IP261" s="28"/>
      <c r="IQ261" s="28"/>
      <c r="IR261" s="28"/>
      <c r="IS261" s="28"/>
    </row>
    <row r="263" spans="2:253" ht="15" customHeight="1" x14ac:dyDescent="0.25">
      <c r="B263" s="49" t="s">
        <v>624</v>
      </c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</row>
    <row r="264" spans="2:253" ht="15" customHeight="1" x14ac:dyDescent="0.25"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</row>
    <row r="265" spans="2:253" ht="15" customHeight="1" x14ac:dyDescent="0.25">
      <c r="B265" s="41">
        <f t="shared" ref="B265:G265" si="57">M261</f>
        <v>0</v>
      </c>
      <c r="C265" s="41">
        <f t="shared" si="57"/>
        <v>0</v>
      </c>
      <c r="D265" s="41">
        <f t="shared" si="57"/>
        <v>0</v>
      </c>
      <c r="E265" s="41">
        <f t="shared" si="57"/>
        <v>0</v>
      </c>
      <c r="F265" s="41">
        <f t="shared" si="57"/>
        <v>0</v>
      </c>
      <c r="G265" s="41">
        <f t="shared" si="57"/>
        <v>0</v>
      </c>
      <c r="H265" s="41">
        <f t="shared" ref="H265:M265" si="58">S261</f>
        <v>0</v>
      </c>
      <c r="I265" s="41">
        <f t="shared" si="58"/>
        <v>0</v>
      </c>
      <c r="J265" s="41">
        <f t="shared" si="58"/>
        <v>0</v>
      </c>
      <c r="K265" s="41">
        <f t="shared" si="58"/>
        <v>1</v>
      </c>
      <c r="L265" s="41">
        <f t="shared" si="58"/>
        <v>0</v>
      </c>
      <c r="M265" s="41">
        <f t="shared" si="58"/>
        <v>0</v>
      </c>
    </row>
    <row r="266" spans="2:253" ht="15" customHeight="1" x14ac:dyDescent="0.25">
      <c r="B266" s="41">
        <v>0</v>
      </c>
      <c r="C266" s="41">
        <v>0</v>
      </c>
      <c r="D266" s="41">
        <v>0</v>
      </c>
      <c r="E266" s="41">
        <v>0</v>
      </c>
      <c r="F266" s="41">
        <v>0</v>
      </c>
      <c r="G266" s="41">
        <v>0</v>
      </c>
      <c r="H266" s="41">
        <v>0</v>
      </c>
      <c r="I266" s="41">
        <v>0</v>
      </c>
      <c r="J266" s="41">
        <v>0</v>
      </c>
      <c r="K266" s="41">
        <v>0</v>
      </c>
      <c r="L266" s="41">
        <v>0</v>
      </c>
      <c r="M266" s="41">
        <v>1</v>
      </c>
    </row>
    <row r="267" spans="2:253" ht="15" customHeight="1" x14ac:dyDescent="0.25">
      <c r="B267" s="41" t="b">
        <f>M265+M266&gt;=2</f>
        <v>0</v>
      </c>
      <c r="C267" s="41" t="b">
        <f>L265+L266+B267&gt;=2</f>
        <v>0</v>
      </c>
      <c r="D267" s="41" t="b">
        <f>K265+K266+C267&gt;=2</f>
        <v>0</v>
      </c>
      <c r="E267" s="41" t="b">
        <f>J265+J266+D267&gt;=2</f>
        <v>0</v>
      </c>
      <c r="F267" s="41" t="b">
        <f>I265+I266+E267&gt;=2</f>
        <v>0</v>
      </c>
      <c r="G267" s="41" t="b">
        <f>H265+H266+F267&gt;=2</f>
        <v>0</v>
      </c>
      <c r="H267" s="41" t="b">
        <f>G265+G266+G267&gt;=2</f>
        <v>0</v>
      </c>
      <c r="I267" s="41" t="b">
        <f>F265+F266+H267&gt;=2</f>
        <v>0</v>
      </c>
      <c r="J267" s="41" t="b">
        <f>E265+E266+I267&gt;=2</f>
        <v>0</v>
      </c>
      <c r="K267" s="41" t="b">
        <f>D265+D266+J267&gt;=2</f>
        <v>0</v>
      </c>
      <c r="L267" s="41" t="b">
        <f>C265+C266+K267&gt;=2</f>
        <v>0</v>
      </c>
      <c r="M267" s="41" t="b">
        <f>B265+B266+L267&gt;=2</f>
        <v>0</v>
      </c>
    </row>
    <row r="268" spans="2:253" ht="15" customHeight="1" x14ac:dyDescent="0.25">
      <c r="B268" s="19" t="b">
        <f>_xlfn.XOR(B265,B266,L267)</f>
        <v>0</v>
      </c>
      <c r="C268" s="19" t="b">
        <f>_xlfn.XOR(C265,C266,K267)</f>
        <v>0</v>
      </c>
      <c r="D268" s="19" t="b">
        <f>_xlfn.XOR(D265,D266,J267)</f>
        <v>0</v>
      </c>
      <c r="E268" s="19" t="b">
        <f>_xlfn.XOR(E265,E266,I267)</f>
        <v>0</v>
      </c>
      <c r="F268" s="19" t="b">
        <f>_xlfn.XOR(F265,F266,H267)</f>
        <v>0</v>
      </c>
      <c r="G268" s="19" t="b">
        <f>_xlfn.XOR(G265,G266,G267)</f>
        <v>0</v>
      </c>
      <c r="H268" s="19" t="b">
        <f>_xlfn.XOR(H265,H266,F267)</f>
        <v>0</v>
      </c>
      <c r="I268" s="19" t="b">
        <f>_xlfn.XOR(I265,I266,E267)</f>
        <v>0</v>
      </c>
      <c r="J268" s="19" t="b">
        <f>_xlfn.XOR(J265,J266,D267)</f>
        <v>0</v>
      </c>
      <c r="K268" s="19" t="b">
        <f>_xlfn.XOR(K265,K266,C267)</f>
        <v>1</v>
      </c>
      <c r="L268" s="19" t="b">
        <f>_xlfn.XOR(L265,L266,B267)</f>
        <v>0</v>
      </c>
      <c r="M268" s="19" t="b">
        <f>_xlfn.XOR(M265,M266)</f>
        <v>1</v>
      </c>
    </row>
    <row r="270" spans="2:253" ht="15" customHeight="1" x14ac:dyDescent="0.25">
      <c r="B270" s="49" t="s">
        <v>625</v>
      </c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</row>
    <row r="271" spans="2:253" ht="15" customHeight="1" x14ac:dyDescent="0.25"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</row>
    <row r="272" spans="2:253" ht="15" customHeight="1" x14ac:dyDescent="0.25">
      <c r="B272" s="2" t="s">
        <v>624</v>
      </c>
      <c r="C272" s="3"/>
      <c r="D272" s="47" t="s">
        <v>236</v>
      </c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</row>
    <row r="273" spans="2:513" ht="15" customHeight="1" x14ac:dyDescent="0.25">
      <c r="B273" s="2">
        <f>U82</f>
        <v>0</v>
      </c>
      <c r="C273" s="3"/>
      <c r="D273" s="2">
        <f t="shared" ref="D273:I273" si="59">IF($B$273,B268,M261)</f>
        <v>0</v>
      </c>
      <c r="E273" s="2">
        <f t="shared" si="59"/>
        <v>0</v>
      </c>
      <c r="F273" s="2">
        <f t="shared" si="59"/>
        <v>0</v>
      </c>
      <c r="G273" s="2">
        <f t="shared" si="59"/>
        <v>0</v>
      </c>
      <c r="H273" s="2">
        <f t="shared" si="59"/>
        <v>0</v>
      </c>
      <c r="I273" s="2">
        <f t="shared" si="59"/>
        <v>0</v>
      </c>
      <c r="J273" s="2">
        <f t="shared" ref="J273:O273" si="60">IF($B$273,H268,S261)</f>
        <v>0</v>
      </c>
      <c r="K273" s="2">
        <f t="shared" si="60"/>
        <v>0</v>
      </c>
      <c r="L273" s="2">
        <f t="shared" si="60"/>
        <v>0</v>
      </c>
      <c r="M273" s="2">
        <f t="shared" si="60"/>
        <v>1</v>
      </c>
      <c r="N273" s="2">
        <f t="shared" si="60"/>
        <v>0</v>
      </c>
      <c r="O273" s="2">
        <f t="shared" si="60"/>
        <v>0</v>
      </c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</row>
    <row r="274" spans="2:513" ht="15" customHeight="1" x14ac:dyDescent="0.25"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</row>
    <row r="275" spans="2:513" ht="15" customHeight="1" x14ac:dyDescent="0.25"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</row>
    <row r="276" spans="2:513" ht="15" customHeight="1" x14ac:dyDescent="0.25"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</row>
    <row r="278" spans="2:513" ht="15" customHeight="1" x14ac:dyDescent="0.25">
      <c r="B278" s="49" t="s">
        <v>271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R278" s="49" t="s">
        <v>296</v>
      </c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20"/>
      <c r="BV278" s="20"/>
      <c r="BW278" s="20"/>
      <c r="BX278" s="20"/>
    </row>
    <row r="279" spans="2:513" ht="15" customHeight="1" x14ac:dyDescent="0.25"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20"/>
      <c r="BV279" s="20"/>
      <c r="BW279" s="20"/>
      <c r="BX279" s="20"/>
    </row>
    <row r="280" spans="2:513" ht="15" customHeight="1" x14ac:dyDescent="0.25">
      <c r="B280" s="2">
        <f ca="1">X104</f>
        <v>0</v>
      </c>
      <c r="C280" s="2">
        <f ca="1">Y104</f>
        <v>0</v>
      </c>
      <c r="D280" s="2">
        <f ca="1">Z104</f>
        <v>0</v>
      </c>
      <c r="E280" s="2">
        <f ca="1">AA104</f>
        <v>0</v>
      </c>
      <c r="F280" s="2">
        <f t="shared" ref="F280:M280" ca="1" si="61">AC104</f>
        <v>0</v>
      </c>
      <c r="G280" s="2">
        <f t="shared" ca="1" si="61"/>
        <v>0</v>
      </c>
      <c r="H280" s="2">
        <f t="shared" ca="1" si="61"/>
        <v>0</v>
      </c>
      <c r="I280" s="2">
        <f t="shared" ca="1" si="61"/>
        <v>0</v>
      </c>
      <c r="J280" s="2">
        <f t="shared" ca="1" si="61"/>
        <v>0</v>
      </c>
      <c r="K280" s="2">
        <f t="shared" ca="1" si="61"/>
        <v>0</v>
      </c>
      <c r="L280" s="2">
        <f t="shared" ca="1" si="61"/>
        <v>0</v>
      </c>
      <c r="M280" s="2">
        <f t="shared" ca="1" si="61"/>
        <v>0</v>
      </c>
      <c r="N280" s="3"/>
      <c r="O280" s="3">
        <v>1</v>
      </c>
      <c r="P280" s="3">
        <v>1</v>
      </c>
      <c r="Q280" s="3">
        <v>1</v>
      </c>
      <c r="R280" s="3">
        <v>1</v>
      </c>
      <c r="S280" s="2">
        <f t="shared" ref="S280:Z280" ca="1" si="62">B123</f>
        <v>1</v>
      </c>
      <c r="T280" s="2">
        <f t="shared" ca="1" si="62"/>
        <v>1</v>
      </c>
      <c r="U280" s="2">
        <f t="shared" ca="1" si="62"/>
        <v>1</v>
      </c>
      <c r="V280" s="2">
        <f t="shared" ca="1" si="62"/>
        <v>1</v>
      </c>
      <c r="W280" s="2">
        <f t="shared" ca="1" si="62"/>
        <v>1</v>
      </c>
      <c r="X280" s="2">
        <f t="shared" ca="1" si="62"/>
        <v>1</v>
      </c>
      <c r="Y280" s="2">
        <f t="shared" ca="1" si="62"/>
        <v>1</v>
      </c>
      <c r="Z280" s="2">
        <f t="shared" ca="1" si="62"/>
        <v>1</v>
      </c>
      <c r="AA280" s="3"/>
      <c r="AB280" s="2">
        <f t="shared" ref="AB280:AM280" si="63">F31</f>
        <v>1</v>
      </c>
      <c r="AC280" s="2">
        <f t="shared" si="63"/>
        <v>1</v>
      </c>
      <c r="AD280" s="2">
        <f t="shared" si="63"/>
        <v>1</v>
      </c>
      <c r="AE280" s="2">
        <f t="shared" si="63"/>
        <v>1</v>
      </c>
      <c r="AF280" s="2">
        <f t="shared" si="63"/>
        <v>1</v>
      </c>
      <c r="AG280" s="2">
        <f t="shared" si="63"/>
        <v>1</v>
      </c>
      <c r="AH280" s="2">
        <f t="shared" si="63"/>
        <v>1</v>
      </c>
      <c r="AI280" s="2">
        <f t="shared" si="63"/>
        <v>1</v>
      </c>
      <c r="AJ280" s="2">
        <f t="shared" si="63"/>
        <v>1</v>
      </c>
      <c r="AK280" s="2">
        <f t="shared" si="63"/>
        <v>1</v>
      </c>
      <c r="AL280" s="2">
        <f t="shared" si="63"/>
        <v>1</v>
      </c>
      <c r="AM280" s="2">
        <f t="shared" si="63"/>
        <v>1</v>
      </c>
      <c r="AN280" s="3"/>
      <c r="AO280" s="2">
        <f>Q82</f>
        <v>0</v>
      </c>
      <c r="AP280" s="2">
        <f ca="1">R82</f>
        <v>0</v>
      </c>
      <c r="AR280" s="2">
        <f t="shared" ref="AR280:AY280" ca="1" si="64">B104</f>
        <v>0</v>
      </c>
      <c r="AS280" s="2">
        <f t="shared" ca="1" si="64"/>
        <v>0</v>
      </c>
      <c r="AT280" s="2">
        <f t="shared" ca="1" si="64"/>
        <v>0</v>
      </c>
      <c r="AU280" s="2">
        <f t="shared" ca="1" si="64"/>
        <v>0</v>
      </c>
      <c r="AV280" s="2">
        <f t="shared" ca="1" si="64"/>
        <v>0</v>
      </c>
      <c r="AW280" s="2">
        <f t="shared" ca="1" si="64"/>
        <v>0</v>
      </c>
      <c r="AX280" s="2">
        <f t="shared" ca="1" si="64"/>
        <v>0</v>
      </c>
      <c r="AY280" s="2">
        <f t="shared" ca="1" si="64"/>
        <v>0</v>
      </c>
      <c r="AZ280" s="3"/>
      <c r="BA280" s="2">
        <f t="shared" ref="BA280:BH280" si="65">H273</f>
        <v>0</v>
      </c>
      <c r="BB280" s="2">
        <f t="shared" si="65"/>
        <v>0</v>
      </c>
      <c r="BC280" s="2">
        <f t="shared" si="65"/>
        <v>0</v>
      </c>
      <c r="BD280" s="2">
        <f t="shared" si="65"/>
        <v>0</v>
      </c>
      <c r="BE280" s="2">
        <f t="shared" si="65"/>
        <v>0</v>
      </c>
      <c r="BF280" s="2">
        <f t="shared" si="65"/>
        <v>1</v>
      </c>
      <c r="BG280" s="2">
        <f t="shared" si="65"/>
        <v>0</v>
      </c>
      <c r="BH280" s="2">
        <f t="shared" si="65"/>
        <v>0</v>
      </c>
      <c r="BI280" s="3"/>
      <c r="BJ280" s="3">
        <v>0</v>
      </c>
      <c r="BK280" s="3">
        <v>0</v>
      </c>
      <c r="BL280" s="3">
        <v>0</v>
      </c>
      <c r="BM280" s="3">
        <v>0</v>
      </c>
      <c r="BN280" s="2">
        <f>D273</f>
        <v>0</v>
      </c>
      <c r="BO280" s="2">
        <f>E273</f>
        <v>0</v>
      </c>
      <c r="BP280" s="2">
        <f>F273</f>
        <v>0</v>
      </c>
      <c r="BQ280" s="2">
        <f>G273</f>
        <v>0</v>
      </c>
      <c r="BR280" s="3"/>
      <c r="BS280" s="2" t="b">
        <f ca="1">S84</f>
        <v>0</v>
      </c>
      <c r="BT280" s="2" t="b">
        <f ca="1">T84</f>
        <v>0</v>
      </c>
    </row>
    <row r="281" spans="2:513" ht="15" customHeight="1" x14ac:dyDescent="0.25">
      <c r="B281" s="47" t="s">
        <v>182</v>
      </c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3"/>
      <c r="O281" s="47" t="s">
        <v>218</v>
      </c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3"/>
      <c r="AB281" s="47" t="s">
        <v>110</v>
      </c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3"/>
      <c r="AO281" s="47" t="s">
        <v>10</v>
      </c>
      <c r="AP281" s="47"/>
      <c r="AR281" s="47" t="s">
        <v>299</v>
      </c>
      <c r="AS281" s="47"/>
      <c r="AT281" s="47"/>
      <c r="AU281" s="47"/>
      <c r="AV281" s="47"/>
      <c r="AW281" s="47"/>
      <c r="AX281" s="47"/>
      <c r="AY281" s="47"/>
      <c r="AZ281" s="3"/>
      <c r="BA281" s="47" t="s">
        <v>297</v>
      </c>
      <c r="BB281" s="47"/>
      <c r="BC281" s="47"/>
      <c r="BD281" s="47"/>
      <c r="BE281" s="47"/>
      <c r="BF281" s="47"/>
      <c r="BG281" s="47"/>
      <c r="BH281" s="47"/>
      <c r="BI281" s="3"/>
      <c r="BJ281" s="47" t="s">
        <v>298</v>
      </c>
      <c r="BK281" s="47"/>
      <c r="BL281" s="47"/>
      <c r="BM281" s="47"/>
      <c r="BN281" s="47"/>
      <c r="BO281" s="47"/>
      <c r="BP281" s="47"/>
      <c r="BQ281" s="47"/>
      <c r="BR281" s="3"/>
      <c r="BS281" s="47" t="s">
        <v>10</v>
      </c>
      <c r="BT281" s="47"/>
    </row>
    <row r="282" spans="2:513" ht="15" customHeight="1" x14ac:dyDescent="0.25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50">
        <f ca="1">(AO280*2)+(AP280*1)+1</f>
        <v>1</v>
      </c>
      <c r="AP282" s="50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50">
        <f ca="1">(BS280*2)+(BT280*1)+1</f>
        <v>1</v>
      </c>
      <c r="BT282" s="50"/>
    </row>
    <row r="283" spans="2:513" ht="1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</row>
    <row r="284" spans="2:513" ht="1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19">
        <f ca="1">CHOOSE($AO$282, B280, O280, AB280)</f>
        <v>0</v>
      </c>
      <c r="S284" s="19">
        <f t="shared" ref="S284" ca="1" si="66">CHOOSE($AO$282, C280, P280, AC280)</f>
        <v>0</v>
      </c>
      <c r="T284" s="19">
        <f t="shared" ref="T284:AC284" ca="1" si="67">CHOOSE($AO$282, D280, Q280, AD280)</f>
        <v>0</v>
      </c>
      <c r="U284" s="19">
        <f t="shared" ca="1" si="67"/>
        <v>0</v>
      </c>
      <c r="V284" s="19">
        <f t="shared" ca="1" si="67"/>
        <v>0</v>
      </c>
      <c r="W284" s="19">
        <f t="shared" ca="1" si="67"/>
        <v>0</v>
      </c>
      <c r="X284" s="19">
        <f t="shared" ca="1" si="67"/>
        <v>0</v>
      </c>
      <c r="Y284" s="19">
        <f t="shared" ca="1" si="67"/>
        <v>0</v>
      </c>
      <c r="Z284" s="19">
        <f t="shared" ca="1" si="67"/>
        <v>0</v>
      </c>
      <c r="AA284" s="19">
        <f t="shared" ca="1" si="67"/>
        <v>0</v>
      </c>
      <c r="AB284" s="19">
        <f t="shared" ca="1" si="67"/>
        <v>0</v>
      </c>
      <c r="AC284" s="19">
        <f t="shared" ca="1" si="67"/>
        <v>0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19">
        <f t="shared" ref="BB284:BI284" ca="1" si="68">CHOOSE($BS$282, AR280, BA280, BJ280)</f>
        <v>0</v>
      </c>
      <c r="BC284" s="19">
        <f t="shared" ca="1" si="68"/>
        <v>0</v>
      </c>
      <c r="BD284" s="19">
        <f t="shared" ca="1" si="68"/>
        <v>0</v>
      </c>
      <c r="BE284" s="19">
        <f t="shared" ca="1" si="68"/>
        <v>0</v>
      </c>
      <c r="BF284" s="19">
        <f t="shared" ca="1" si="68"/>
        <v>0</v>
      </c>
      <c r="BG284" s="19">
        <f t="shared" ca="1" si="68"/>
        <v>0</v>
      </c>
      <c r="BH284" s="19">
        <f t="shared" ca="1" si="68"/>
        <v>0</v>
      </c>
      <c r="BI284" s="19">
        <f t="shared" ca="1" si="68"/>
        <v>0</v>
      </c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spans="2:513" ht="1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48" t="s">
        <v>104</v>
      </c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48" t="s">
        <v>104</v>
      </c>
      <c r="BC285" s="48"/>
      <c r="BD285" s="48"/>
      <c r="BE285" s="48"/>
      <c r="BF285" s="48"/>
      <c r="BG285" s="48"/>
      <c r="BH285" s="48"/>
      <c r="BI285" s="48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7" spans="2:513" ht="15" customHeight="1" x14ac:dyDescent="0.25">
      <c r="B287" s="49" t="s">
        <v>270</v>
      </c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  <c r="KS287" s="7"/>
      <c r="KT287" s="7"/>
      <c r="KU287" s="7"/>
      <c r="KV287" s="7"/>
      <c r="KW287" s="7"/>
      <c r="KX287" s="7"/>
      <c r="KY287" s="7"/>
      <c r="KZ287" s="7"/>
      <c r="LA287" s="7"/>
      <c r="LB287" s="7"/>
      <c r="LC287" s="7"/>
      <c r="LD287" s="7"/>
      <c r="LE287" s="7"/>
      <c r="LF287" s="7"/>
      <c r="LG287" s="7"/>
      <c r="LH287" s="7"/>
      <c r="LI287" s="7"/>
      <c r="LJ287" s="7"/>
      <c r="LK287" s="7"/>
      <c r="LL287" s="7"/>
      <c r="LM287" s="7"/>
      <c r="LN287" s="7"/>
      <c r="LO287" s="7"/>
      <c r="LP287" s="7"/>
      <c r="LQ287" s="7"/>
      <c r="LR287" s="7"/>
      <c r="LS287" s="7"/>
      <c r="LT287" s="7"/>
      <c r="LU287" s="7"/>
      <c r="LV287" s="7"/>
      <c r="LW287" s="7"/>
      <c r="LX287" s="7"/>
      <c r="LY287" s="7"/>
      <c r="LZ287" s="7"/>
      <c r="MA287" s="7"/>
      <c r="MB287" s="7"/>
      <c r="MC287" s="7"/>
      <c r="MD287" s="7"/>
      <c r="ME287" s="7"/>
      <c r="MF287" s="7"/>
      <c r="MG287" s="7"/>
      <c r="MH287" s="7"/>
      <c r="MI287" s="7"/>
      <c r="MJ287" s="7"/>
      <c r="MK287" s="7"/>
      <c r="ML287" s="7"/>
      <c r="MM287" s="7"/>
      <c r="MN287" s="7"/>
      <c r="MO287" s="7"/>
      <c r="MP287" s="7"/>
      <c r="MQ287" s="7"/>
      <c r="MR287" s="7"/>
      <c r="MS287" s="7"/>
      <c r="MT287" s="7"/>
      <c r="MU287" s="7"/>
      <c r="MV287" s="7"/>
      <c r="MW287" s="7"/>
      <c r="MX287" s="7"/>
      <c r="MY287" s="7"/>
      <c r="MZ287" s="7"/>
      <c r="NA287" s="7"/>
      <c r="NB287" s="7"/>
      <c r="NC287" s="7"/>
      <c r="ND287" s="7"/>
      <c r="NE287" s="7"/>
      <c r="NF287" s="7"/>
      <c r="NG287" s="7"/>
      <c r="NH287" s="7"/>
      <c r="NI287" s="7"/>
      <c r="NJ287" s="7"/>
      <c r="NK287" s="7"/>
      <c r="NL287" s="7"/>
      <c r="NM287" s="7"/>
      <c r="NN287" s="7"/>
      <c r="NO287" s="7"/>
      <c r="NP287" s="7"/>
      <c r="NQ287" s="7"/>
      <c r="NR287" s="7"/>
      <c r="NS287" s="7"/>
      <c r="NT287" s="7"/>
      <c r="NU287" s="7"/>
      <c r="NV287" s="7"/>
      <c r="NW287" s="7"/>
      <c r="NX287" s="7"/>
      <c r="NY287" s="7"/>
      <c r="NZ287" s="7"/>
      <c r="OA287" s="7"/>
      <c r="OB287" s="7"/>
      <c r="OC287" s="7"/>
      <c r="OD287" s="7"/>
      <c r="OE287" s="7"/>
      <c r="OF287" s="7"/>
      <c r="OG287" s="7"/>
      <c r="OH287" s="7"/>
      <c r="OI287" s="7"/>
      <c r="OJ287" s="7"/>
      <c r="OK287" s="7"/>
      <c r="OL287" s="7"/>
      <c r="OM287" s="7"/>
      <c r="ON287" s="7"/>
      <c r="OO287" s="7"/>
      <c r="OP287" s="7"/>
      <c r="OQ287" s="7"/>
      <c r="OR287" s="7"/>
      <c r="OS287" s="7"/>
      <c r="OT287" s="7"/>
      <c r="OU287" s="7"/>
      <c r="OV287" s="7"/>
      <c r="OW287" s="7"/>
      <c r="OX287" s="7"/>
      <c r="OY287" s="7"/>
      <c r="OZ287" s="7"/>
      <c r="PA287" s="7"/>
      <c r="PB287" s="7"/>
      <c r="PC287" s="7"/>
      <c r="PD287" s="7"/>
      <c r="PE287" s="7"/>
      <c r="PF287" s="7"/>
      <c r="PG287" s="7"/>
      <c r="PH287" s="7"/>
      <c r="PI287" s="7"/>
      <c r="PJ287" s="7"/>
      <c r="PK287" s="7"/>
      <c r="PL287" s="7"/>
      <c r="PM287" s="7"/>
      <c r="PN287" s="7"/>
      <c r="PO287" s="7"/>
      <c r="PP287" s="7"/>
      <c r="PQ287" s="7"/>
      <c r="PR287" s="7"/>
      <c r="PS287" s="7"/>
      <c r="PT287" s="7"/>
      <c r="PU287" s="7"/>
      <c r="PV287" s="7"/>
      <c r="PW287" s="7"/>
      <c r="PX287" s="7"/>
      <c r="PY287" s="7"/>
      <c r="PZ287" s="7"/>
      <c r="QA287" s="7"/>
      <c r="QB287" s="7"/>
      <c r="QC287" s="7"/>
      <c r="QD287" s="7"/>
      <c r="QE287" s="7"/>
      <c r="QF287" s="7"/>
      <c r="QG287" s="7"/>
      <c r="QH287" s="7"/>
      <c r="QI287" s="7"/>
      <c r="QJ287" s="7"/>
      <c r="QK287" s="7"/>
      <c r="QL287" s="7"/>
      <c r="QM287" s="7"/>
      <c r="QN287" s="7"/>
      <c r="QO287" s="7"/>
      <c r="QP287" s="7"/>
      <c r="QQ287" s="7"/>
      <c r="QR287" s="7"/>
      <c r="QS287" s="7"/>
      <c r="QT287" s="7"/>
      <c r="QU287" s="7"/>
      <c r="QV287" s="7"/>
      <c r="QW287" s="7"/>
      <c r="QX287" s="7"/>
      <c r="QY287" s="7"/>
      <c r="QZ287" s="7"/>
      <c r="RA287" s="7"/>
      <c r="RB287" s="7"/>
      <c r="RC287" s="7"/>
      <c r="RD287" s="7"/>
      <c r="RE287" s="7"/>
      <c r="RF287" s="7"/>
      <c r="RG287" s="7"/>
      <c r="RH287" s="7"/>
      <c r="RI287" s="7"/>
      <c r="RJ287" s="7"/>
      <c r="RK287" s="7"/>
      <c r="RL287" s="7"/>
      <c r="RM287" s="7"/>
      <c r="RN287" s="7"/>
      <c r="RO287" s="7"/>
      <c r="RP287" s="7"/>
      <c r="RQ287" s="7"/>
      <c r="RR287" s="7"/>
      <c r="RS287" s="7"/>
      <c r="RT287" s="7"/>
      <c r="RU287" s="7"/>
      <c r="RV287" s="7"/>
      <c r="RW287" s="7"/>
      <c r="RX287" s="7"/>
      <c r="RY287" s="7"/>
      <c r="RZ287" s="7"/>
      <c r="SA287" s="7"/>
      <c r="SB287" s="7"/>
      <c r="SC287" s="7"/>
      <c r="SD287" s="7"/>
      <c r="SE287" s="7"/>
      <c r="SF287" s="7"/>
      <c r="SG287" s="7"/>
      <c r="SH287" s="7"/>
      <c r="SI287" s="7"/>
      <c r="SJ287" s="7"/>
      <c r="SK287" s="7"/>
      <c r="SL287" s="7"/>
      <c r="SM287" s="7"/>
      <c r="SN287" s="7"/>
      <c r="SO287" s="7"/>
      <c r="SP287" s="7"/>
      <c r="SQ287" s="7"/>
      <c r="SR287" s="7"/>
      <c r="SS287" s="7"/>
    </row>
    <row r="288" spans="2:513" ht="15" customHeight="1" x14ac:dyDescent="0.25"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  <c r="KS288" s="7"/>
      <c r="KT288" s="7"/>
      <c r="KU288" s="7"/>
      <c r="KV288" s="7"/>
      <c r="KW288" s="7"/>
      <c r="KX288" s="7"/>
      <c r="KY288" s="7"/>
      <c r="KZ288" s="7"/>
      <c r="LA288" s="7"/>
      <c r="LB288" s="7"/>
      <c r="LC288" s="7"/>
      <c r="LD288" s="7"/>
      <c r="LE288" s="7"/>
      <c r="LF288" s="7"/>
      <c r="LG288" s="7"/>
      <c r="LH288" s="7"/>
      <c r="LI288" s="7"/>
      <c r="LJ288" s="7"/>
      <c r="LK288" s="7"/>
      <c r="LL288" s="7"/>
      <c r="LM288" s="7"/>
      <c r="LN288" s="7"/>
      <c r="LO288" s="7"/>
      <c r="LP288" s="7"/>
      <c r="LQ288" s="7"/>
      <c r="LR288" s="7"/>
      <c r="LS288" s="7"/>
      <c r="LT288" s="7"/>
      <c r="LU288" s="7"/>
      <c r="LV288" s="7"/>
      <c r="LW288" s="7"/>
      <c r="LX288" s="7"/>
      <c r="LY288" s="7"/>
      <c r="LZ288" s="7"/>
      <c r="MA288" s="7"/>
      <c r="MB288" s="7"/>
      <c r="MC288" s="7"/>
      <c r="MD288" s="7"/>
      <c r="ME288" s="7"/>
      <c r="MF288" s="7"/>
      <c r="MG288" s="7"/>
      <c r="MH288" s="7"/>
      <c r="MI288" s="7"/>
      <c r="MJ288" s="7"/>
      <c r="MK288" s="7"/>
      <c r="ML288" s="7"/>
      <c r="MM288" s="7"/>
      <c r="MN288" s="7"/>
      <c r="MO288" s="7"/>
      <c r="MP288" s="7"/>
      <c r="MQ288" s="7"/>
      <c r="MR288" s="7"/>
      <c r="MS288" s="7"/>
      <c r="MT288" s="7"/>
      <c r="MU288" s="7"/>
      <c r="MV288" s="7"/>
      <c r="MW288" s="7"/>
      <c r="MX288" s="7"/>
      <c r="MY288" s="7"/>
      <c r="MZ288" s="7"/>
      <c r="NA288" s="7"/>
      <c r="NB288" s="7"/>
      <c r="NC288" s="7"/>
      <c r="ND288" s="7"/>
      <c r="NE288" s="7"/>
      <c r="NF288" s="7"/>
      <c r="NG288" s="7"/>
      <c r="NH288" s="7"/>
      <c r="NI288" s="7"/>
      <c r="NJ288" s="7"/>
      <c r="NK288" s="7"/>
      <c r="NL288" s="7"/>
      <c r="NM288" s="7"/>
      <c r="NN288" s="7"/>
      <c r="NO288" s="7"/>
      <c r="NP288" s="7"/>
      <c r="NQ288" s="7"/>
      <c r="NR288" s="7"/>
      <c r="NS288" s="7"/>
      <c r="NT288" s="7"/>
      <c r="NU288" s="7"/>
      <c r="NV288" s="7"/>
      <c r="NW288" s="7"/>
      <c r="NX288" s="7"/>
      <c r="NY288" s="7"/>
      <c r="NZ288" s="7"/>
      <c r="OA288" s="7"/>
      <c r="OB288" s="7"/>
      <c r="OC288" s="7"/>
      <c r="OD288" s="7"/>
      <c r="OE288" s="7"/>
      <c r="OF288" s="7"/>
      <c r="OG288" s="7"/>
      <c r="OH288" s="7"/>
      <c r="OI288" s="7"/>
      <c r="OJ288" s="7"/>
      <c r="OK288" s="7"/>
      <c r="OL288" s="7"/>
      <c r="OM288" s="7"/>
      <c r="ON288" s="7"/>
      <c r="OO288" s="7"/>
      <c r="OP288" s="7"/>
      <c r="OQ288" s="7"/>
      <c r="OR288" s="7"/>
      <c r="OS288" s="7"/>
      <c r="OT288" s="7"/>
      <c r="OU288" s="7"/>
      <c r="OV288" s="7"/>
      <c r="OW288" s="7"/>
      <c r="OX288" s="7"/>
      <c r="OY288" s="7"/>
      <c r="OZ288" s="7"/>
      <c r="PA288" s="7"/>
      <c r="PB288" s="7"/>
      <c r="PC288" s="7"/>
      <c r="PD288" s="7"/>
      <c r="PE288" s="7"/>
      <c r="PF288" s="7"/>
      <c r="PG288" s="7"/>
      <c r="PH288" s="7"/>
      <c r="PI288" s="7"/>
      <c r="PJ288" s="7"/>
      <c r="PK288" s="7"/>
      <c r="PL288" s="7"/>
      <c r="PM288" s="7"/>
      <c r="PN288" s="7"/>
      <c r="PO288" s="7"/>
      <c r="PP288" s="7"/>
      <c r="PQ288" s="7"/>
      <c r="PR288" s="7"/>
      <c r="PS288" s="7"/>
      <c r="PT288" s="7"/>
      <c r="PU288" s="7"/>
      <c r="PV288" s="7"/>
      <c r="PW288" s="7"/>
      <c r="PX288" s="7"/>
      <c r="PY288" s="7"/>
      <c r="PZ288" s="7"/>
      <c r="QA288" s="7"/>
      <c r="QB288" s="7"/>
      <c r="QC288" s="7"/>
      <c r="QD288" s="7"/>
      <c r="QE288" s="7"/>
      <c r="QF288" s="7"/>
      <c r="QG288" s="7"/>
      <c r="QH288" s="7"/>
      <c r="QI288" s="7"/>
      <c r="QJ288" s="7"/>
      <c r="QK288" s="7"/>
      <c r="QL288" s="7"/>
      <c r="QM288" s="7"/>
      <c r="QN288" s="7"/>
      <c r="QO288" s="7"/>
      <c r="QP288" s="7"/>
      <c r="QQ288" s="7"/>
      <c r="QR288" s="7"/>
      <c r="QS288" s="7"/>
      <c r="QT288" s="7"/>
      <c r="QU288" s="7"/>
      <c r="QV288" s="7"/>
      <c r="QW288" s="7"/>
      <c r="QX288" s="7"/>
      <c r="QY288" s="7"/>
      <c r="QZ288" s="7"/>
      <c r="RA288" s="7"/>
      <c r="RB288" s="7"/>
      <c r="RC288" s="7"/>
      <c r="RD288" s="7"/>
      <c r="RE288" s="7"/>
      <c r="RF288" s="7"/>
      <c r="RG288" s="7"/>
      <c r="RH288" s="7"/>
      <c r="RI288" s="7"/>
      <c r="RJ288" s="7"/>
      <c r="RK288" s="7"/>
      <c r="RL288" s="7"/>
      <c r="RM288" s="7"/>
      <c r="RN288" s="7"/>
      <c r="RO288" s="7"/>
      <c r="RP288" s="7"/>
      <c r="RQ288" s="7"/>
      <c r="RR288" s="7"/>
      <c r="RS288" s="7"/>
      <c r="RT288" s="7"/>
      <c r="RU288" s="7"/>
      <c r="RV288" s="7"/>
      <c r="RW288" s="7"/>
      <c r="RX288" s="7"/>
      <c r="RY288" s="7"/>
      <c r="RZ288" s="7"/>
      <c r="SA288" s="7"/>
      <c r="SB288" s="7"/>
      <c r="SC288" s="7"/>
      <c r="SD288" s="7"/>
      <c r="SE288" s="7"/>
      <c r="SF288" s="7"/>
      <c r="SG288" s="7"/>
      <c r="SH288" s="7"/>
      <c r="SI288" s="7"/>
      <c r="SJ288" s="7"/>
      <c r="SK288" s="7"/>
      <c r="SL288" s="7"/>
      <c r="SM288" s="7"/>
      <c r="SN288" s="7"/>
      <c r="SO288" s="7"/>
      <c r="SP288" s="7"/>
      <c r="SQ288" s="7"/>
      <c r="SR288" s="7"/>
      <c r="SS288" s="7"/>
    </row>
    <row r="289" spans="2:513" ht="15" customHeight="1" x14ac:dyDescent="0.25">
      <c r="B289" s="2" t="s">
        <v>23</v>
      </c>
      <c r="C289" s="3"/>
      <c r="D289" s="2" t="s">
        <v>22</v>
      </c>
      <c r="E289" s="3"/>
      <c r="F289" s="2" t="s">
        <v>255</v>
      </c>
      <c r="G289" s="3"/>
      <c r="H289" s="47" t="s">
        <v>214</v>
      </c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3"/>
      <c r="U289" s="47" t="s">
        <v>24</v>
      </c>
      <c r="V289" s="47"/>
      <c r="W289" s="47"/>
      <c r="X289" s="47"/>
      <c r="Y289" s="47"/>
      <c r="Z289" s="47"/>
      <c r="AA289" s="47"/>
      <c r="AB289" s="47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</row>
    <row r="290" spans="2:513" ht="15" customHeight="1" x14ac:dyDescent="0.25">
      <c r="B290" s="2">
        <f>L2</f>
        <v>0</v>
      </c>
      <c r="C290" s="3"/>
      <c r="D290" s="2">
        <f ca="1">W84</f>
        <v>0</v>
      </c>
      <c r="E290" s="3"/>
      <c r="F290" s="2" t="b">
        <f>H2</f>
        <v>1</v>
      </c>
      <c r="G290" s="3"/>
      <c r="H290" s="2">
        <f t="shared" ref="H290:S290" ca="1" si="69">R284</f>
        <v>0</v>
      </c>
      <c r="I290" s="2">
        <f t="shared" ref="I290:R290" ca="1" si="70">S284</f>
        <v>0</v>
      </c>
      <c r="J290" s="2">
        <f t="shared" ca="1" si="70"/>
        <v>0</v>
      </c>
      <c r="K290" s="2">
        <f t="shared" ca="1" si="70"/>
        <v>0</v>
      </c>
      <c r="L290" s="2">
        <f t="shared" ca="1" si="70"/>
        <v>0</v>
      </c>
      <c r="M290" s="2">
        <f t="shared" ca="1" si="70"/>
        <v>0</v>
      </c>
      <c r="N290" s="2">
        <f t="shared" ca="1" si="70"/>
        <v>0</v>
      </c>
      <c r="O290" s="2">
        <f t="shared" ca="1" si="70"/>
        <v>0</v>
      </c>
      <c r="P290" s="2">
        <f t="shared" ca="1" si="70"/>
        <v>0</v>
      </c>
      <c r="Q290" s="2">
        <f t="shared" ca="1" si="70"/>
        <v>0</v>
      </c>
      <c r="R290" s="2">
        <f t="shared" ca="1" si="70"/>
        <v>0</v>
      </c>
      <c r="S290" s="2">
        <f t="shared" ca="1" si="69"/>
        <v>0</v>
      </c>
      <c r="T290" s="3"/>
      <c r="U290" s="2">
        <f t="shared" ref="U290:AB290" ca="1" si="71">BB284</f>
        <v>0</v>
      </c>
      <c r="V290" s="2">
        <f t="shared" ca="1" si="71"/>
        <v>0</v>
      </c>
      <c r="W290" s="2">
        <f t="shared" ca="1" si="71"/>
        <v>0</v>
      </c>
      <c r="X290" s="2">
        <f t="shared" ca="1" si="71"/>
        <v>0</v>
      </c>
      <c r="Y290" s="2">
        <f t="shared" ca="1" si="71"/>
        <v>0</v>
      </c>
      <c r="Z290" s="2">
        <f t="shared" ca="1" si="71"/>
        <v>0</v>
      </c>
      <c r="AA290" s="2">
        <f t="shared" ca="1" si="71"/>
        <v>0</v>
      </c>
      <c r="AB290" s="2">
        <f t="shared" ca="1" si="71"/>
        <v>0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</row>
    <row r="291" spans="2:513" ht="15" customHeight="1" x14ac:dyDescent="0.25">
      <c r="B291" s="3"/>
      <c r="C291" s="3"/>
      <c r="D291" s="3"/>
      <c r="E291" s="3"/>
      <c r="F291" s="3"/>
      <c r="G291" s="3"/>
      <c r="H291" s="50">
        <f ca="1">(H290*4)+(I290*2)+(J290*1)</f>
        <v>0</v>
      </c>
      <c r="I291" s="50"/>
      <c r="J291" s="50"/>
      <c r="K291" s="50">
        <f ca="1">(K290*4)+(L290*2)+(M290*1)</f>
        <v>0</v>
      </c>
      <c r="L291" s="50"/>
      <c r="M291" s="50"/>
      <c r="N291" s="50">
        <f ca="1">(N290*4)+(O290*2)+(P290*1)</f>
        <v>0</v>
      </c>
      <c r="O291" s="50"/>
      <c r="P291" s="50"/>
      <c r="Q291" s="50">
        <f ca="1">((Q290*4)+(R290*2)+(S290*1))*8</f>
        <v>0</v>
      </c>
      <c r="R291" s="50"/>
      <c r="S291" s="50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</row>
    <row r="292" spans="2:513" ht="15" customHeight="1" x14ac:dyDescent="0.25">
      <c r="B292" s="59" t="s">
        <v>273</v>
      </c>
      <c r="C292" s="59"/>
      <c r="D292" s="59"/>
      <c r="E292" s="59"/>
      <c r="F292" s="59"/>
      <c r="G292" s="59"/>
      <c r="H292" s="59"/>
      <c r="I292" s="59"/>
      <c r="J292" s="5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  <c r="KS292" s="7"/>
      <c r="KT292" s="7"/>
      <c r="KU292" s="7"/>
      <c r="KV292" s="7"/>
      <c r="KW292" s="7"/>
      <c r="KX292" s="7"/>
      <c r="KY292" s="7"/>
      <c r="KZ292" s="7"/>
      <c r="LA292" s="7"/>
      <c r="LB292" s="7"/>
      <c r="LC292" s="7"/>
      <c r="LD292" s="7"/>
      <c r="LE292" s="7"/>
      <c r="LF292" s="7"/>
      <c r="LG292" s="7"/>
      <c r="LH292" s="7"/>
      <c r="LI292" s="7"/>
      <c r="LJ292" s="7"/>
      <c r="LK292" s="7"/>
      <c r="LL292" s="7"/>
      <c r="LM292" s="7"/>
      <c r="LN292" s="7"/>
      <c r="LO292" s="7"/>
      <c r="LP292" s="7"/>
      <c r="LQ292" s="7"/>
      <c r="LR292" s="7"/>
      <c r="LS292" s="7"/>
      <c r="LT292" s="7"/>
      <c r="LU292" s="7"/>
      <c r="LV292" s="7"/>
      <c r="LW292" s="7"/>
      <c r="LX292" s="7"/>
      <c r="LY292" s="7"/>
      <c r="LZ292" s="7"/>
      <c r="MA292" s="7"/>
      <c r="MB292" s="7"/>
      <c r="MC292" s="7"/>
      <c r="MD292" s="7"/>
      <c r="ME292" s="7"/>
      <c r="MF292" s="7"/>
      <c r="MG292" s="7"/>
      <c r="MH292" s="7"/>
      <c r="MI292" s="7"/>
      <c r="MJ292" s="7"/>
      <c r="MK292" s="7"/>
      <c r="ML292" s="7"/>
      <c r="MM292" s="7"/>
      <c r="MN292" s="7"/>
      <c r="MO292" s="7"/>
      <c r="MP292" s="7"/>
      <c r="MQ292" s="7"/>
      <c r="MR292" s="7"/>
      <c r="MS292" s="7"/>
      <c r="MT292" s="7"/>
      <c r="MU292" s="7"/>
      <c r="MV292" s="7"/>
      <c r="MW292" s="7"/>
      <c r="MX292" s="7"/>
      <c r="MY292" s="7"/>
      <c r="MZ292" s="7"/>
      <c r="NA292" s="7"/>
      <c r="NB292" s="7"/>
      <c r="NC292" s="7"/>
      <c r="ND292" s="7"/>
      <c r="NE292" s="7"/>
      <c r="NF292" s="7"/>
      <c r="NG292" s="7"/>
      <c r="NH292" s="7"/>
      <c r="NI292" s="7"/>
      <c r="NJ292" s="7"/>
      <c r="NK292" s="7"/>
      <c r="NL292" s="7"/>
      <c r="NM292" s="7"/>
      <c r="NN292" s="7"/>
      <c r="NO292" s="7"/>
      <c r="NP292" s="7"/>
      <c r="NQ292" s="7"/>
      <c r="NR292" s="7"/>
      <c r="NS292" s="7"/>
      <c r="NT292" s="7"/>
      <c r="NU292" s="7"/>
      <c r="NV292" s="7"/>
      <c r="NW292" s="7"/>
      <c r="NX292" s="7"/>
      <c r="NY292" s="7"/>
      <c r="NZ292" s="7"/>
      <c r="OA292" s="7"/>
      <c r="OB292" s="7"/>
      <c r="OC292" s="7"/>
      <c r="OD292" s="7"/>
      <c r="OE292" s="7"/>
      <c r="OF292" s="7"/>
      <c r="OG292" s="7"/>
      <c r="OH292" s="7"/>
      <c r="OI292" s="7"/>
      <c r="OJ292" s="7"/>
      <c r="OK292" s="7"/>
      <c r="OL292" s="7"/>
      <c r="OM292" s="7"/>
      <c r="ON292" s="7"/>
      <c r="OO292" s="7"/>
      <c r="OP292" s="7"/>
      <c r="OQ292" s="7"/>
      <c r="OR292" s="7"/>
      <c r="OS292" s="7"/>
      <c r="OT292" s="7"/>
      <c r="OU292" s="7"/>
      <c r="OV292" s="7"/>
      <c r="OW292" s="7"/>
      <c r="OX292" s="7"/>
      <c r="OY292" s="7"/>
      <c r="OZ292" s="7"/>
      <c r="PA292" s="7"/>
      <c r="PB292" s="7"/>
      <c r="PC292" s="7"/>
      <c r="PD292" s="7"/>
      <c r="PE292" s="7"/>
      <c r="PF292" s="7"/>
      <c r="PG292" s="7"/>
      <c r="PH292" s="7"/>
      <c r="PI292" s="7"/>
      <c r="PJ292" s="7"/>
      <c r="PK292" s="7"/>
      <c r="PL292" s="7"/>
      <c r="PM292" s="7"/>
      <c r="PN292" s="7"/>
      <c r="PO292" s="7"/>
      <c r="PP292" s="7"/>
      <c r="PQ292" s="7"/>
      <c r="PR292" s="7"/>
      <c r="PS292" s="7"/>
      <c r="PT292" s="7"/>
      <c r="PU292" s="7"/>
      <c r="PV292" s="7"/>
      <c r="PW292" s="7"/>
      <c r="PX292" s="7"/>
      <c r="PY292" s="7"/>
      <c r="PZ292" s="7"/>
      <c r="QA292" s="7"/>
      <c r="QB292" s="7"/>
      <c r="QC292" s="7"/>
      <c r="QD292" s="7"/>
      <c r="QE292" s="7"/>
      <c r="QF292" s="7"/>
      <c r="QG292" s="7"/>
      <c r="QH292" s="7"/>
      <c r="QI292" s="7"/>
      <c r="QJ292" s="7"/>
      <c r="QK292" s="7"/>
      <c r="QL292" s="7"/>
      <c r="QM292" s="7"/>
      <c r="QN292" s="7"/>
      <c r="QO292" s="7"/>
      <c r="QP292" s="7"/>
      <c r="QQ292" s="7"/>
      <c r="QR292" s="7"/>
      <c r="QS292" s="7"/>
      <c r="QT292" s="7"/>
      <c r="QU292" s="7"/>
      <c r="QV292" s="7"/>
      <c r="QW292" s="7"/>
      <c r="QX292" s="7"/>
      <c r="QY292" s="7"/>
      <c r="QZ292" s="7"/>
      <c r="RA292" s="7"/>
      <c r="RB292" s="7"/>
      <c r="RC292" s="7"/>
      <c r="RD292" s="7"/>
      <c r="RE292" s="7"/>
      <c r="RF292" s="7"/>
      <c r="RG292" s="7"/>
      <c r="RH292" s="7"/>
      <c r="RI292" s="7"/>
      <c r="RJ292" s="7"/>
      <c r="RK292" s="7"/>
      <c r="RL292" s="7"/>
      <c r="RM292" s="7"/>
      <c r="RN292" s="7"/>
      <c r="RO292" s="7"/>
      <c r="RP292" s="7"/>
      <c r="RQ292" s="7"/>
      <c r="RR292" s="7"/>
      <c r="RS292" s="7"/>
      <c r="RT292" s="7"/>
      <c r="RU292" s="7"/>
      <c r="RV292" s="7"/>
      <c r="RW292" s="7"/>
      <c r="RX292" s="7"/>
      <c r="RY292" s="7"/>
      <c r="RZ292" s="7"/>
      <c r="SA292" s="7"/>
      <c r="SB292" s="7"/>
      <c r="SC292" s="7"/>
      <c r="SD292" s="7"/>
      <c r="SE292" s="7"/>
      <c r="SF292" s="7"/>
      <c r="SG292" s="7"/>
      <c r="SH292" s="7"/>
      <c r="SI292" s="7"/>
      <c r="SJ292" s="7"/>
      <c r="SK292" s="7"/>
      <c r="SL292" s="7"/>
      <c r="SM292" s="7"/>
      <c r="SN292" s="7"/>
      <c r="SO292" s="7"/>
      <c r="SP292" s="7"/>
      <c r="SQ292" s="7"/>
      <c r="SR292" s="7"/>
      <c r="SS292" s="7"/>
    </row>
    <row r="293" spans="2:513" ht="15" customHeight="1" x14ac:dyDescent="0.25">
      <c r="B293" s="3"/>
      <c r="C293" s="18">
        <v>0</v>
      </c>
      <c r="D293" s="18">
        <v>1</v>
      </c>
      <c r="E293" s="18">
        <v>2</v>
      </c>
      <c r="F293" s="18">
        <v>3</v>
      </c>
      <c r="G293" s="18">
        <v>4</v>
      </c>
      <c r="H293" s="18">
        <v>5</v>
      </c>
      <c r="I293" s="18">
        <v>6</v>
      </c>
      <c r="J293" s="18">
        <v>7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</row>
    <row r="294" spans="2:513" ht="15" customHeight="1" x14ac:dyDescent="0.25">
      <c r="B294" s="18">
        <v>0</v>
      </c>
      <c r="C294" s="19">
        <f t="shared" ref="C294:J301" ca="1" si="72">IF(AND($B$290,$D$290),AND(COLUMN()-COLUMN($C$294)=$N$291,ROW()-ROW($C$294)=$H$291), 0)</f>
        <v>0</v>
      </c>
      <c r="D294" s="19">
        <f t="shared" ca="1" si="72"/>
        <v>0</v>
      </c>
      <c r="E294" s="19">
        <f t="shared" ca="1" si="72"/>
        <v>0</v>
      </c>
      <c r="F294" s="19">
        <f t="shared" ca="1" si="72"/>
        <v>0</v>
      </c>
      <c r="G294" s="19">
        <f t="shared" ca="1" si="72"/>
        <v>0</v>
      </c>
      <c r="H294" s="19">
        <f t="shared" ca="1" si="72"/>
        <v>0</v>
      </c>
      <c r="I294" s="19">
        <f t="shared" ca="1" si="72"/>
        <v>0</v>
      </c>
      <c r="J294" s="19">
        <f t="shared" ca="1" si="72"/>
        <v>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  <c r="SS294" s="3"/>
    </row>
    <row r="295" spans="2:513" ht="15" customHeight="1" x14ac:dyDescent="0.25">
      <c r="B295" s="18">
        <v>1</v>
      </c>
      <c r="C295" s="19">
        <f t="shared" ca="1" si="72"/>
        <v>0</v>
      </c>
      <c r="D295" s="19">
        <f t="shared" ca="1" si="72"/>
        <v>0</v>
      </c>
      <c r="E295" s="19">
        <f t="shared" ca="1" si="72"/>
        <v>0</v>
      </c>
      <c r="F295" s="19">
        <f t="shared" ca="1" si="72"/>
        <v>0</v>
      </c>
      <c r="G295" s="19">
        <f t="shared" ca="1" si="72"/>
        <v>0</v>
      </c>
      <c r="H295" s="19">
        <f t="shared" ca="1" si="72"/>
        <v>0</v>
      </c>
      <c r="I295" s="19">
        <f t="shared" ca="1" si="72"/>
        <v>0</v>
      </c>
      <c r="J295" s="19">
        <f t="shared" ca="1" si="72"/>
        <v>0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</row>
    <row r="296" spans="2:513" ht="15" customHeight="1" x14ac:dyDescent="0.25">
      <c r="B296" s="18">
        <v>2</v>
      </c>
      <c r="C296" s="19">
        <f t="shared" ca="1" si="72"/>
        <v>0</v>
      </c>
      <c r="D296" s="19">
        <f t="shared" ca="1" si="72"/>
        <v>0</v>
      </c>
      <c r="E296" s="19">
        <f t="shared" ca="1" si="72"/>
        <v>0</v>
      </c>
      <c r="F296" s="19">
        <f t="shared" ca="1" si="72"/>
        <v>0</v>
      </c>
      <c r="G296" s="19">
        <f t="shared" ca="1" si="72"/>
        <v>0</v>
      </c>
      <c r="H296" s="19">
        <f t="shared" ca="1" si="72"/>
        <v>0</v>
      </c>
      <c r="I296" s="19">
        <f t="shared" ca="1" si="72"/>
        <v>0</v>
      </c>
      <c r="J296" s="19">
        <f t="shared" ca="1" si="72"/>
        <v>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</row>
    <row r="297" spans="2:513" ht="15" customHeight="1" x14ac:dyDescent="0.25">
      <c r="B297" s="18">
        <v>3</v>
      </c>
      <c r="C297" s="19">
        <f t="shared" ca="1" si="72"/>
        <v>0</v>
      </c>
      <c r="D297" s="19">
        <f t="shared" ca="1" si="72"/>
        <v>0</v>
      </c>
      <c r="E297" s="19">
        <f t="shared" ca="1" si="72"/>
        <v>0</v>
      </c>
      <c r="F297" s="19">
        <f t="shared" ca="1" si="72"/>
        <v>0</v>
      </c>
      <c r="G297" s="19">
        <f t="shared" ca="1" si="72"/>
        <v>0</v>
      </c>
      <c r="H297" s="19">
        <f t="shared" ca="1" si="72"/>
        <v>0</v>
      </c>
      <c r="I297" s="19">
        <f t="shared" ca="1" si="72"/>
        <v>0</v>
      </c>
      <c r="J297" s="19">
        <f t="shared" ca="1" si="72"/>
        <v>0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</row>
    <row r="298" spans="2:513" ht="15" customHeight="1" x14ac:dyDescent="0.25">
      <c r="B298" s="18">
        <v>4</v>
      </c>
      <c r="C298" s="19">
        <f t="shared" ca="1" si="72"/>
        <v>0</v>
      </c>
      <c r="D298" s="19">
        <f t="shared" ca="1" si="72"/>
        <v>0</v>
      </c>
      <c r="E298" s="19">
        <f t="shared" ca="1" si="72"/>
        <v>0</v>
      </c>
      <c r="F298" s="19">
        <f t="shared" ca="1" si="72"/>
        <v>0</v>
      </c>
      <c r="G298" s="19">
        <f t="shared" ca="1" si="72"/>
        <v>0</v>
      </c>
      <c r="H298" s="19">
        <f t="shared" ca="1" si="72"/>
        <v>0</v>
      </c>
      <c r="I298" s="19">
        <f t="shared" ca="1" si="72"/>
        <v>0</v>
      </c>
      <c r="J298" s="19">
        <f t="shared" ca="1" si="72"/>
        <v>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</row>
    <row r="299" spans="2:513" ht="15" customHeight="1" x14ac:dyDescent="0.25">
      <c r="B299" s="18">
        <v>5</v>
      </c>
      <c r="C299" s="19">
        <f t="shared" ca="1" si="72"/>
        <v>0</v>
      </c>
      <c r="D299" s="19">
        <f t="shared" ca="1" si="72"/>
        <v>0</v>
      </c>
      <c r="E299" s="19">
        <f t="shared" ca="1" si="72"/>
        <v>0</v>
      </c>
      <c r="F299" s="19">
        <f t="shared" ca="1" si="72"/>
        <v>0</v>
      </c>
      <c r="G299" s="19">
        <f t="shared" ca="1" si="72"/>
        <v>0</v>
      </c>
      <c r="H299" s="19">
        <f t="shared" ca="1" si="72"/>
        <v>0</v>
      </c>
      <c r="I299" s="19">
        <f t="shared" ca="1" si="72"/>
        <v>0</v>
      </c>
      <c r="J299" s="19">
        <f t="shared" ca="1" si="72"/>
        <v>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</row>
    <row r="300" spans="2:513" ht="15" customHeight="1" x14ac:dyDescent="0.25">
      <c r="B300" s="18">
        <v>6</v>
      </c>
      <c r="C300" s="19">
        <f t="shared" ca="1" si="72"/>
        <v>0</v>
      </c>
      <c r="D300" s="19">
        <f t="shared" ca="1" si="72"/>
        <v>0</v>
      </c>
      <c r="E300" s="19">
        <f t="shared" ca="1" si="72"/>
        <v>0</v>
      </c>
      <c r="F300" s="19">
        <f t="shared" ca="1" si="72"/>
        <v>0</v>
      </c>
      <c r="G300" s="19">
        <f t="shared" ca="1" si="72"/>
        <v>0</v>
      </c>
      <c r="H300" s="19">
        <f t="shared" ca="1" si="72"/>
        <v>0</v>
      </c>
      <c r="I300" s="19">
        <f t="shared" ca="1" si="72"/>
        <v>0</v>
      </c>
      <c r="J300" s="19">
        <f t="shared" ca="1" si="72"/>
        <v>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  <c r="SS300" s="3"/>
    </row>
    <row r="301" spans="2:513" ht="15" customHeight="1" x14ac:dyDescent="0.25">
      <c r="B301" s="18">
        <v>7</v>
      </c>
      <c r="C301" s="19">
        <f t="shared" ca="1" si="72"/>
        <v>0</v>
      </c>
      <c r="D301" s="19">
        <f t="shared" ca="1" si="72"/>
        <v>0</v>
      </c>
      <c r="E301" s="19">
        <f t="shared" ca="1" si="72"/>
        <v>0</v>
      </c>
      <c r="F301" s="19">
        <f t="shared" ca="1" si="72"/>
        <v>0</v>
      </c>
      <c r="G301" s="19">
        <f t="shared" ca="1" si="72"/>
        <v>0</v>
      </c>
      <c r="H301" s="19">
        <f t="shared" ca="1" si="72"/>
        <v>0</v>
      </c>
      <c r="I301" s="19">
        <f t="shared" ca="1" si="72"/>
        <v>0</v>
      </c>
      <c r="J301" s="19">
        <f t="shared" ca="1" si="72"/>
        <v>0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</row>
    <row r="302" spans="2:513" ht="15" customHeight="1" x14ac:dyDescent="0.25">
      <c r="B302" s="59" t="s">
        <v>272</v>
      </c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7"/>
      <c r="KS302" s="7"/>
      <c r="KT302" s="7"/>
      <c r="KU302" s="7"/>
      <c r="KV302" s="7"/>
      <c r="KW302" s="7"/>
      <c r="KX302" s="7"/>
      <c r="KY302" s="7"/>
      <c r="KZ302" s="7"/>
      <c r="LA302" s="7"/>
      <c r="LB302" s="7"/>
      <c r="LC302" s="7"/>
      <c r="LD302" s="7"/>
      <c r="LE302" s="7"/>
      <c r="LF302" s="7"/>
      <c r="LG302" s="7"/>
      <c r="LH302" s="7"/>
      <c r="LI302" s="7"/>
      <c r="LJ302" s="7"/>
      <c r="LK302" s="7"/>
      <c r="LL302" s="7"/>
      <c r="LM302" s="7"/>
      <c r="LN302" s="7"/>
      <c r="LO302" s="7"/>
      <c r="LP302" s="7"/>
      <c r="LQ302" s="7"/>
      <c r="LR302" s="7"/>
      <c r="LS302" s="7"/>
      <c r="LT302" s="7"/>
      <c r="LU302" s="7"/>
      <c r="LV302" s="7"/>
      <c r="LW302" s="7"/>
      <c r="LX302" s="7"/>
      <c r="LY302" s="7"/>
      <c r="LZ302" s="7"/>
      <c r="MA302" s="7"/>
      <c r="MB302" s="7"/>
      <c r="MC302" s="7"/>
      <c r="MD302" s="7"/>
      <c r="ME302" s="7"/>
      <c r="MF302" s="7"/>
      <c r="MG302" s="7"/>
      <c r="MH302" s="7"/>
      <c r="MI302" s="7"/>
      <c r="MJ302" s="7"/>
      <c r="MK302" s="7"/>
      <c r="ML302" s="7"/>
      <c r="MM302" s="7"/>
      <c r="MN302" s="7"/>
      <c r="MO302" s="7"/>
      <c r="MP302" s="7"/>
      <c r="MQ302" s="7"/>
      <c r="MR302" s="7"/>
      <c r="MS302" s="7"/>
      <c r="MT302" s="7"/>
      <c r="MU302" s="7"/>
      <c r="MV302" s="7"/>
      <c r="MW302" s="7"/>
      <c r="MX302" s="7"/>
      <c r="MY302" s="7"/>
      <c r="MZ302" s="7"/>
      <c r="NA302" s="7"/>
      <c r="NB302" s="7"/>
      <c r="NC302" s="7"/>
      <c r="ND302" s="7"/>
      <c r="NE302" s="7"/>
      <c r="NF302" s="7"/>
      <c r="NG302" s="7"/>
      <c r="NH302" s="7"/>
      <c r="NI302" s="7"/>
      <c r="NJ302" s="7"/>
      <c r="NK302" s="7"/>
      <c r="NL302" s="7"/>
      <c r="NM302" s="7"/>
      <c r="NN302" s="7"/>
      <c r="NO302" s="7"/>
      <c r="NP302" s="7"/>
      <c r="NQ302" s="7"/>
      <c r="NR302" s="7"/>
      <c r="NS302" s="7"/>
      <c r="NT302" s="7"/>
      <c r="NU302" s="7"/>
      <c r="NV302" s="7"/>
      <c r="NW302" s="7"/>
      <c r="NX302" s="7"/>
      <c r="NY302" s="7"/>
      <c r="NZ302" s="7"/>
      <c r="OA302" s="7"/>
      <c r="OB302" s="7"/>
      <c r="OC302" s="7"/>
      <c r="OD302" s="7"/>
      <c r="OE302" s="7"/>
      <c r="OF302" s="7"/>
      <c r="OG302" s="7"/>
      <c r="OH302" s="7"/>
      <c r="OI302" s="7"/>
      <c r="OJ302" s="7"/>
      <c r="OK302" s="7"/>
      <c r="OL302" s="7"/>
      <c r="OM302" s="7"/>
      <c r="ON302" s="7"/>
      <c r="OO302" s="7"/>
      <c r="OP302" s="7"/>
      <c r="OQ302" s="7"/>
      <c r="OR302" s="7"/>
      <c r="OS302" s="7"/>
      <c r="OT302" s="7"/>
      <c r="OU302" s="7"/>
      <c r="OV302" s="7"/>
      <c r="OW302" s="7"/>
      <c r="OX302" s="7"/>
      <c r="OY302" s="7"/>
      <c r="OZ302" s="7"/>
      <c r="PA302" s="7"/>
      <c r="PB302" s="7"/>
      <c r="PC302" s="7"/>
      <c r="PD302" s="7"/>
      <c r="PE302" s="7"/>
      <c r="PF302" s="7"/>
      <c r="PG302" s="7"/>
      <c r="PH302" s="7"/>
      <c r="PI302" s="7"/>
      <c r="PJ302" s="7"/>
      <c r="PK302" s="7"/>
      <c r="PL302" s="7"/>
      <c r="PM302" s="7"/>
      <c r="PN302" s="7"/>
      <c r="PO302" s="7"/>
      <c r="PP302" s="7"/>
      <c r="PQ302" s="7"/>
      <c r="PR302" s="7"/>
      <c r="PS302" s="7"/>
      <c r="PT302" s="7"/>
      <c r="PU302" s="7"/>
      <c r="PV302" s="7"/>
      <c r="PW302" s="7"/>
      <c r="PX302" s="7"/>
      <c r="PY302" s="7"/>
      <c r="PZ302" s="7"/>
      <c r="QA302" s="7"/>
      <c r="QB302" s="7"/>
      <c r="QC302" s="7"/>
      <c r="QD302" s="7"/>
      <c r="QE302" s="7"/>
      <c r="QF302" s="7"/>
      <c r="QG302" s="7"/>
      <c r="QH302" s="7"/>
      <c r="QI302" s="7"/>
      <c r="QJ302" s="7"/>
      <c r="QK302" s="7"/>
      <c r="QL302" s="7"/>
      <c r="QM302" s="7"/>
      <c r="QN302" s="7"/>
      <c r="QO302" s="7"/>
      <c r="QP302" s="7"/>
      <c r="QQ302" s="7"/>
      <c r="QR302" s="7"/>
      <c r="QS302" s="7"/>
      <c r="QT302" s="7"/>
      <c r="QU302" s="7"/>
      <c r="QV302" s="7"/>
      <c r="QW302" s="7"/>
      <c r="QX302" s="7"/>
      <c r="QY302" s="7"/>
      <c r="QZ302" s="7"/>
      <c r="RA302" s="7"/>
      <c r="RB302" s="7"/>
      <c r="RC302" s="7"/>
      <c r="RD302" s="7"/>
      <c r="RE302" s="7"/>
      <c r="RF302" s="7"/>
      <c r="RG302" s="7"/>
      <c r="RH302" s="7"/>
      <c r="RI302" s="7"/>
      <c r="RJ302" s="7"/>
      <c r="RK302" s="7"/>
      <c r="RL302" s="7"/>
      <c r="RM302" s="7"/>
      <c r="RN302" s="7"/>
      <c r="RO302" s="7"/>
      <c r="RP302" s="7"/>
      <c r="RQ302" s="7"/>
      <c r="RR302" s="7"/>
      <c r="RS302" s="7"/>
      <c r="RT302" s="7"/>
      <c r="RU302" s="7"/>
      <c r="RV302" s="7"/>
      <c r="RW302" s="7"/>
      <c r="RX302" s="7"/>
      <c r="RY302" s="7"/>
      <c r="RZ302" s="7"/>
      <c r="SA302" s="7"/>
      <c r="SB302" s="7"/>
      <c r="SC302" s="7"/>
      <c r="SD302" s="7"/>
      <c r="SE302" s="7"/>
      <c r="SF302" s="7"/>
      <c r="SG302" s="7"/>
      <c r="SH302" s="7"/>
      <c r="SI302" s="7"/>
      <c r="SJ302" s="7"/>
      <c r="SK302" s="7"/>
      <c r="SL302" s="7"/>
      <c r="SM302" s="7"/>
      <c r="SN302" s="7"/>
      <c r="SO302" s="7"/>
      <c r="SP302" s="7"/>
      <c r="SQ302" s="7"/>
      <c r="SR302" s="7"/>
      <c r="SS302" s="7"/>
    </row>
    <row r="303" spans="2:513" ht="15" customHeight="1" x14ac:dyDescent="0.25">
      <c r="B303" s="21">
        <f t="shared" ref="B303:I303" si="73">IF($F$290, 0, IF($C$294, IF(AND(COLUMN($B$303)-COLUMN($B$303)=$Q$291,ROW($B$303)-ROW($B$303)=$K$291), U$290, B303), B303))</f>
        <v>0</v>
      </c>
      <c r="C303" s="21">
        <f t="shared" si="73"/>
        <v>0</v>
      </c>
      <c r="D303" s="21">
        <f t="shared" si="73"/>
        <v>0</v>
      </c>
      <c r="E303" s="21">
        <f t="shared" si="73"/>
        <v>0</v>
      </c>
      <c r="F303" s="21">
        <f t="shared" si="73"/>
        <v>0</v>
      </c>
      <c r="G303" s="21">
        <f t="shared" si="73"/>
        <v>0</v>
      </c>
      <c r="H303" s="21">
        <f t="shared" si="73"/>
        <v>0</v>
      </c>
      <c r="I303" s="21">
        <f t="shared" si="73"/>
        <v>0</v>
      </c>
      <c r="J303" s="21">
        <f t="shared" ref="J303:Q303" si="74">IF($F$290, 0, IF($C$294, IF(AND(COLUMN($J$303)-COLUMN($B$303)=$Q$291,ROW($J$303)-ROW($B$303)=$K$291), U$290, J303), J303))</f>
        <v>0</v>
      </c>
      <c r="K303" s="21">
        <f t="shared" si="74"/>
        <v>0</v>
      </c>
      <c r="L303" s="21">
        <f t="shared" si="74"/>
        <v>0</v>
      </c>
      <c r="M303" s="21">
        <f t="shared" si="74"/>
        <v>0</v>
      </c>
      <c r="N303" s="21">
        <f t="shared" si="74"/>
        <v>0</v>
      </c>
      <c r="O303" s="21">
        <f t="shared" si="74"/>
        <v>0</v>
      </c>
      <c r="P303" s="21">
        <f t="shared" si="74"/>
        <v>0</v>
      </c>
      <c r="Q303" s="21">
        <f t="shared" si="74"/>
        <v>0</v>
      </c>
      <c r="R303" s="21">
        <f>IF($F$290, 0, IF($C$294, IF(AND(COLUMN($R$303)-COLUMN($B$303)=$Q$291,ROW($R$303)-ROW($B$303)=$K$291), U$290, R303), R303))</f>
        <v>0</v>
      </c>
      <c r="S303" s="21">
        <f t="shared" ref="S303:Y303" si="75">IF($F$290, 0, IF($C$294, IF(AND(COLUMN($R$303)-COLUMN($B$303)=$Q$291,ROW($R$303)-ROW($B$303)=$K$291), V$290, S303), S303))</f>
        <v>0</v>
      </c>
      <c r="T303" s="21">
        <f t="shared" si="75"/>
        <v>0</v>
      </c>
      <c r="U303" s="21">
        <f t="shared" si="75"/>
        <v>0</v>
      </c>
      <c r="V303" s="21">
        <f t="shared" si="75"/>
        <v>0</v>
      </c>
      <c r="W303" s="21">
        <f t="shared" si="75"/>
        <v>0</v>
      </c>
      <c r="X303" s="21">
        <f t="shared" si="75"/>
        <v>0</v>
      </c>
      <c r="Y303" s="21">
        <f t="shared" si="75"/>
        <v>0</v>
      </c>
      <c r="Z303" s="21">
        <f t="shared" ref="Z303:AG303" si="76">IF($F$290, 0, IF($C$294, IF(AND(COLUMN($Z$303)-COLUMN($B$303)=$Q$291,ROW($Z$303)-ROW($B$303)=$K$291), U$290, Z303), Z303))</f>
        <v>0</v>
      </c>
      <c r="AA303" s="21">
        <f t="shared" si="76"/>
        <v>0</v>
      </c>
      <c r="AB303" s="21">
        <f t="shared" si="76"/>
        <v>0</v>
      </c>
      <c r="AC303" s="21">
        <f t="shared" si="76"/>
        <v>0</v>
      </c>
      <c r="AD303" s="21">
        <f t="shared" si="76"/>
        <v>0</v>
      </c>
      <c r="AE303" s="21">
        <f t="shared" si="76"/>
        <v>0</v>
      </c>
      <c r="AF303" s="21">
        <f t="shared" si="76"/>
        <v>0</v>
      </c>
      <c r="AG303" s="21">
        <f t="shared" si="76"/>
        <v>0</v>
      </c>
      <c r="AH303" s="21">
        <f t="shared" ref="AH303:AO303" si="77">IF($F$290, 0, IF($C$294, IF(AND(COLUMN($AH$303)-COLUMN($B$303)=$Q$291,ROW($AH$303)-ROW($B$303)=$K$291), U$290, AH303), AH303))</f>
        <v>0</v>
      </c>
      <c r="AI303" s="21">
        <f t="shared" si="77"/>
        <v>0</v>
      </c>
      <c r="AJ303" s="21">
        <f t="shared" si="77"/>
        <v>0</v>
      </c>
      <c r="AK303" s="21">
        <f t="shared" si="77"/>
        <v>0</v>
      </c>
      <c r="AL303" s="21">
        <f t="shared" si="77"/>
        <v>0</v>
      </c>
      <c r="AM303" s="21">
        <f t="shared" si="77"/>
        <v>0</v>
      </c>
      <c r="AN303" s="21">
        <f t="shared" si="77"/>
        <v>0</v>
      </c>
      <c r="AO303" s="21">
        <f t="shared" si="77"/>
        <v>0</v>
      </c>
      <c r="AP303" s="21">
        <f t="shared" ref="AP303:AW303" si="78">IF($F$290, 0, IF($C$294, IF(AND(COLUMN($AP$303)-COLUMN($B$303)=$Q$291,ROW($AP$303)-ROW($B$303)=$K$291), U$290, AP303), AP303))</f>
        <v>0</v>
      </c>
      <c r="AQ303" s="21">
        <f t="shared" si="78"/>
        <v>0</v>
      </c>
      <c r="AR303" s="21">
        <f t="shared" si="78"/>
        <v>0</v>
      </c>
      <c r="AS303" s="21">
        <f t="shared" si="78"/>
        <v>0</v>
      </c>
      <c r="AT303" s="21">
        <f t="shared" si="78"/>
        <v>0</v>
      </c>
      <c r="AU303" s="21">
        <f t="shared" si="78"/>
        <v>0</v>
      </c>
      <c r="AV303" s="21">
        <f t="shared" si="78"/>
        <v>0</v>
      </c>
      <c r="AW303" s="21">
        <f t="shared" si="78"/>
        <v>0</v>
      </c>
      <c r="AX303" s="21">
        <f t="shared" ref="AX303:BE303" si="79">IF($F$290, 0, IF($C$294, IF(AND(COLUMN($AX$303)-COLUMN($B$303)=$Q$291,ROW($AX$303)-ROW($B$303)=$K$291), U$290, AX303), AX303))</f>
        <v>0</v>
      </c>
      <c r="AY303" s="21">
        <f t="shared" si="79"/>
        <v>0</v>
      </c>
      <c r="AZ303" s="21">
        <f t="shared" si="79"/>
        <v>0</v>
      </c>
      <c r="BA303" s="21">
        <f t="shared" si="79"/>
        <v>0</v>
      </c>
      <c r="BB303" s="21">
        <f t="shared" si="79"/>
        <v>0</v>
      </c>
      <c r="BC303" s="21">
        <f t="shared" si="79"/>
        <v>0</v>
      </c>
      <c r="BD303" s="21">
        <f t="shared" si="79"/>
        <v>0</v>
      </c>
      <c r="BE303" s="21">
        <f t="shared" si="79"/>
        <v>0</v>
      </c>
      <c r="BF303" s="21">
        <f t="shared" ref="BF303:BM303" si="80">IF($F$290, 0, IF($C$294, IF(AND(COLUMN($BF$303)-COLUMN($B$303)=$Q$291,ROW($BF$303)-ROW($B$303)=$K$291), U$290, BF303), BF303))</f>
        <v>0</v>
      </c>
      <c r="BG303" s="21">
        <f t="shared" si="80"/>
        <v>0</v>
      </c>
      <c r="BH303" s="21">
        <f t="shared" si="80"/>
        <v>0</v>
      </c>
      <c r="BI303" s="21">
        <f t="shared" si="80"/>
        <v>0</v>
      </c>
      <c r="BJ303" s="21">
        <f t="shared" si="80"/>
        <v>0</v>
      </c>
      <c r="BK303" s="21">
        <f t="shared" si="80"/>
        <v>0</v>
      </c>
      <c r="BL303" s="21">
        <f t="shared" si="80"/>
        <v>0</v>
      </c>
      <c r="BM303" s="21">
        <f t="shared" si="80"/>
        <v>0</v>
      </c>
      <c r="BN303" s="21">
        <f t="shared" ref="BN303:BU303" si="81">IF($F$290, 0, IF($D$294, IF(AND(COLUMN($BN$303)-COLUMN($BN$303)=$Q$291,ROW($BN$303)-ROW($BN$303)=$K$291), U$290, BN303), BN303))</f>
        <v>0</v>
      </c>
      <c r="BO303" s="21">
        <f t="shared" si="81"/>
        <v>0</v>
      </c>
      <c r="BP303" s="21">
        <f t="shared" si="81"/>
        <v>0</v>
      </c>
      <c r="BQ303" s="21">
        <f t="shared" si="81"/>
        <v>0</v>
      </c>
      <c r="BR303" s="21">
        <f t="shared" si="81"/>
        <v>0</v>
      </c>
      <c r="BS303" s="21">
        <f t="shared" si="81"/>
        <v>0</v>
      </c>
      <c r="BT303" s="21">
        <f t="shared" si="81"/>
        <v>0</v>
      </c>
      <c r="BU303" s="21">
        <f t="shared" si="81"/>
        <v>0</v>
      </c>
      <c r="BV303" s="21">
        <f t="shared" ref="BV303:CC303" si="82">IF($F$290, 0, IF($D$294, IF(AND(COLUMN($BV$303)-COLUMN($BN$303)=$Q$291,ROW($BV$303)-ROW($BN$303)=$K$291), U$290, BV303), BV303))</f>
        <v>0</v>
      </c>
      <c r="BW303" s="21">
        <f t="shared" si="82"/>
        <v>0</v>
      </c>
      <c r="BX303" s="21">
        <f t="shared" si="82"/>
        <v>0</v>
      </c>
      <c r="BY303" s="21">
        <f t="shared" si="82"/>
        <v>0</v>
      </c>
      <c r="BZ303" s="21">
        <f t="shared" si="82"/>
        <v>0</v>
      </c>
      <c r="CA303" s="21">
        <f t="shared" si="82"/>
        <v>0</v>
      </c>
      <c r="CB303" s="21">
        <f t="shared" si="82"/>
        <v>0</v>
      </c>
      <c r="CC303" s="21">
        <f t="shared" si="82"/>
        <v>0</v>
      </c>
      <c r="CD303" s="21">
        <f t="shared" ref="CD303:CK303" si="83">IF($F$290, 0, IF($D$294, IF(AND(COLUMN($CD$303)-COLUMN($BN$303)=$Q$291,ROW($CD$303)-ROW($BN$303)=$K$291), U$290, CD303), CD303))</f>
        <v>0</v>
      </c>
      <c r="CE303" s="21">
        <f t="shared" si="83"/>
        <v>0</v>
      </c>
      <c r="CF303" s="21">
        <f t="shared" si="83"/>
        <v>0</v>
      </c>
      <c r="CG303" s="21">
        <f t="shared" si="83"/>
        <v>0</v>
      </c>
      <c r="CH303" s="21">
        <f t="shared" si="83"/>
        <v>0</v>
      </c>
      <c r="CI303" s="21">
        <f t="shared" si="83"/>
        <v>0</v>
      </c>
      <c r="CJ303" s="21">
        <f t="shared" si="83"/>
        <v>0</v>
      </c>
      <c r="CK303" s="21">
        <f t="shared" si="83"/>
        <v>0</v>
      </c>
      <c r="CL303" s="21">
        <f t="shared" ref="CL303:CS303" si="84">IF($F$290, 0, IF($D$294, IF(AND(COLUMN($CL$303)-COLUMN($BN$303)=$Q$291,ROW($CL$303)-ROW($BN$303)=$K$291), U$290, CL303), CL303))</f>
        <v>0</v>
      </c>
      <c r="CM303" s="21">
        <f t="shared" si="84"/>
        <v>0</v>
      </c>
      <c r="CN303" s="21">
        <f t="shared" si="84"/>
        <v>0</v>
      </c>
      <c r="CO303" s="21">
        <f t="shared" si="84"/>
        <v>0</v>
      </c>
      <c r="CP303" s="21">
        <f t="shared" si="84"/>
        <v>0</v>
      </c>
      <c r="CQ303" s="21">
        <f t="shared" si="84"/>
        <v>0</v>
      </c>
      <c r="CR303" s="21">
        <f t="shared" si="84"/>
        <v>0</v>
      </c>
      <c r="CS303" s="21">
        <f t="shared" si="84"/>
        <v>0</v>
      </c>
      <c r="CT303" s="21">
        <f t="shared" ref="CT303:DA303" si="85">IF($F$290, 0, IF($D$294, IF(AND(COLUMN($CT$303)-COLUMN($BN$303)=$Q$291,ROW($CT$303)-ROW($BN$303)=$K$291), U$290, CT303), CT303))</f>
        <v>0</v>
      </c>
      <c r="CU303" s="21">
        <f t="shared" si="85"/>
        <v>0</v>
      </c>
      <c r="CV303" s="21">
        <f t="shared" si="85"/>
        <v>0</v>
      </c>
      <c r="CW303" s="21">
        <f t="shared" si="85"/>
        <v>0</v>
      </c>
      <c r="CX303" s="21">
        <f t="shared" si="85"/>
        <v>0</v>
      </c>
      <c r="CY303" s="21">
        <f t="shared" si="85"/>
        <v>0</v>
      </c>
      <c r="CZ303" s="21">
        <f t="shared" si="85"/>
        <v>0</v>
      </c>
      <c r="DA303" s="21">
        <f t="shared" si="85"/>
        <v>0</v>
      </c>
      <c r="DB303" s="21">
        <f t="shared" ref="DB303:DI303" si="86">IF($F$290, 0, IF($D$294, IF(AND(COLUMN($DB$303)-COLUMN($BN$303)=$Q$291,ROW($DB$303)-ROW($BN$303)=$K$291), U$290, DB303), DB303))</f>
        <v>0</v>
      </c>
      <c r="DC303" s="21">
        <f t="shared" si="86"/>
        <v>0</v>
      </c>
      <c r="DD303" s="21">
        <f t="shared" si="86"/>
        <v>0</v>
      </c>
      <c r="DE303" s="21">
        <f t="shared" si="86"/>
        <v>0</v>
      </c>
      <c r="DF303" s="21">
        <f t="shared" si="86"/>
        <v>0</v>
      </c>
      <c r="DG303" s="21">
        <f t="shared" si="86"/>
        <v>0</v>
      </c>
      <c r="DH303" s="21">
        <f t="shared" si="86"/>
        <v>0</v>
      </c>
      <c r="DI303" s="21">
        <f t="shared" si="86"/>
        <v>0</v>
      </c>
      <c r="DJ303" s="21">
        <f t="shared" ref="DJ303:DQ303" si="87">IF($F$290, 0, IF($D$294, IF(AND(COLUMN($DJ$303)-COLUMN($BN$303)=$Q$291,ROW($DJ$303)-ROW($BN$303)=$K$291), U$290, DJ303), DJ303))</f>
        <v>0</v>
      </c>
      <c r="DK303" s="21">
        <f t="shared" si="87"/>
        <v>0</v>
      </c>
      <c r="DL303" s="21">
        <f t="shared" si="87"/>
        <v>0</v>
      </c>
      <c r="DM303" s="21">
        <f t="shared" si="87"/>
        <v>0</v>
      </c>
      <c r="DN303" s="21">
        <f t="shared" si="87"/>
        <v>0</v>
      </c>
      <c r="DO303" s="21">
        <f t="shared" si="87"/>
        <v>0</v>
      </c>
      <c r="DP303" s="21">
        <f t="shared" si="87"/>
        <v>0</v>
      </c>
      <c r="DQ303" s="21">
        <f t="shared" si="87"/>
        <v>0</v>
      </c>
      <c r="DR303" s="21">
        <f t="shared" ref="DR303:DY303" si="88">IF($F$290, 0, IF($D$294, IF(AND(COLUMN($DR$303)-COLUMN($BN$303)=$Q$291,ROW($DR$303)-ROW($BN$303)=$K$291), U$290, DR303), DR303))</f>
        <v>0</v>
      </c>
      <c r="DS303" s="21">
        <f t="shared" si="88"/>
        <v>0</v>
      </c>
      <c r="DT303" s="21">
        <f t="shared" si="88"/>
        <v>0</v>
      </c>
      <c r="DU303" s="21">
        <f t="shared" si="88"/>
        <v>0</v>
      </c>
      <c r="DV303" s="21">
        <f t="shared" si="88"/>
        <v>0</v>
      </c>
      <c r="DW303" s="21">
        <f t="shared" si="88"/>
        <v>0</v>
      </c>
      <c r="DX303" s="21">
        <f t="shared" si="88"/>
        <v>0</v>
      </c>
      <c r="DY303" s="21">
        <f t="shared" si="88"/>
        <v>0</v>
      </c>
      <c r="DZ303" s="21">
        <f t="shared" ref="DZ303:EG303" si="89">IF($F$290, 0, IF($E$294, IF(AND(COLUMN($DZ$303)-COLUMN($DZ$303)=$Q$291,ROW($DZ$303)-ROW($DZ$303)=$K$291), U$290, DZ303), DZ303))</f>
        <v>0</v>
      </c>
      <c r="EA303" s="21">
        <f t="shared" si="89"/>
        <v>0</v>
      </c>
      <c r="EB303" s="21">
        <f t="shared" si="89"/>
        <v>0</v>
      </c>
      <c r="EC303" s="21">
        <f t="shared" si="89"/>
        <v>0</v>
      </c>
      <c r="ED303" s="21">
        <f t="shared" si="89"/>
        <v>0</v>
      </c>
      <c r="EE303" s="21">
        <f t="shared" si="89"/>
        <v>0</v>
      </c>
      <c r="EF303" s="21">
        <f t="shared" si="89"/>
        <v>0</v>
      </c>
      <c r="EG303" s="21">
        <f t="shared" si="89"/>
        <v>0</v>
      </c>
      <c r="EH303" s="21">
        <f t="shared" ref="EH303:EO303" si="90">IF($F$290, 0, IF($E$294, IF(AND(COLUMN($EH$303)-COLUMN($DZ$303)=$Q$291,ROW($EH$303)-ROW($DZ$303)=$K$291), U$290, EH303), EH303))</f>
        <v>0</v>
      </c>
      <c r="EI303" s="21">
        <f t="shared" si="90"/>
        <v>0</v>
      </c>
      <c r="EJ303" s="21">
        <f t="shared" si="90"/>
        <v>0</v>
      </c>
      <c r="EK303" s="21">
        <f t="shared" si="90"/>
        <v>0</v>
      </c>
      <c r="EL303" s="21">
        <f t="shared" si="90"/>
        <v>0</v>
      </c>
      <c r="EM303" s="21">
        <f t="shared" si="90"/>
        <v>0</v>
      </c>
      <c r="EN303" s="21">
        <f t="shared" si="90"/>
        <v>0</v>
      </c>
      <c r="EO303" s="21">
        <f t="shared" si="90"/>
        <v>0</v>
      </c>
      <c r="EP303" s="21">
        <f t="shared" ref="EP303:EW303" si="91">IF($F$290, 0, IF($E$294, IF(AND(COLUMN($EP$303)-COLUMN($DZ$303)=$Q$291,ROW($EP$303)-ROW($DZ$303)=$K$291), U$290, EP303), EP303))</f>
        <v>0</v>
      </c>
      <c r="EQ303" s="21">
        <f t="shared" si="91"/>
        <v>0</v>
      </c>
      <c r="ER303" s="21">
        <f t="shared" si="91"/>
        <v>0</v>
      </c>
      <c r="ES303" s="21">
        <f t="shared" si="91"/>
        <v>0</v>
      </c>
      <c r="ET303" s="21">
        <f t="shared" si="91"/>
        <v>0</v>
      </c>
      <c r="EU303" s="21">
        <f t="shared" si="91"/>
        <v>0</v>
      </c>
      <c r="EV303" s="21">
        <f t="shared" si="91"/>
        <v>0</v>
      </c>
      <c r="EW303" s="21">
        <f t="shared" si="91"/>
        <v>0</v>
      </c>
      <c r="EX303" s="21">
        <f t="shared" ref="EX303:FE303" si="92">IF($F$290, 0, IF($E$294, IF(AND(COLUMN($EX$303)-COLUMN($DZ$303)=$Q$291,ROW($EX$303)-ROW($DZ$303)=$K$291), U$290, EX303), EX303))</f>
        <v>0</v>
      </c>
      <c r="EY303" s="21">
        <f t="shared" si="92"/>
        <v>0</v>
      </c>
      <c r="EZ303" s="21">
        <f t="shared" si="92"/>
        <v>0</v>
      </c>
      <c r="FA303" s="21">
        <f t="shared" si="92"/>
        <v>0</v>
      </c>
      <c r="FB303" s="21">
        <f t="shared" si="92"/>
        <v>0</v>
      </c>
      <c r="FC303" s="21">
        <f t="shared" si="92"/>
        <v>0</v>
      </c>
      <c r="FD303" s="21">
        <f t="shared" si="92"/>
        <v>0</v>
      </c>
      <c r="FE303" s="21">
        <f t="shared" si="92"/>
        <v>0</v>
      </c>
      <c r="FF303" s="21">
        <f t="shared" ref="FF303:FM303" si="93">IF($F$290, 0, IF($E$294, IF(AND(COLUMN($FF$303)-COLUMN($DZ$303)=$Q$291,ROW($FF$303)-ROW($DZ$303)=$K$291), U$290, FF303), FF303))</f>
        <v>0</v>
      </c>
      <c r="FG303" s="21">
        <f t="shared" si="93"/>
        <v>0</v>
      </c>
      <c r="FH303" s="21">
        <f t="shared" si="93"/>
        <v>0</v>
      </c>
      <c r="FI303" s="21">
        <f t="shared" si="93"/>
        <v>0</v>
      </c>
      <c r="FJ303" s="21">
        <f t="shared" si="93"/>
        <v>0</v>
      </c>
      <c r="FK303" s="21">
        <f t="shared" si="93"/>
        <v>0</v>
      </c>
      <c r="FL303" s="21">
        <f t="shared" si="93"/>
        <v>0</v>
      </c>
      <c r="FM303" s="21">
        <f t="shared" si="93"/>
        <v>0</v>
      </c>
      <c r="FN303" s="21">
        <f t="shared" ref="FN303:FU303" si="94">IF($F$290, 0, IF($E$294, IF(AND(COLUMN($FN$303)-COLUMN($DZ$303)=$Q$291,ROW($FN$303)-ROW($DZ$303)=$K$291), U$290, FN303), FN303))</f>
        <v>0</v>
      </c>
      <c r="FO303" s="21">
        <f t="shared" si="94"/>
        <v>0</v>
      </c>
      <c r="FP303" s="21">
        <f t="shared" si="94"/>
        <v>0</v>
      </c>
      <c r="FQ303" s="21">
        <f t="shared" si="94"/>
        <v>0</v>
      </c>
      <c r="FR303" s="21">
        <f t="shared" si="94"/>
        <v>0</v>
      </c>
      <c r="FS303" s="21">
        <f t="shared" si="94"/>
        <v>0</v>
      </c>
      <c r="FT303" s="21">
        <f t="shared" si="94"/>
        <v>0</v>
      </c>
      <c r="FU303" s="21">
        <f t="shared" si="94"/>
        <v>0</v>
      </c>
      <c r="FV303" s="21">
        <f t="shared" ref="FV303:GC303" si="95">IF($F$290, 0, IF($E$294, IF(AND(COLUMN($FV$303)-COLUMN($DZ$303)=$Q$291,ROW($FV$303)-ROW($DZ$303)=$K$291), U$290, FV303), FV303))</f>
        <v>0</v>
      </c>
      <c r="FW303" s="21">
        <f t="shared" si="95"/>
        <v>0</v>
      </c>
      <c r="FX303" s="21">
        <f t="shared" si="95"/>
        <v>0</v>
      </c>
      <c r="FY303" s="21">
        <f t="shared" si="95"/>
        <v>0</v>
      </c>
      <c r="FZ303" s="21">
        <f t="shared" si="95"/>
        <v>0</v>
      </c>
      <c r="GA303" s="21">
        <f t="shared" si="95"/>
        <v>0</v>
      </c>
      <c r="GB303" s="21">
        <f t="shared" si="95"/>
        <v>0</v>
      </c>
      <c r="GC303" s="21">
        <f t="shared" si="95"/>
        <v>0</v>
      </c>
      <c r="GD303" s="21">
        <f t="shared" ref="GD303:GK303" si="96">IF($F$290, 0, IF($E$294, IF(AND(COLUMN($GD$303)-COLUMN($DZ$303)=$Q$291,ROW($GD$303)-ROW($DZ$303)=$K$291), U$290, GD303), GD303))</f>
        <v>0</v>
      </c>
      <c r="GE303" s="21">
        <f t="shared" si="96"/>
        <v>0</v>
      </c>
      <c r="GF303" s="21">
        <f t="shared" si="96"/>
        <v>0</v>
      </c>
      <c r="GG303" s="21">
        <f t="shared" si="96"/>
        <v>0</v>
      </c>
      <c r="GH303" s="21">
        <f t="shared" si="96"/>
        <v>0</v>
      </c>
      <c r="GI303" s="21">
        <f t="shared" si="96"/>
        <v>0</v>
      </c>
      <c r="GJ303" s="21">
        <f t="shared" si="96"/>
        <v>0</v>
      </c>
      <c r="GK303" s="21">
        <f t="shared" si="96"/>
        <v>0</v>
      </c>
      <c r="GL303" s="21">
        <f t="shared" ref="GL303:GS303" si="97">IF($F$290, 0, IF($F$294, IF(AND(COLUMN($GL$303)-COLUMN($GL$303)=$Q$291,ROW($GL$303)-ROW($GL$303)=$K$291), U$290, GL303), GL303))</f>
        <v>0</v>
      </c>
      <c r="GM303" s="21">
        <f t="shared" si="97"/>
        <v>0</v>
      </c>
      <c r="GN303" s="21">
        <f t="shared" si="97"/>
        <v>0</v>
      </c>
      <c r="GO303" s="21">
        <f t="shared" si="97"/>
        <v>0</v>
      </c>
      <c r="GP303" s="21">
        <f t="shared" si="97"/>
        <v>0</v>
      </c>
      <c r="GQ303" s="21">
        <f t="shared" si="97"/>
        <v>0</v>
      </c>
      <c r="GR303" s="21">
        <f t="shared" si="97"/>
        <v>0</v>
      </c>
      <c r="GS303" s="21">
        <f t="shared" si="97"/>
        <v>0</v>
      </c>
      <c r="GT303" s="21">
        <f t="shared" ref="GT303:HA303" si="98">IF($F$290, 0, IF($F$294, IF(AND(COLUMN($GT$303)-COLUMN($GL$303)=$Q$291,ROW($GT$303)-ROW($GL$303)=$K$291), U$290, GT303), GT303))</f>
        <v>0</v>
      </c>
      <c r="GU303" s="21">
        <f t="shared" si="98"/>
        <v>0</v>
      </c>
      <c r="GV303" s="21">
        <f t="shared" si="98"/>
        <v>0</v>
      </c>
      <c r="GW303" s="21">
        <f t="shared" si="98"/>
        <v>0</v>
      </c>
      <c r="GX303" s="21">
        <f t="shared" si="98"/>
        <v>0</v>
      </c>
      <c r="GY303" s="21">
        <f t="shared" si="98"/>
        <v>0</v>
      </c>
      <c r="GZ303" s="21">
        <f t="shared" si="98"/>
        <v>0</v>
      </c>
      <c r="HA303" s="21">
        <f t="shared" si="98"/>
        <v>0</v>
      </c>
      <c r="HB303" s="21">
        <f t="shared" ref="HB303:HI303" si="99">IF($F$290, 0, IF($F$294, IF(AND(COLUMN($HB$303)-COLUMN($GL$303)=$Q$291,ROW($HB$303)-ROW($GL$303)=$K$291), U$290, HB303), HB303))</f>
        <v>0</v>
      </c>
      <c r="HC303" s="21">
        <f t="shared" si="99"/>
        <v>0</v>
      </c>
      <c r="HD303" s="21">
        <f t="shared" si="99"/>
        <v>0</v>
      </c>
      <c r="HE303" s="21">
        <f t="shared" si="99"/>
        <v>0</v>
      </c>
      <c r="HF303" s="21">
        <f t="shared" si="99"/>
        <v>0</v>
      </c>
      <c r="HG303" s="21">
        <f t="shared" si="99"/>
        <v>0</v>
      </c>
      <c r="HH303" s="21">
        <f t="shared" si="99"/>
        <v>0</v>
      </c>
      <c r="HI303" s="21">
        <f t="shared" si="99"/>
        <v>0</v>
      </c>
      <c r="HJ303" s="21">
        <f t="shared" ref="HJ303:HQ303" si="100">IF($F$290, 0, IF($F$294, IF(AND(COLUMN($HJ$303)-COLUMN($GL$303)=$Q$291,ROW($HJ$303)-ROW($GL$303)=$K$291), U$290, HJ303), HJ303))</f>
        <v>0</v>
      </c>
      <c r="HK303" s="21">
        <f t="shared" si="100"/>
        <v>0</v>
      </c>
      <c r="HL303" s="21">
        <f t="shared" si="100"/>
        <v>0</v>
      </c>
      <c r="HM303" s="21">
        <f t="shared" si="100"/>
        <v>0</v>
      </c>
      <c r="HN303" s="21">
        <f t="shared" si="100"/>
        <v>0</v>
      </c>
      <c r="HO303" s="21">
        <f t="shared" si="100"/>
        <v>0</v>
      </c>
      <c r="HP303" s="21">
        <f t="shared" si="100"/>
        <v>0</v>
      </c>
      <c r="HQ303" s="21">
        <f t="shared" si="100"/>
        <v>0</v>
      </c>
      <c r="HR303" s="21">
        <f t="shared" ref="HR303:HY303" si="101">IF($F$290, 0, IF($F$294, IF(AND(COLUMN($HR$303)-COLUMN($GL$303)=$Q$291,ROW($HR$303)-ROW($GL$303)=$K$291), U$290, HR303), HR303))</f>
        <v>0</v>
      </c>
      <c r="HS303" s="21">
        <f t="shared" si="101"/>
        <v>0</v>
      </c>
      <c r="HT303" s="21">
        <f t="shared" si="101"/>
        <v>0</v>
      </c>
      <c r="HU303" s="21">
        <f t="shared" si="101"/>
        <v>0</v>
      </c>
      <c r="HV303" s="21">
        <f t="shared" si="101"/>
        <v>0</v>
      </c>
      <c r="HW303" s="21">
        <f t="shared" si="101"/>
        <v>0</v>
      </c>
      <c r="HX303" s="21">
        <f t="shared" si="101"/>
        <v>0</v>
      </c>
      <c r="HY303" s="21">
        <f t="shared" si="101"/>
        <v>0</v>
      </c>
      <c r="HZ303" s="21">
        <f t="shared" ref="HZ303:IG303" si="102">IF($F$290, 0, IF($F$294, IF(AND(COLUMN($HZ$303)-COLUMN($GL$303)=$Q$291,ROW($HZ$303)-ROW($GL$303)=$K$291), U$290, HZ303), HZ303))</f>
        <v>0</v>
      </c>
      <c r="IA303" s="21">
        <f t="shared" si="102"/>
        <v>0</v>
      </c>
      <c r="IB303" s="21">
        <f t="shared" si="102"/>
        <v>0</v>
      </c>
      <c r="IC303" s="21">
        <f t="shared" si="102"/>
        <v>0</v>
      </c>
      <c r="ID303" s="21">
        <f t="shared" si="102"/>
        <v>0</v>
      </c>
      <c r="IE303" s="21">
        <f t="shared" si="102"/>
        <v>0</v>
      </c>
      <c r="IF303" s="21">
        <f t="shared" si="102"/>
        <v>0</v>
      </c>
      <c r="IG303" s="21">
        <f t="shared" si="102"/>
        <v>0</v>
      </c>
      <c r="IH303" s="21">
        <f t="shared" ref="IH303:IO303" si="103">IF($F$290, 0, IF($F$294, IF(AND(COLUMN($IH$303)-COLUMN($GL$303)=$Q$291,ROW($IH$303)-ROW($GL$303)=$K$291), U$290, IH303), IH303))</f>
        <v>0</v>
      </c>
      <c r="II303" s="21">
        <f t="shared" si="103"/>
        <v>0</v>
      </c>
      <c r="IJ303" s="21">
        <f t="shared" si="103"/>
        <v>0</v>
      </c>
      <c r="IK303" s="21">
        <f t="shared" si="103"/>
        <v>0</v>
      </c>
      <c r="IL303" s="21">
        <f t="shared" si="103"/>
        <v>0</v>
      </c>
      <c r="IM303" s="21">
        <f t="shared" si="103"/>
        <v>0</v>
      </c>
      <c r="IN303" s="21">
        <f t="shared" si="103"/>
        <v>0</v>
      </c>
      <c r="IO303" s="21">
        <f t="shared" si="103"/>
        <v>0</v>
      </c>
      <c r="IP303" s="21">
        <f t="shared" ref="IP303:IW303" si="104">IF($F$290, 0, IF($F$294, IF(AND(COLUMN($IP$303)-COLUMN($GL$303)=$Q$291,ROW($IP$303)-ROW($GL$303)=$K$291), U$290, IP303), IP303))</f>
        <v>0</v>
      </c>
      <c r="IQ303" s="21">
        <f t="shared" si="104"/>
        <v>0</v>
      </c>
      <c r="IR303" s="21">
        <f t="shared" si="104"/>
        <v>0</v>
      </c>
      <c r="IS303" s="21">
        <f t="shared" si="104"/>
        <v>0</v>
      </c>
      <c r="IT303" s="21">
        <f t="shared" si="104"/>
        <v>0</v>
      </c>
      <c r="IU303" s="21">
        <f t="shared" si="104"/>
        <v>0</v>
      </c>
      <c r="IV303" s="21">
        <f t="shared" si="104"/>
        <v>0</v>
      </c>
      <c r="IW303" s="21">
        <f t="shared" si="104"/>
        <v>0</v>
      </c>
      <c r="IX303" s="21">
        <f t="shared" ref="IX303:JE303" si="105">IF($F$290, 0, IF($G$294, IF(AND(COLUMN($IX$303)-COLUMN($IX$303)=$Q$291,ROW($IX$303)-ROW($IX$303)=$K$291), U$290, IX303), IX303))</f>
        <v>0</v>
      </c>
      <c r="IY303" s="21">
        <f t="shared" si="105"/>
        <v>0</v>
      </c>
      <c r="IZ303" s="21">
        <f t="shared" si="105"/>
        <v>0</v>
      </c>
      <c r="JA303" s="21">
        <f t="shared" si="105"/>
        <v>0</v>
      </c>
      <c r="JB303" s="21">
        <f t="shared" si="105"/>
        <v>0</v>
      </c>
      <c r="JC303" s="21">
        <f t="shared" si="105"/>
        <v>0</v>
      </c>
      <c r="JD303" s="21">
        <f t="shared" si="105"/>
        <v>0</v>
      </c>
      <c r="JE303" s="21">
        <f t="shared" si="105"/>
        <v>0</v>
      </c>
      <c r="JF303" s="21">
        <f t="shared" ref="JF303:JM303" si="106">IF($F$290, 0, IF($G$294, IF(AND(COLUMN($JF$303)-COLUMN($IX$303)=$Q$291,ROW($JF$303)-ROW($IX$303)=$K$291), U$290, JF303), JF303))</f>
        <v>0</v>
      </c>
      <c r="JG303" s="21">
        <f t="shared" si="106"/>
        <v>0</v>
      </c>
      <c r="JH303" s="21">
        <f t="shared" si="106"/>
        <v>0</v>
      </c>
      <c r="JI303" s="21">
        <f t="shared" si="106"/>
        <v>0</v>
      </c>
      <c r="JJ303" s="21">
        <f t="shared" si="106"/>
        <v>0</v>
      </c>
      <c r="JK303" s="21">
        <f t="shared" si="106"/>
        <v>0</v>
      </c>
      <c r="JL303" s="21">
        <f t="shared" si="106"/>
        <v>0</v>
      </c>
      <c r="JM303" s="21">
        <f t="shared" si="106"/>
        <v>0</v>
      </c>
      <c r="JN303" s="21">
        <f t="shared" ref="JN303:JU303" si="107">IF($F$290, 0, IF($G$294, IF(AND(COLUMN($JN$303)-COLUMN($IX$303)=$Q$291,ROW($JN$303)-ROW($IX$303)=$K$291), U$290, JN303), JN303))</f>
        <v>0</v>
      </c>
      <c r="JO303" s="21">
        <f t="shared" si="107"/>
        <v>0</v>
      </c>
      <c r="JP303" s="21">
        <f t="shared" si="107"/>
        <v>0</v>
      </c>
      <c r="JQ303" s="21">
        <f t="shared" si="107"/>
        <v>0</v>
      </c>
      <c r="JR303" s="21">
        <f t="shared" si="107"/>
        <v>0</v>
      </c>
      <c r="JS303" s="21">
        <f t="shared" si="107"/>
        <v>0</v>
      </c>
      <c r="JT303" s="21">
        <f t="shared" si="107"/>
        <v>0</v>
      </c>
      <c r="JU303" s="21">
        <f t="shared" si="107"/>
        <v>0</v>
      </c>
      <c r="JV303" s="21">
        <f t="shared" ref="JV303:KC303" si="108">IF($F$290, 0, IF($G$294, IF(AND(COLUMN($JV$303)-COLUMN($IX$303)=$Q$291,ROW($JV$303)-ROW($IX$303)=$K$291), U$290, JV303), JV303))</f>
        <v>0</v>
      </c>
      <c r="JW303" s="21">
        <f t="shared" si="108"/>
        <v>0</v>
      </c>
      <c r="JX303" s="21">
        <f t="shared" si="108"/>
        <v>0</v>
      </c>
      <c r="JY303" s="21">
        <f t="shared" si="108"/>
        <v>0</v>
      </c>
      <c r="JZ303" s="21">
        <f t="shared" si="108"/>
        <v>0</v>
      </c>
      <c r="KA303" s="21">
        <f t="shared" si="108"/>
        <v>0</v>
      </c>
      <c r="KB303" s="21">
        <f t="shared" si="108"/>
        <v>0</v>
      </c>
      <c r="KC303" s="21">
        <f t="shared" si="108"/>
        <v>0</v>
      </c>
      <c r="KD303" s="21">
        <f t="shared" ref="KD303:KK303" si="109">IF($F$290, 0, IF($G$294, IF(AND(COLUMN($KD$303)-COLUMN($IX$303)=$Q$291,ROW($KD$303)-ROW($IX$303)=$K$291), U$290, KD303), KD303))</f>
        <v>0</v>
      </c>
      <c r="KE303" s="21">
        <f t="shared" si="109"/>
        <v>0</v>
      </c>
      <c r="KF303" s="21">
        <f t="shared" si="109"/>
        <v>0</v>
      </c>
      <c r="KG303" s="21">
        <f t="shared" si="109"/>
        <v>0</v>
      </c>
      <c r="KH303" s="21">
        <f t="shared" si="109"/>
        <v>0</v>
      </c>
      <c r="KI303" s="21">
        <f t="shared" si="109"/>
        <v>0</v>
      </c>
      <c r="KJ303" s="21">
        <f t="shared" si="109"/>
        <v>0</v>
      </c>
      <c r="KK303" s="21">
        <f t="shared" si="109"/>
        <v>0</v>
      </c>
      <c r="KL303" s="21">
        <f t="shared" ref="KL303:KS303" si="110">IF($F$290, 0, IF($G$294, IF(AND(COLUMN($KL$303)-COLUMN($IX$303)=$Q$291,ROW($KL$303)-ROW($IX$303)=$K$291), U$290, KL303), KL303))</f>
        <v>0</v>
      </c>
      <c r="KM303" s="21">
        <f t="shared" si="110"/>
        <v>0</v>
      </c>
      <c r="KN303" s="21">
        <f t="shared" si="110"/>
        <v>0</v>
      </c>
      <c r="KO303" s="21">
        <f t="shared" si="110"/>
        <v>0</v>
      </c>
      <c r="KP303" s="21">
        <f t="shared" si="110"/>
        <v>0</v>
      </c>
      <c r="KQ303" s="21">
        <f t="shared" si="110"/>
        <v>0</v>
      </c>
      <c r="KR303" s="21">
        <f t="shared" si="110"/>
        <v>0</v>
      </c>
      <c r="KS303" s="21">
        <f t="shared" si="110"/>
        <v>0</v>
      </c>
      <c r="KT303" s="21">
        <f t="shared" ref="KT303:LA303" si="111">IF($F$290, 0, IF($G$294, IF(AND(COLUMN($KT$303)-COLUMN($IX$303)=$Q$291,ROW($KT$303)-ROW($IX$303)=$K$291), U$290, KT303), KT303))</f>
        <v>0</v>
      </c>
      <c r="KU303" s="21">
        <f t="shared" si="111"/>
        <v>0</v>
      </c>
      <c r="KV303" s="21">
        <f t="shared" si="111"/>
        <v>0</v>
      </c>
      <c r="KW303" s="21">
        <f t="shared" si="111"/>
        <v>0</v>
      </c>
      <c r="KX303" s="21">
        <f t="shared" si="111"/>
        <v>0</v>
      </c>
      <c r="KY303" s="21">
        <f t="shared" si="111"/>
        <v>0</v>
      </c>
      <c r="KZ303" s="21">
        <f t="shared" si="111"/>
        <v>0</v>
      </c>
      <c r="LA303" s="21">
        <f t="shared" si="111"/>
        <v>0</v>
      </c>
      <c r="LB303" s="21">
        <f t="shared" ref="LB303:LI303" si="112">IF($F$290, 0, IF($G$294, IF(AND(COLUMN($LB$303)-COLUMN($IX$303)=$Q$291,ROW($LB$303)-ROW($IX$303)=$K$291), U$290, LB303), LB303))</f>
        <v>0</v>
      </c>
      <c r="LC303" s="21">
        <f t="shared" si="112"/>
        <v>0</v>
      </c>
      <c r="LD303" s="21">
        <f t="shared" si="112"/>
        <v>0</v>
      </c>
      <c r="LE303" s="21">
        <f t="shared" si="112"/>
        <v>0</v>
      </c>
      <c r="LF303" s="21">
        <f t="shared" si="112"/>
        <v>0</v>
      </c>
      <c r="LG303" s="21">
        <f t="shared" si="112"/>
        <v>0</v>
      </c>
      <c r="LH303" s="21">
        <f t="shared" si="112"/>
        <v>0</v>
      </c>
      <c r="LI303" s="21">
        <f t="shared" si="112"/>
        <v>0</v>
      </c>
      <c r="LJ303" s="21">
        <f t="shared" ref="LJ303:LQ303" si="113">IF($F$290, 0, IF($H$294, IF(AND(COLUMN($LJ$303)-COLUMN($LJ$303)=$Q$291,ROW($LJ$303)-ROW($LJ$303)=$K$291), U$290, LJ303), LJ303))</f>
        <v>0</v>
      </c>
      <c r="LK303" s="21">
        <f t="shared" si="113"/>
        <v>0</v>
      </c>
      <c r="LL303" s="21">
        <f t="shared" si="113"/>
        <v>0</v>
      </c>
      <c r="LM303" s="21">
        <f t="shared" si="113"/>
        <v>0</v>
      </c>
      <c r="LN303" s="21">
        <f t="shared" si="113"/>
        <v>0</v>
      </c>
      <c r="LO303" s="21">
        <f t="shared" si="113"/>
        <v>0</v>
      </c>
      <c r="LP303" s="21">
        <f t="shared" si="113"/>
        <v>0</v>
      </c>
      <c r="LQ303" s="21">
        <f t="shared" si="113"/>
        <v>0</v>
      </c>
      <c r="LR303" s="21">
        <f t="shared" ref="LR303:LY303" si="114">IF($F$290, 0, IF($H$294, IF(AND(COLUMN($LR$303)-COLUMN($LJ$303)=$Q$291,ROW($LR$303)-ROW($LJ$303)=$K$291), U$290, LR303), LR303))</f>
        <v>0</v>
      </c>
      <c r="LS303" s="21">
        <f t="shared" si="114"/>
        <v>0</v>
      </c>
      <c r="LT303" s="21">
        <f t="shared" si="114"/>
        <v>0</v>
      </c>
      <c r="LU303" s="21">
        <f t="shared" si="114"/>
        <v>0</v>
      </c>
      <c r="LV303" s="21">
        <f t="shared" si="114"/>
        <v>0</v>
      </c>
      <c r="LW303" s="21">
        <f t="shared" si="114"/>
        <v>0</v>
      </c>
      <c r="LX303" s="21">
        <f t="shared" si="114"/>
        <v>0</v>
      </c>
      <c r="LY303" s="21">
        <f t="shared" si="114"/>
        <v>0</v>
      </c>
      <c r="LZ303" s="21">
        <f t="shared" ref="LZ303:MG303" si="115">IF($F$290, 0, IF($H$294, IF(AND(COLUMN($LZ$303)-COLUMN($LJ$303)=$Q$291,ROW($LZ$303)-ROW($LJ$303)=$K$291), U$290, LZ303), LZ303))</f>
        <v>0</v>
      </c>
      <c r="MA303" s="21">
        <f t="shared" si="115"/>
        <v>0</v>
      </c>
      <c r="MB303" s="21">
        <f t="shared" si="115"/>
        <v>0</v>
      </c>
      <c r="MC303" s="21">
        <f t="shared" si="115"/>
        <v>0</v>
      </c>
      <c r="MD303" s="21">
        <f t="shared" si="115"/>
        <v>0</v>
      </c>
      <c r="ME303" s="21">
        <f t="shared" si="115"/>
        <v>0</v>
      </c>
      <c r="MF303" s="21">
        <f t="shared" si="115"/>
        <v>0</v>
      </c>
      <c r="MG303" s="21">
        <f t="shared" si="115"/>
        <v>0</v>
      </c>
      <c r="MH303" s="21">
        <f t="shared" ref="MH303:MO303" si="116">IF($F$290, 0, IF($H$294, IF(AND(COLUMN($MH$303)-COLUMN($LJ$303)=$Q$291,ROW($MH$303)-ROW($LJ$303)=$K$291), U$290, MH303), MH303))</f>
        <v>0</v>
      </c>
      <c r="MI303" s="21">
        <f t="shared" si="116"/>
        <v>0</v>
      </c>
      <c r="MJ303" s="21">
        <f t="shared" si="116"/>
        <v>0</v>
      </c>
      <c r="MK303" s="21">
        <f t="shared" si="116"/>
        <v>0</v>
      </c>
      <c r="ML303" s="21">
        <f t="shared" si="116"/>
        <v>0</v>
      </c>
      <c r="MM303" s="21">
        <f t="shared" si="116"/>
        <v>0</v>
      </c>
      <c r="MN303" s="21">
        <f t="shared" si="116"/>
        <v>0</v>
      </c>
      <c r="MO303" s="21">
        <f t="shared" si="116"/>
        <v>0</v>
      </c>
      <c r="MP303" s="21">
        <f t="shared" ref="MP303:MW303" si="117">IF($F$290, 0, IF($H$294, IF(AND(COLUMN($MP$303)-COLUMN($LJ$303)=$Q$291,ROW($MP$303)-ROW($LJ$303)=$K$291), U$290, MP303), MP303))</f>
        <v>0</v>
      </c>
      <c r="MQ303" s="21">
        <f t="shared" si="117"/>
        <v>0</v>
      </c>
      <c r="MR303" s="21">
        <f t="shared" si="117"/>
        <v>0</v>
      </c>
      <c r="MS303" s="21">
        <f t="shared" si="117"/>
        <v>0</v>
      </c>
      <c r="MT303" s="21">
        <f t="shared" si="117"/>
        <v>0</v>
      </c>
      <c r="MU303" s="21">
        <f t="shared" si="117"/>
        <v>0</v>
      </c>
      <c r="MV303" s="21">
        <f t="shared" si="117"/>
        <v>0</v>
      </c>
      <c r="MW303" s="21">
        <f t="shared" si="117"/>
        <v>0</v>
      </c>
      <c r="MX303" s="21">
        <f t="shared" ref="MX303:NE303" si="118">IF($F$290, 0, IF($H$294, IF(AND(COLUMN($MX$303)-COLUMN($LJ$303)=$Q$291,ROW($MX$303)-ROW($LJ$303)=$K$291), U$290, MX303), MX303))</f>
        <v>0</v>
      </c>
      <c r="MY303" s="21">
        <f t="shared" si="118"/>
        <v>0</v>
      </c>
      <c r="MZ303" s="21">
        <f t="shared" si="118"/>
        <v>0</v>
      </c>
      <c r="NA303" s="21">
        <f t="shared" si="118"/>
        <v>0</v>
      </c>
      <c r="NB303" s="21">
        <f t="shared" si="118"/>
        <v>0</v>
      </c>
      <c r="NC303" s="21">
        <f t="shared" si="118"/>
        <v>0</v>
      </c>
      <c r="ND303" s="21">
        <f t="shared" si="118"/>
        <v>0</v>
      </c>
      <c r="NE303" s="21">
        <f t="shared" si="118"/>
        <v>0</v>
      </c>
      <c r="NF303" s="21">
        <f t="shared" ref="NF303:NM303" si="119">IF($F$290, 0, IF($H$294, IF(AND(COLUMN($NF$303)-COLUMN($LJ$303)=$Q$291,ROW($NF$303)-ROW($LJ$303)=$K$291), U$290, NF303), NF303))</f>
        <v>0</v>
      </c>
      <c r="NG303" s="21">
        <f t="shared" si="119"/>
        <v>0</v>
      </c>
      <c r="NH303" s="21">
        <f t="shared" si="119"/>
        <v>0</v>
      </c>
      <c r="NI303" s="21">
        <f t="shared" si="119"/>
        <v>0</v>
      </c>
      <c r="NJ303" s="21">
        <f t="shared" si="119"/>
        <v>0</v>
      </c>
      <c r="NK303" s="21">
        <f t="shared" si="119"/>
        <v>0</v>
      </c>
      <c r="NL303" s="21">
        <f t="shared" si="119"/>
        <v>0</v>
      </c>
      <c r="NM303" s="21">
        <f t="shared" si="119"/>
        <v>0</v>
      </c>
      <c r="NN303" s="21">
        <f t="shared" ref="NN303:NU303" si="120">IF($F$290, 0, IF($H$294, IF(AND(COLUMN($NN$303)-COLUMN($LJ$303)=$Q$291,ROW($NN$303)-ROW($LJ$303)=$K$291), U$290, NN303), NN303))</f>
        <v>0</v>
      </c>
      <c r="NO303" s="21">
        <f t="shared" si="120"/>
        <v>0</v>
      </c>
      <c r="NP303" s="21">
        <f t="shared" si="120"/>
        <v>0</v>
      </c>
      <c r="NQ303" s="21">
        <f t="shared" si="120"/>
        <v>0</v>
      </c>
      <c r="NR303" s="21">
        <f t="shared" si="120"/>
        <v>0</v>
      </c>
      <c r="NS303" s="21">
        <f t="shared" si="120"/>
        <v>0</v>
      </c>
      <c r="NT303" s="21">
        <f t="shared" si="120"/>
        <v>0</v>
      </c>
      <c r="NU303" s="21">
        <f t="shared" si="120"/>
        <v>0</v>
      </c>
      <c r="NV303" s="21">
        <f t="shared" ref="NV303:OC303" si="121">IF($F$290, 0, IF($I$294, IF(AND(COLUMN($NV$303)-COLUMN($NV$303)=$Q$291,ROW($NV$303)-ROW($NV$303)=$K$291), U$290, NV303), NV303))</f>
        <v>0</v>
      </c>
      <c r="NW303" s="21">
        <f t="shared" si="121"/>
        <v>0</v>
      </c>
      <c r="NX303" s="21">
        <f t="shared" si="121"/>
        <v>0</v>
      </c>
      <c r="NY303" s="21">
        <f t="shared" si="121"/>
        <v>0</v>
      </c>
      <c r="NZ303" s="21">
        <f t="shared" si="121"/>
        <v>0</v>
      </c>
      <c r="OA303" s="21">
        <f t="shared" si="121"/>
        <v>0</v>
      </c>
      <c r="OB303" s="21">
        <f t="shared" si="121"/>
        <v>0</v>
      </c>
      <c r="OC303" s="21">
        <f t="shared" si="121"/>
        <v>0</v>
      </c>
      <c r="OD303" s="21">
        <f t="shared" ref="OD303:OK303" si="122">IF($F$290, 0, IF($I$294, IF(AND(COLUMN($OD$303)-COLUMN($NV$303)=$Q$291,ROW($OD$303)-ROW($NV$303)=$K$291), U$290, OD303), OD303))</f>
        <v>0</v>
      </c>
      <c r="OE303" s="21">
        <f t="shared" si="122"/>
        <v>0</v>
      </c>
      <c r="OF303" s="21">
        <f t="shared" si="122"/>
        <v>0</v>
      </c>
      <c r="OG303" s="21">
        <f t="shared" si="122"/>
        <v>0</v>
      </c>
      <c r="OH303" s="21">
        <f t="shared" si="122"/>
        <v>0</v>
      </c>
      <c r="OI303" s="21">
        <f t="shared" si="122"/>
        <v>0</v>
      </c>
      <c r="OJ303" s="21">
        <f t="shared" si="122"/>
        <v>0</v>
      </c>
      <c r="OK303" s="21">
        <f t="shared" si="122"/>
        <v>0</v>
      </c>
      <c r="OL303" s="21">
        <f t="shared" ref="OL303:OS303" si="123">IF($F$290, 0, IF($I$294, IF(AND(COLUMN($OL$303)-COLUMN($NV$303)=$Q$291,ROW($OL$303)-ROW($NV$303)=$K$291), U$290, OL303), OL303))</f>
        <v>0</v>
      </c>
      <c r="OM303" s="21">
        <f t="shared" si="123"/>
        <v>0</v>
      </c>
      <c r="ON303" s="21">
        <f t="shared" si="123"/>
        <v>0</v>
      </c>
      <c r="OO303" s="21">
        <f t="shared" si="123"/>
        <v>0</v>
      </c>
      <c r="OP303" s="21">
        <f t="shared" si="123"/>
        <v>0</v>
      </c>
      <c r="OQ303" s="21">
        <f t="shared" si="123"/>
        <v>0</v>
      </c>
      <c r="OR303" s="21">
        <f t="shared" si="123"/>
        <v>0</v>
      </c>
      <c r="OS303" s="21">
        <f t="shared" si="123"/>
        <v>0</v>
      </c>
      <c r="OT303" s="21">
        <f t="shared" ref="OT303:PA303" si="124">IF($F$290, 0, IF($I$294, IF(AND(COLUMN($OT$303)-COLUMN($NV$303)=$Q$291,ROW($OT$303)-ROW($NV$303)=$K$291), U$290, OT303), OT303))</f>
        <v>0</v>
      </c>
      <c r="OU303" s="21">
        <f t="shared" si="124"/>
        <v>0</v>
      </c>
      <c r="OV303" s="21">
        <f t="shared" si="124"/>
        <v>0</v>
      </c>
      <c r="OW303" s="21">
        <f t="shared" si="124"/>
        <v>0</v>
      </c>
      <c r="OX303" s="21">
        <f t="shared" si="124"/>
        <v>0</v>
      </c>
      <c r="OY303" s="21">
        <f t="shared" si="124"/>
        <v>0</v>
      </c>
      <c r="OZ303" s="21">
        <f t="shared" si="124"/>
        <v>0</v>
      </c>
      <c r="PA303" s="21">
        <f t="shared" si="124"/>
        <v>0</v>
      </c>
      <c r="PB303" s="21">
        <f t="shared" ref="PB303:PI303" si="125">IF($F$290, 0, IF($I$294, IF(AND(COLUMN($PB$303)-COLUMN($NV$303)=$Q$291,ROW($PB$303)-ROW($NV$303)=$K$291), U$290, PB303), PB303))</f>
        <v>0</v>
      </c>
      <c r="PC303" s="21">
        <f t="shared" si="125"/>
        <v>0</v>
      </c>
      <c r="PD303" s="21">
        <f t="shared" si="125"/>
        <v>0</v>
      </c>
      <c r="PE303" s="21">
        <f t="shared" si="125"/>
        <v>0</v>
      </c>
      <c r="PF303" s="21">
        <f t="shared" si="125"/>
        <v>0</v>
      </c>
      <c r="PG303" s="21">
        <f t="shared" si="125"/>
        <v>0</v>
      </c>
      <c r="PH303" s="21">
        <f t="shared" si="125"/>
        <v>0</v>
      </c>
      <c r="PI303" s="21">
        <f t="shared" si="125"/>
        <v>0</v>
      </c>
      <c r="PJ303" s="21">
        <f t="shared" ref="PJ303:PQ303" si="126">IF($F$290, 0, IF($I$294, IF(AND(COLUMN($PJ$303)-COLUMN($NV$303)=$Q$291,ROW($PJ$303)-ROW($NV$303)=$K$291), U$290, PJ303), PJ303))</f>
        <v>0</v>
      </c>
      <c r="PK303" s="21">
        <f t="shared" si="126"/>
        <v>0</v>
      </c>
      <c r="PL303" s="21">
        <f t="shared" si="126"/>
        <v>0</v>
      </c>
      <c r="PM303" s="21">
        <f t="shared" si="126"/>
        <v>0</v>
      </c>
      <c r="PN303" s="21">
        <f t="shared" si="126"/>
        <v>0</v>
      </c>
      <c r="PO303" s="21">
        <f t="shared" si="126"/>
        <v>0</v>
      </c>
      <c r="PP303" s="21">
        <f t="shared" si="126"/>
        <v>0</v>
      </c>
      <c r="PQ303" s="21">
        <f t="shared" si="126"/>
        <v>0</v>
      </c>
      <c r="PR303" s="21">
        <f t="shared" ref="PR303:PY303" si="127">IF($F$290, 0, IF($I$294, IF(AND(COLUMN($PR$303)-COLUMN($NV$303)=$Q$291,ROW($PR$303)-ROW($NV$303)=$K$291), U$290, PR303), PR303))</f>
        <v>0</v>
      </c>
      <c r="PS303" s="21">
        <f t="shared" si="127"/>
        <v>0</v>
      </c>
      <c r="PT303" s="21">
        <f t="shared" si="127"/>
        <v>0</v>
      </c>
      <c r="PU303" s="21">
        <f t="shared" si="127"/>
        <v>0</v>
      </c>
      <c r="PV303" s="21">
        <f t="shared" si="127"/>
        <v>0</v>
      </c>
      <c r="PW303" s="21">
        <f t="shared" si="127"/>
        <v>0</v>
      </c>
      <c r="PX303" s="21">
        <f t="shared" si="127"/>
        <v>0</v>
      </c>
      <c r="PY303" s="21">
        <f t="shared" si="127"/>
        <v>0</v>
      </c>
      <c r="PZ303" s="21">
        <f t="shared" ref="PZ303:QG303" si="128">IF($F$290, 0, IF($I$294, IF(AND(COLUMN($PZ$303)-COLUMN($NV$303)=$Q$291,ROW($PZ$303)-ROW($NV$303)=$K$291), U$290, PZ303), PZ303))</f>
        <v>0</v>
      </c>
      <c r="QA303" s="21">
        <f t="shared" si="128"/>
        <v>0</v>
      </c>
      <c r="QB303" s="21">
        <f t="shared" si="128"/>
        <v>0</v>
      </c>
      <c r="QC303" s="21">
        <f t="shared" si="128"/>
        <v>0</v>
      </c>
      <c r="QD303" s="21">
        <f t="shared" si="128"/>
        <v>0</v>
      </c>
      <c r="QE303" s="21">
        <f t="shared" si="128"/>
        <v>0</v>
      </c>
      <c r="QF303" s="21">
        <f t="shared" si="128"/>
        <v>0</v>
      </c>
      <c r="QG303" s="21">
        <f t="shared" si="128"/>
        <v>0</v>
      </c>
      <c r="QH303" s="21">
        <f t="shared" ref="QH303:QO303" si="129">IF($F$290, 0, IF($J$294, IF(AND(COLUMN($QH$303)-COLUMN($QH$303)=$Q$291,ROW($QH$303)-ROW($QH$303)=$K$291), U$290, QH303), QH303))</f>
        <v>0</v>
      </c>
      <c r="QI303" s="21">
        <f t="shared" si="129"/>
        <v>0</v>
      </c>
      <c r="QJ303" s="21">
        <f t="shared" si="129"/>
        <v>0</v>
      </c>
      <c r="QK303" s="21">
        <f t="shared" si="129"/>
        <v>0</v>
      </c>
      <c r="QL303" s="21">
        <f t="shared" si="129"/>
        <v>0</v>
      </c>
      <c r="QM303" s="21">
        <f t="shared" si="129"/>
        <v>0</v>
      </c>
      <c r="QN303" s="21">
        <f t="shared" si="129"/>
        <v>0</v>
      </c>
      <c r="QO303" s="21">
        <f t="shared" si="129"/>
        <v>0</v>
      </c>
      <c r="QP303" s="21">
        <f t="shared" ref="QP303:QW303" si="130">IF($F$290, 0, IF($J$294, IF(AND(COLUMN($QP$303)-COLUMN($QH$303)=$Q$291,ROW($QP$303)-ROW($QH$303)=$K$291), U$290, QP303), QP303))</f>
        <v>0</v>
      </c>
      <c r="QQ303" s="21">
        <f t="shared" si="130"/>
        <v>0</v>
      </c>
      <c r="QR303" s="21">
        <f t="shared" si="130"/>
        <v>0</v>
      </c>
      <c r="QS303" s="21">
        <f t="shared" si="130"/>
        <v>0</v>
      </c>
      <c r="QT303" s="21">
        <f t="shared" si="130"/>
        <v>0</v>
      </c>
      <c r="QU303" s="21">
        <f t="shared" si="130"/>
        <v>0</v>
      </c>
      <c r="QV303" s="21">
        <f t="shared" si="130"/>
        <v>0</v>
      </c>
      <c r="QW303" s="21">
        <f t="shared" si="130"/>
        <v>0</v>
      </c>
      <c r="QX303" s="21">
        <f t="shared" ref="QX303:RE303" si="131">IF($F$290, 0, IF($J$294, IF(AND(COLUMN($QX$303)-COLUMN($QH$303)=$Q$291,ROW($QX$303)-ROW($QH$303)=$K$291), U$290, QX303), QX303))</f>
        <v>0</v>
      </c>
      <c r="QY303" s="21">
        <f t="shared" si="131"/>
        <v>0</v>
      </c>
      <c r="QZ303" s="21">
        <f t="shared" si="131"/>
        <v>0</v>
      </c>
      <c r="RA303" s="21">
        <f t="shared" si="131"/>
        <v>0</v>
      </c>
      <c r="RB303" s="21">
        <f t="shared" si="131"/>
        <v>0</v>
      </c>
      <c r="RC303" s="21">
        <f t="shared" si="131"/>
        <v>0</v>
      </c>
      <c r="RD303" s="21">
        <f t="shared" si="131"/>
        <v>0</v>
      </c>
      <c r="RE303" s="21">
        <f t="shared" si="131"/>
        <v>0</v>
      </c>
      <c r="RF303" s="21">
        <f t="shared" ref="RF303:RM303" si="132">IF($F$290, 0, IF($J$294, IF(AND(COLUMN($RF$303)-COLUMN($QH$303)=$Q$291,ROW($RF$303)-ROW($QH$303)=$K$291), U$290, RF303), RF303))</f>
        <v>0</v>
      </c>
      <c r="RG303" s="21">
        <f t="shared" si="132"/>
        <v>0</v>
      </c>
      <c r="RH303" s="21">
        <f t="shared" si="132"/>
        <v>0</v>
      </c>
      <c r="RI303" s="21">
        <f t="shared" si="132"/>
        <v>0</v>
      </c>
      <c r="RJ303" s="21">
        <f t="shared" si="132"/>
        <v>0</v>
      </c>
      <c r="RK303" s="21">
        <f t="shared" si="132"/>
        <v>0</v>
      </c>
      <c r="RL303" s="21">
        <f t="shared" si="132"/>
        <v>0</v>
      </c>
      <c r="RM303" s="21">
        <f t="shared" si="132"/>
        <v>0</v>
      </c>
      <c r="RN303" s="21">
        <f t="shared" ref="RN303:RU303" si="133">IF($F$290, 0, IF($J$294, IF(AND(COLUMN($RN$303)-COLUMN($QH$303)=$Q$291,ROW($RN$303)-ROW($QH$303)=$K$291), U$290, RN303), RN303))</f>
        <v>0</v>
      </c>
      <c r="RO303" s="21">
        <f t="shared" si="133"/>
        <v>0</v>
      </c>
      <c r="RP303" s="21">
        <f t="shared" si="133"/>
        <v>0</v>
      </c>
      <c r="RQ303" s="21">
        <f t="shared" si="133"/>
        <v>0</v>
      </c>
      <c r="RR303" s="21">
        <f t="shared" si="133"/>
        <v>0</v>
      </c>
      <c r="RS303" s="21">
        <f t="shared" si="133"/>
        <v>0</v>
      </c>
      <c r="RT303" s="21">
        <f t="shared" si="133"/>
        <v>0</v>
      </c>
      <c r="RU303" s="21">
        <f t="shared" si="133"/>
        <v>0</v>
      </c>
      <c r="RV303" s="21">
        <f t="shared" ref="RV303:SC303" si="134">IF($F$290, 0, IF($J$294, IF(AND(COLUMN($RV$303)-COLUMN($QH$303)=$Q$291,ROW($RV$303)-ROW($QH$303)=$K$291), U$290, RV303), RV303))</f>
        <v>0</v>
      </c>
      <c r="RW303" s="21">
        <f t="shared" si="134"/>
        <v>0</v>
      </c>
      <c r="RX303" s="21">
        <f t="shared" si="134"/>
        <v>0</v>
      </c>
      <c r="RY303" s="21">
        <f t="shared" si="134"/>
        <v>0</v>
      </c>
      <c r="RZ303" s="21">
        <f t="shared" si="134"/>
        <v>0</v>
      </c>
      <c r="SA303" s="21">
        <f t="shared" si="134"/>
        <v>0</v>
      </c>
      <c r="SB303" s="21">
        <f t="shared" si="134"/>
        <v>0</v>
      </c>
      <c r="SC303" s="21">
        <f t="shared" si="134"/>
        <v>0</v>
      </c>
      <c r="SD303" s="21">
        <f t="shared" ref="SD303:SK303" si="135">IF($F$290, 0, IF($J$294, IF(AND(COLUMN($SD$303)-COLUMN($QH$303)=$Q$291,ROW($SD$303)-ROW($QH$303)=$K$291), U$290, SD303), SD303))</f>
        <v>0</v>
      </c>
      <c r="SE303" s="21">
        <f t="shared" si="135"/>
        <v>0</v>
      </c>
      <c r="SF303" s="21">
        <f t="shared" si="135"/>
        <v>0</v>
      </c>
      <c r="SG303" s="21">
        <f t="shared" si="135"/>
        <v>0</v>
      </c>
      <c r="SH303" s="21">
        <f t="shared" si="135"/>
        <v>0</v>
      </c>
      <c r="SI303" s="21">
        <f t="shared" si="135"/>
        <v>0</v>
      </c>
      <c r="SJ303" s="21">
        <f t="shared" si="135"/>
        <v>0</v>
      </c>
      <c r="SK303" s="21">
        <f t="shared" si="135"/>
        <v>0</v>
      </c>
      <c r="SL303" s="21">
        <f t="shared" ref="SL303:SS303" si="136">IF($F$290, 0, IF($J$294, IF(AND(COLUMN($SL$303)-COLUMN($QH$303)=$Q$291,ROW($SL$303)-ROW($QH$303)=$K$291), U$290, SL303), SL303))</f>
        <v>0</v>
      </c>
      <c r="SM303" s="21">
        <f t="shared" si="136"/>
        <v>0</v>
      </c>
      <c r="SN303" s="21">
        <f t="shared" si="136"/>
        <v>0</v>
      </c>
      <c r="SO303" s="21">
        <f t="shared" si="136"/>
        <v>0</v>
      </c>
      <c r="SP303" s="21">
        <f t="shared" si="136"/>
        <v>0</v>
      </c>
      <c r="SQ303" s="21">
        <f t="shared" si="136"/>
        <v>0</v>
      </c>
      <c r="SR303" s="21">
        <f t="shared" si="136"/>
        <v>0</v>
      </c>
      <c r="SS303" s="21">
        <f t="shared" si="136"/>
        <v>0</v>
      </c>
    </row>
    <row r="304" spans="2:513" ht="15" customHeight="1" x14ac:dyDescent="0.25">
      <c r="B304" s="21">
        <f t="shared" ref="B304:I304" si="137">IF($F$290, 0, IF($C$294, IF(AND(COLUMN($B$304)-COLUMN($B$303)=$Q$291,ROW($B$304)-ROW($B$303)=$K$291), U$290, B304), B304))</f>
        <v>0</v>
      </c>
      <c r="C304" s="21">
        <f t="shared" si="137"/>
        <v>0</v>
      </c>
      <c r="D304" s="21">
        <f t="shared" si="137"/>
        <v>0</v>
      </c>
      <c r="E304" s="21">
        <f t="shared" si="137"/>
        <v>0</v>
      </c>
      <c r="F304" s="21">
        <f t="shared" si="137"/>
        <v>0</v>
      </c>
      <c r="G304" s="21">
        <f t="shared" si="137"/>
        <v>0</v>
      </c>
      <c r="H304" s="21">
        <f t="shared" si="137"/>
        <v>0</v>
      </c>
      <c r="I304" s="21">
        <f t="shared" si="137"/>
        <v>0</v>
      </c>
      <c r="J304" s="21">
        <f t="shared" ref="J304:Q304" si="138">IF($F$290, 0, IF($C$294, IF(AND(COLUMN($J$304)-COLUMN($B$303)=$Q$291,ROW($J$304)-ROW($B$303)=$K$291), U$290, J304), J304))</f>
        <v>0</v>
      </c>
      <c r="K304" s="21">
        <f t="shared" si="138"/>
        <v>0</v>
      </c>
      <c r="L304" s="21">
        <f t="shared" si="138"/>
        <v>0</v>
      </c>
      <c r="M304" s="21">
        <f t="shared" si="138"/>
        <v>0</v>
      </c>
      <c r="N304" s="21">
        <f t="shared" si="138"/>
        <v>0</v>
      </c>
      <c r="O304" s="21">
        <f t="shared" si="138"/>
        <v>0</v>
      </c>
      <c r="P304" s="21">
        <f t="shared" si="138"/>
        <v>0</v>
      </c>
      <c r="Q304" s="21">
        <f t="shared" si="138"/>
        <v>0</v>
      </c>
      <c r="R304" s="21">
        <f>IF($F$290, 0, IF($C$294, IF(AND(COLUMN($R$304)-COLUMN($B$303)=$Q$291,ROW($R$304)-ROW($B$303)=$K$291), U$290, R304), R304))</f>
        <v>0</v>
      </c>
      <c r="S304" s="21">
        <f t="shared" ref="S304:Y304" si="139">IF($F$290, 0, IF($C$294, IF(AND(COLUMN($R$304)-COLUMN($B$303)=$Q$291,ROW($R$304)-ROW($B$303)=$K$291), V$290, S304), S304))</f>
        <v>0</v>
      </c>
      <c r="T304" s="21">
        <f t="shared" si="139"/>
        <v>0</v>
      </c>
      <c r="U304" s="21">
        <f t="shared" si="139"/>
        <v>0</v>
      </c>
      <c r="V304" s="21">
        <f t="shared" si="139"/>
        <v>0</v>
      </c>
      <c r="W304" s="21">
        <f t="shared" si="139"/>
        <v>0</v>
      </c>
      <c r="X304" s="21">
        <f t="shared" si="139"/>
        <v>0</v>
      </c>
      <c r="Y304" s="21">
        <f t="shared" si="139"/>
        <v>0</v>
      </c>
      <c r="Z304" s="21">
        <f t="shared" ref="Z304:AG304" si="140">IF($F$290, 0, IF($C$294, IF(AND(COLUMN($Z$304)-COLUMN($B$303)=$Q$291,ROW($Z$304)-ROW($B$303)=$K$291), U$290, Z304), Z304))</f>
        <v>0</v>
      </c>
      <c r="AA304" s="21">
        <f t="shared" si="140"/>
        <v>0</v>
      </c>
      <c r="AB304" s="21">
        <f t="shared" si="140"/>
        <v>0</v>
      </c>
      <c r="AC304" s="21">
        <f t="shared" si="140"/>
        <v>0</v>
      </c>
      <c r="AD304" s="21">
        <f t="shared" si="140"/>
        <v>0</v>
      </c>
      <c r="AE304" s="21">
        <f t="shared" si="140"/>
        <v>0</v>
      </c>
      <c r="AF304" s="21">
        <f t="shared" si="140"/>
        <v>0</v>
      </c>
      <c r="AG304" s="21">
        <f t="shared" si="140"/>
        <v>0</v>
      </c>
      <c r="AH304" s="21">
        <f t="shared" ref="AH304:AO304" si="141">IF($F$290, 0, IF($C$294, IF(AND(COLUMN($AH$304)-COLUMN($B$303)=$Q$291,ROW($AH$304)-ROW($B$303)=$K$291), U$290, AH304), AH304))</f>
        <v>0</v>
      </c>
      <c r="AI304" s="21">
        <f t="shared" si="141"/>
        <v>0</v>
      </c>
      <c r="AJ304" s="21">
        <f t="shared" si="141"/>
        <v>0</v>
      </c>
      <c r="AK304" s="21">
        <f t="shared" si="141"/>
        <v>0</v>
      </c>
      <c r="AL304" s="21">
        <f t="shared" si="141"/>
        <v>0</v>
      </c>
      <c r="AM304" s="21">
        <f t="shared" si="141"/>
        <v>0</v>
      </c>
      <c r="AN304" s="21">
        <f t="shared" si="141"/>
        <v>0</v>
      </c>
      <c r="AO304" s="21">
        <f t="shared" si="141"/>
        <v>0</v>
      </c>
      <c r="AP304" s="21">
        <f t="shared" ref="AP304:AW304" si="142">IF($F$290, 0, IF($C$294, IF(AND(COLUMN($AP$304)-COLUMN($B$303)=$Q$291,ROW($AP$304)-ROW($B$303)=$K$291), U$290, AP304), AP304))</f>
        <v>0</v>
      </c>
      <c r="AQ304" s="21">
        <f t="shared" si="142"/>
        <v>0</v>
      </c>
      <c r="AR304" s="21">
        <f t="shared" si="142"/>
        <v>0</v>
      </c>
      <c r="AS304" s="21">
        <f t="shared" si="142"/>
        <v>0</v>
      </c>
      <c r="AT304" s="21">
        <f t="shared" si="142"/>
        <v>0</v>
      </c>
      <c r="AU304" s="21">
        <f t="shared" si="142"/>
        <v>0</v>
      </c>
      <c r="AV304" s="21">
        <f t="shared" si="142"/>
        <v>0</v>
      </c>
      <c r="AW304" s="21">
        <f t="shared" si="142"/>
        <v>0</v>
      </c>
      <c r="AX304" s="21">
        <f t="shared" ref="AX304:BE304" si="143">IF($F$290, 0, IF($C$294, IF(AND(COLUMN($AX$304)-COLUMN($B$303)=$Q$291,ROW($AX$304)-ROW($B$303)=$K$291), U$290, AX304), AX304))</f>
        <v>0</v>
      </c>
      <c r="AY304" s="21">
        <f t="shared" si="143"/>
        <v>0</v>
      </c>
      <c r="AZ304" s="21">
        <f t="shared" si="143"/>
        <v>0</v>
      </c>
      <c r="BA304" s="21">
        <f t="shared" si="143"/>
        <v>0</v>
      </c>
      <c r="BB304" s="21">
        <f t="shared" si="143"/>
        <v>0</v>
      </c>
      <c r="BC304" s="21">
        <f t="shared" si="143"/>
        <v>0</v>
      </c>
      <c r="BD304" s="21">
        <f t="shared" si="143"/>
        <v>0</v>
      </c>
      <c r="BE304" s="21">
        <f t="shared" si="143"/>
        <v>0</v>
      </c>
      <c r="BF304" s="21">
        <f t="shared" ref="BF304:BM304" si="144">IF($F$290, 0, IF($C$294, IF(AND(COLUMN($BF$304)-COLUMN($B$303)=$Q$291,ROW($BF$304)-ROW($B$303)=$K$291), U$290, BF304), BF304))</f>
        <v>0</v>
      </c>
      <c r="BG304" s="21">
        <f t="shared" si="144"/>
        <v>0</v>
      </c>
      <c r="BH304" s="21">
        <f t="shared" si="144"/>
        <v>0</v>
      </c>
      <c r="BI304" s="21">
        <f t="shared" si="144"/>
        <v>0</v>
      </c>
      <c r="BJ304" s="21">
        <f t="shared" si="144"/>
        <v>0</v>
      </c>
      <c r="BK304" s="21">
        <f t="shared" si="144"/>
        <v>0</v>
      </c>
      <c r="BL304" s="21">
        <f t="shared" si="144"/>
        <v>0</v>
      </c>
      <c r="BM304" s="21">
        <f t="shared" si="144"/>
        <v>0</v>
      </c>
      <c r="BN304" s="21">
        <f t="shared" ref="BN304:BU304" si="145">IF($F$290, 0, IF($D$294, IF(AND(COLUMN($BN$304)-COLUMN($BN$303)=$Q$291,ROW($BN$304)-ROW($BN$303)=$K$291), U$290, BN304), BN304))</f>
        <v>0</v>
      </c>
      <c r="BO304" s="21">
        <f t="shared" si="145"/>
        <v>0</v>
      </c>
      <c r="BP304" s="21">
        <f t="shared" si="145"/>
        <v>0</v>
      </c>
      <c r="BQ304" s="21">
        <f t="shared" si="145"/>
        <v>0</v>
      </c>
      <c r="BR304" s="21">
        <f t="shared" si="145"/>
        <v>0</v>
      </c>
      <c r="BS304" s="21">
        <f t="shared" si="145"/>
        <v>0</v>
      </c>
      <c r="BT304" s="21">
        <f t="shared" si="145"/>
        <v>0</v>
      </c>
      <c r="BU304" s="21">
        <f t="shared" si="145"/>
        <v>0</v>
      </c>
      <c r="BV304" s="21">
        <f t="shared" ref="BV304:CC304" si="146">IF($F$290, 0, IF($D$294, IF(AND(COLUMN($BV$304)-COLUMN($BN$303)=$Q$291,ROW($BV$304)-ROW($BN$303)=$K$291), U$290, BV304), BV304))</f>
        <v>0</v>
      </c>
      <c r="BW304" s="21">
        <f t="shared" si="146"/>
        <v>0</v>
      </c>
      <c r="BX304" s="21">
        <f t="shared" si="146"/>
        <v>0</v>
      </c>
      <c r="BY304" s="21">
        <f t="shared" si="146"/>
        <v>0</v>
      </c>
      <c r="BZ304" s="21">
        <f t="shared" si="146"/>
        <v>0</v>
      </c>
      <c r="CA304" s="21">
        <f t="shared" si="146"/>
        <v>0</v>
      </c>
      <c r="CB304" s="21">
        <f t="shared" si="146"/>
        <v>0</v>
      </c>
      <c r="CC304" s="21">
        <f t="shared" si="146"/>
        <v>0</v>
      </c>
      <c r="CD304" s="21">
        <f t="shared" ref="CD304:CK304" si="147">IF($F$290, 0, IF($D$294, IF(AND(COLUMN($CD$304)-COLUMN($BN$303)=$Q$291,ROW($CD$304)-ROW($BN$303)=$K$291), U$290, CD304), CD304))</f>
        <v>0</v>
      </c>
      <c r="CE304" s="21">
        <f t="shared" si="147"/>
        <v>0</v>
      </c>
      <c r="CF304" s="21">
        <f t="shared" si="147"/>
        <v>0</v>
      </c>
      <c r="CG304" s="21">
        <f t="shared" si="147"/>
        <v>0</v>
      </c>
      <c r="CH304" s="21">
        <f t="shared" si="147"/>
        <v>0</v>
      </c>
      <c r="CI304" s="21">
        <f t="shared" si="147"/>
        <v>0</v>
      </c>
      <c r="CJ304" s="21">
        <f t="shared" si="147"/>
        <v>0</v>
      </c>
      <c r="CK304" s="21">
        <f t="shared" si="147"/>
        <v>0</v>
      </c>
      <c r="CL304" s="21">
        <f t="shared" ref="CL304:CS304" si="148">IF($F$290, 0, IF($D$294, IF(AND(COLUMN($CL$304)-COLUMN($BN$303)=$Q$291,ROW($CL$304)-ROW($BN$303)=$K$291), U$290, CL304), CL304))</f>
        <v>0</v>
      </c>
      <c r="CM304" s="21">
        <f t="shared" si="148"/>
        <v>0</v>
      </c>
      <c r="CN304" s="21">
        <f t="shared" si="148"/>
        <v>0</v>
      </c>
      <c r="CO304" s="21">
        <f t="shared" si="148"/>
        <v>0</v>
      </c>
      <c r="CP304" s="21">
        <f t="shared" si="148"/>
        <v>0</v>
      </c>
      <c r="CQ304" s="21">
        <f t="shared" si="148"/>
        <v>0</v>
      </c>
      <c r="CR304" s="21">
        <f t="shared" si="148"/>
        <v>0</v>
      </c>
      <c r="CS304" s="21">
        <f t="shared" si="148"/>
        <v>0</v>
      </c>
      <c r="CT304" s="21">
        <f t="shared" ref="CT304:DA304" si="149">IF($F$290, 0, IF($D$294, IF(AND(COLUMN($CT$304)-COLUMN($BN$303)=$Q$291,ROW($CT$304)-ROW($BN$303)=$K$291), U$290, CT304), CT304))</f>
        <v>0</v>
      </c>
      <c r="CU304" s="21">
        <f t="shared" si="149"/>
        <v>0</v>
      </c>
      <c r="CV304" s="21">
        <f t="shared" si="149"/>
        <v>0</v>
      </c>
      <c r="CW304" s="21">
        <f t="shared" si="149"/>
        <v>0</v>
      </c>
      <c r="CX304" s="21">
        <f t="shared" si="149"/>
        <v>0</v>
      </c>
      <c r="CY304" s="21">
        <f t="shared" si="149"/>
        <v>0</v>
      </c>
      <c r="CZ304" s="21">
        <f t="shared" si="149"/>
        <v>0</v>
      </c>
      <c r="DA304" s="21">
        <f t="shared" si="149"/>
        <v>0</v>
      </c>
      <c r="DB304" s="21">
        <f t="shared" ref="DB304:DI304" si="150">IF($F$290, 0, IF($D$294, IF(AND(COLUMN($DB$304)-COLUMN($BN$303)=$Q$291,ROW($DB$304)-ROW($BN$303)=$K$291), U$290, DB304), DB304))</f>
        <v>0</v>
      </c>
      <c r="DC304" s="21">
        <f t="shared" si="150"/>
        <v>0</v>
      </c>
      <c r="DD304" s="21">
        <f t="shared" si="150"/>
        <v>0</v>
      </c>
      <c r="DE304" s="21">
        <f t="shared" si="150"/>
        <v>0</v>
      </c>
      <c r="DF304" s="21">
        <f t="shared" si="150"/>
        <v>0</v>
      </c>
      <c r="DG304" s="21">
        <f t="shared" si="150"/>
        <v>0</v>
      </c>
      <c r="DH304" s="21">
        <f t="shared" si="150"/>
        <v>0</v>
      </c>
      <c r="DI304" s="21">
        <f t="shared" si="150"/>
        <v>0</v>
      </c>
      <c r="DJ304" s="21">
        <f t="shared" ref="DJ304:DQ304" si="151">IF($F$290, 0, IF($D$294, IF(AND(COLUMN($DJ$304)-COLUMN($BN$303)=$Q$291,ROW($DJ$304)-ROW($BN$303)=$K$291), U$290, DJ304), DJ304))</f>
        <v>0</v>
      </c>
      <c r="DK304" s="21">
        <f t="shared" si="151"/>
        <v>0</v>
      </c>
      <c r="DL304" s="21">
        <f t="shared" si="151"/>
        <v>0</v>
      </c>
      <c r="DM304" s="21">
        <f t="shared" si="151"/>
        <v>0</v>
      </c>
      <c r="DN304" s="21">
        <f t="shared" si="151"/>
        <v>0</v>
      </c>
      <c r="DO304" s="21">
        <f t="shared" si="151"/>
        <v>0</v>
      </c>
      <c r="DP304" s="21">
        <f t="shared" si="151"/>
        <v>0</v>
      </c>
      <c r="DQ304" s="21">
        <f t="shared" si="151"/>
        <v>0</v>
      </c>
      <c r="DR304" s="21">
        <f t="shared" ref="DR304:DY304" si="152">IF($F$290, 0, IF($D$294, IF(AND(COLUMN($DR$304)-COLUMN($BN$303)=$Q$291,ROW($DR$304)-ROW($BN$303)=$K$291), U$290, DR304), DR304))</f>
        <v>0</v>
      </c>
      <c r="DS304" s="21">
        <f t="shared" si="152"/>
        <v>0</v>
      </c>
      <c r="DT304" s="21">
        <f t="shared" si="152"/>
        <v>0</v>
      </c>
      <c r="DU304" s="21">
        <f t="shared" si="152"/>
        <v>0</v>
      </c>
      <c r="DV304" s="21">
        <f t="shared" si="152"/>
        <v>0</v>
      </c>
      <c r="DW304" s="21">
        <f t="shared" si="152"/>
        <v>0</v>
      </c>
      <c r="DX304" s="21">
        <f t="shared" si="152"/>
        <v>0</v>
      </c>
      <c r="DY304" s="21">
        <f t="shared" si="152"/>
        <v>0</v>
      </c>
      <c r="DZ304" s="21">
        <f t="shared" ref="DZ304:EG304" si="153">IF($F$290, 0, IF($E$294, IF(AND(COLUMN($DZ$304)-COLUMN($DZ$303)=$Q$291,ROW($DZ$304)-ROW($DZ$303)=$K$291), U$290, DZ304), DZ304))</f>
        <v>0</v>
      </c>
      <c r="EA304" s="21">
        <f t="shared" si="153"/>
        <v>0</v>
      </c>
      <c r="EB304" s="21">
        <f t="shared" si="153"/>
        <v>0</v>
      </c>
      <c r="EC304" s="21">
        <f t="shared" si="153"/>
        <v>0</v>
      </c>
      <c r="ED304" s="21">
        <f t="shared" si="153"/>
        <v>0</v>
      </c>
      <c r="EE304" s="21">
        <f t="shared" si="153"/>
        <v>0</v>
      </c>
      <c r="EF304" s="21">
        <f t="shared" si="153"/>
        <v>0</v>
      </c>
      <c r="EG304" s="21">
        <f t="shared" si="153"/>
        <v>0</v>
      </c>
      <c r="EH304" s="21">
        <f t="shared" ref="EH304:EO304" si="154">IF($F$290, 0, IF($E$294, IF(AND(COLUMN($EH$304)-COLUMN($DZ$303)=$Q$291,ROW($EH$304)-ROW($DZ$303)=$K$291), U$290, EH304), EH304))</f>
        <v>0</v>
      </c>
      <c r="EI304" s="21">
        <f t="shared" si="154"/>
        <v>0</v>
      </c>
      <c r="EJ304" s="21">
        <f t="shared" si="154"/>
        <v>0</v>
      </c>
      <c r="EK304" s="21">
        <f t="shared" si="154"/>
        <v>0</v>
      </c>
      <c r="EL304" s="21">
        <f t="shared" si="154"/>
        <v>0</v>
      </c>
      <c r="EM304" s="21">
        <f t="shared" si="154"/>
        <v>0</v>
      </c>
      <c r="EN304" s="21">
        <f t="shared" si="154"/>
        <v>0</v>
      </c>
      <c r="EO304" s="21">
        <f t="shared" si="154"/>
        <v>0</v>
      </c>
      <c r="EP304" s="21">
        <f t="shared" ref="EP304:EW304" si="155">IF($F$290, 0, IF($E$294, IF(AND(COLUMN($EP$304)-COLUMN($DZ$303)=$Q$291,ROW($EP$304)-ROW($DZ$303)=$K$291), U$290, EP304), EP304))</f>
        <v>0</v>
      </c>
      <c r="EQ304" s="21">
        <f t="shared" si="155"/>
        <v>0</v>
      </c>
      <c r="ER304" s="21">
        <f t="shared" si="155"/>
        <v>0</v>
      </c>
      <c r="ES304" s="21">
        <f t="shared" si="155"/>
        <v>0</v>
      </c>
      <c r="ET304" s="21">
        <f t="shared" si="155"/>
        <v>0</v>
      </c>
      <c r="EU304" s="21">
        <f t="shared" si="155"/>
        <v>0</v>
      </c>
      <c r="EV304" s="21">
        <f t="shared" si="155"/>
        <v>0</v>
      </c>
      <c r="EW304" s="21">
        <f t="shared" si="155"/>
        <v>0</v>
      </c>
      <c r="EX304" s="21">
        <f t="shared" ref="EX304:FE304" si="156">IF($F$290, 0, IF($E$294, IF(AND(COLUMN($EX$304)-COLUMN($DZ$303)=$Q$291,ROW($EX$304)-ROW($DZ$303)=$K$291), U$290, EX304), EX304))</f>
        <v>0</v>
      </c>
      <c r="EY304" s="21">
        <f t="shared" si="156"/>
        <v>0</v>
      </c>
      <c r="EZ304" s="21">
        <f t="shared" si="156"/>
        <v>0</v>
      </c>
      <c r="FA304" s="21">
        <f t="shared" si="156"/>
        <v>0</v>
      </c>
      <c r="FB304" s="21">
        <f t="shared" si="156"/>
        <v>0</v>
      </c>
      <c r="FC304" s="21">
        <f t="shared" si="156"/>
        <v>0</v>
      </c>
      <c r="FD304" s="21">
        <f t="shared" si="156"/>
        <v>0</v>
      </c>
      <c r="FE304" s="21">
        <f t="shared" si="156"/>
        <v>0</v>
      </c>
      <c r="FF304" s="21">
        <f t="shared" ref="FF304:FM304" si="157">IF($F$290, 0, IF($E$294, IF(AND(COLUMN($FF$304)-COLUMN($DZ$303)=$Q$291,ROW($FF$304)-ROW($DZ$303)=$K$291), U$290, FF304), FF304))</f>
        <v>0</v>
      </c>
      <c r="FG304" s="21">
        <f t="shared" si="157"/>
        <v>0</v>
      </c>
      <c r="FH304" s="21">
        <f t="shared" si="157"/>
        <v>0</v>
      </c>
      <c r="FI304" s="21">
        <f t="shared" si="157"/>
        <v>0</v>
      </c>
      <c r="FJ304" s="21">
        <f t="shared" si="157"/>
        <v>0</v>
      </c>
      <c r="FK304" s="21">
        <f t="shared" si="157"/>
        <v>0</v>
      </c>
      <c r="FL304" s="21">
        <f t="shared" si="157"/>
        <v>0</v>
      </c>
      <c r="FM304" s="21">
        <f t="shared" si="157"/>
        <v>0</v>
      </c>
      <c r="FN304" s="21">
        <f t="shared" ref="FN304:FU304" si="158">IF($F$290, 0, IF($E$294, IF(AND(COLUMN($FN$304)-COLUMN($DZ$303)=$Q$291,ROW($FN$304)-ROW($DZ$303)=$K$291), U$290, FN304), FN304))</f>
        <v>0</v>
      </c>
      <c r="FO304" s="21">
        <f t="shared" si="158"/>
        <v>0</v>
      </c>
      <c r="FP304" s="21">
        <f t="shared" si="158"/>
        <v>0</v>
      </c>
      <c r="FQ304" s="21">
        <f t="shared" si="158"/>
        <v>0</v>
      </c>
      <c r="FR304" s="21">
        <f t="shared" si="158"/>
        <v>0</v>
      </c>
      <c r="FS304" s="21">
        <f t="shared" si="158"/>
        <v>0</v>
      </c>
      <c r="FT304" s="21">
        <f t="shared" si="158"/>
        <v>0</v>
      </c>
      <c r="FU304" s="21">
        <f t="shared" si="158"/>
        <v>0</v>
      </c>
      <c r="FV304" s="21">
        <f t="shared" ref="FV304:GC304" si="159">IF($F$290, 0, IF($E$294, IF(AND(COLUMN($FV$304)-COLUMN($DZ$303)=$Q$291,ROW($FV$304)-ROW($DZ$303)=$K$291), U$290, FV304), FV304))</f>
        <v>0</v>
      </c>
      <c r="FW304" s="21">
        <f t="shared" si="159"/>
        <v>0</v>
      </c>
      <c r="FX304" s="21">
        <f t="shared" si="159"/>
        <v>0</v>
      </c>
      <c r="FY304" s="21">
        <f t="shared" si="159"/>
        <v>0</v>
      </c>
      <c r="FZ304" s="21">
        <f t="shared" si="159"/>
        <v>0</v>
      </c>
      <c r="GA304" s="21">
        <f t="shared" si="159"/>
        <v>0</v>
      </c>
      <c r="GB304" s="21">
        <f t="shared" si="159"/>
        <v>0</v>
      </c>
      <c r="GC304" s="21">
        <f t="shared" si="159"/>
        <v>0</v>
      </c>
      <c r="GD304" s="21">
        <f t="shared" ref="GD304:GK304" si="160">IF($F$290, 0, IF($E$294, IF(AND(COLUMN($GD$304)-COLUMN($DZ$303)=$Q$291,ROW($GD$304)-ROW($DZ$303)=$K$291), U$290, GD304), GD304))</f>
        <v>0</v>
      </c>
      <c r="GE304" s="21">
        <f t="shared" si="160"/>
        <v>0</v>
      </c>
      <c r="GF304" s="21">
        <f t="shared" si="160"/>
        <v>0</v>
      </c>
      <c r="GG304" s="21">
        <f t="shared" si="160"/>
        <v>0</v>
      </c>
      <c r="GH304" s="21">
        <f t="shared" si="160"/>
        <v>0</v>
      </c>
      <c r="GI304" s="21">
        <f t="shared" si="160"/>
        <v>0</v>
      </c>
      <c r="GJ304" s="21">
        <f t="shared" si="160"/>
        <v>0</v>
      </c>
      <c r="GK304" s="21">
        <f t="shared" si="160"/>
        <v>0</v>
      </c>
      <c r="GL304" s="21">
        <f t="shared" ref="GL304:GS304" si="161">IF($F$290, 0, IF($F$294, IF(AND(COLUMN($GL$304)-COLUMN($GL$303)=$Q$291,ROW($GL$304)-ROW($GL$303)=$K$291), U$290, GL304), GL304))</f>
        <v>0</v>
      </c>
      <c r="GM304" s="21">
        <f t="shared" si="161"/>
        <v>0</v>
      </c>
      <c r="GN304" s="21">
        <f t="shared" si="161"/>
        <v>0</v>
      </c>
      <c r="GO304" s="21">
        <f t="shared" si="161"/>
        <v>0</v>
      </c>
      <c r="GP304" s="21">
        <f t="shared" si="161"/>
        <v>0</v>
      </c>
      <c r="GQ304" s="21">
        <f t="shared" si="161"/>
        <v>0</v>
      </c>
      <c r="GR304" s="21">
        <f t="shared" si="161"/>
        <v>0</v>
      </c>
      <c r="GS304" s="21">
        <f t="shared" si="161"/>
        <v>0</v>
      </c>
      <c r="GT304" s="21">
        <f t="shared" ref="GT304:HA304" si="162">IF($F$290, 0, IF($F$294, IF(AND(COLUMN($GT$304)-COLUMN($GL$303)=$Q$291,ROW($GT$304)-ROW($GL$303)=$K$291), U$290, GT304), GT304))</f>
        <v>0</v>
      </c>
      <c r="GU304" s="21">
        <f t="shared" si="162"/>
        <v>0</v>
      </c>
      <c r="GV304" s="21">
        <f t="shared" si="162"/>
        <v>0</v>
      </c>
      <c r="GW304" s="21">
        <f t="shared" si="162"/>
        <v>0</v>
      </c>
      <c r="GX304" s="21">
        <f t="shared" si="162"/>
        <v>0</v>
      </c>
      <c r="GY304" s="21">
        <f t="shared" si="162"/>
        <v>0</v>
      </c>
      <c r="GZ304" s="21">
        <f t="shared" si="162"/>
        <v>0</v>
      </c>
      <c r="HA304" s="21">
        <f t="shared" si="162"/>
        <v>0</v>
      </c>
      <c r="HB304" s="21">
        <f t="shared" ref="HB304:HI304" si="163">IF($F$290, 0, IF($F$294, IF(AND(COLUMN($HB$304)-COLUMN($GL$303)=$Q$291,ROW($HB$304)-ROW($GL$303)=$K$291), U$290, HB304), HB304))</f>
        <v>0</v>
      </c>
      <c r="HC304" s="21">
        <f t="shared" si="163"/>
        <v>0</v>
      </c>
      <c r="HD304" s="21">
        <f t="shared" si="163"/>
        <v>0</v>
      </c>
      <c r="HE304" s="21">
        <f t="shared" si="163"/>
        <v>0</v>
      </c>
      <c r="HF304" s="21">
        <f t="shared" si="163"/>
        <v>0</v>
      </c>
      <c r="HG304" s="21">
        <f t="shared" si="163"/>
        <v>0</v>
      </c>
      <c r="HH304" s="21">
        <f t="shared" si="163"/>
        <v>0</v>
      </c>
      <c r="HI304" s="21">
        <f t="shared" si="163"/>
        <v>0</v>
      </c>
      <c r="HJ304" s="21">
        <f t="shared" ref="HJ304:HQ304" si="164">IF($F$290, 0, IF($F$294, IF(AND(COLUMN($HJ$304)-COLUMN($GL$303)=$Q$291,ROW($HJ$304)-ROW($GL$303)=$K$291), U$290, HJ304), HJ304))</f>
        <v>0</v>
      </c>
      <c r="HK304" s="21">
        <f t="shared" si="164"/>
        <v>0</v>
      </c>
      <c r="HL304" s="21">
        <f t="shared" si="164"/>
        <v>0</v>
      </c>
      <c r="HM304" s="21">
        <f t="shared" si="164"/>
        <v>0</v>
      </c>
      <c r="HN304" s="21">
        <f t="shared" si="164"/>
        <v>0</v>
      </c>
      <c r="HO304" s="21">
        <f t="shared" si="164"/>
        <v>0</v>
      </c>
      <c r="HP304" s="21">
        <f t="shared" si="164"/>
        <v>0</v>
      </c>
      <c r="HQ304" s="21">
        <f t="shared" si="164"/>
        <v>0</v>
      </c>
      <c r="HR304" s="21">
        <f t="shared" ref="HR304:HY304" si="165">IF($F$290, 0, IF($F$294, IF(AND(COLUMN($HR$304)-COLUMN($GL$303)=$Q$291,ROW($HR$304)-ROW($GL$303)=$K$291), U$290, HR304), HR304))</f>
        <v>0</v>
      </c>
      <c r="HS304" s="21">
        <f t="shared" si="165"/>
        <v>0</v>
      </c>
      <c r="HT304" s="21">
        <f t="shared" si="165"/>
        <v>0</v>
      </c>
      <c r="HU304" s="21">
        <f t="shared" si="165"/>
        <v>0</v>
      </c>
      <c r="HV304" s="21">
        <f t="shared" si="165"/>
        <v>0</v>
      </c>
      <c r="HW304" s="21">
        <f t="shared" si="165"/>
        <v>0</v>
      </c>
      <c r="HX304" s="21">
        <f t="shared" si="165"/>
        <v>0</v>
      </c>
      <c r="HY304" s="21">
        <f t="shared" si="165"/>
        <v>0</v>
      </c>
      <c r="HZ304" s="21">
        <f t="shared" ref="HZ304:IG304" si="166">IF($F$290, 0, IF($F$294, IF(AND(COLUMN($HZ$304)-COLUMN($GL$303)=$Q$291,ROW($HZ$304)-ROW($GL$303)=$K$291), U$290, HZ304), HZ304))</f>
        <v>0</v>
      </c>
      <c r="IA304" s="21">
        <f t="shared" si="166"/>
        <v>0</v>
      </c>
      <c r="IB304" s="21">
        <f t="shared" si="166"/>
        <v>0</v>
      </c>
      <c r="IC304" s="21">
        <f t="shared" si="166"/>
        <v>0</v>
      </c>
      <c r="ID304" s="21">
        <f t="shared" si="166"/>
        <v>0</v>
      </c>
      <c r="IE304" s="21">
        <f t="shared" si="166"/>
        <v>0</v>
      </c>
      <c r="IF304" s="21">
        <f t="shared" si="166"/>
        <v>0</v>
      </c>
      <c r="IG304" s="21">
        <f t="shared" si="166"/>
        <v>0</v>
      </c>
      <c r="IH304" s="21">
        <f t="shared" ref="IH304:IO304" si="167">IF($F$290, 0, IF($F$294, IF(AND(COLUMN($IH$304)-COLUMN($GL$303)=$Q$291,ROW($IH$304)-ROW($GL$303)=$K$291), U$290, IH304), IH304))</f>
        <v>0</v>
      </c>
      <c r="II304" s="21">
        <f t="shared" si="167"/>
        <v>0</v>
      </c>
      <c r="IJ304" s="21">
        <f t="shared" si="167"/>
        <v>0</v>
      </c>
      <c r="IK304" s="21">
        <f t="shared" si="167"/>
        <v>0</v>
      </c>
      <c r="IL304" s="21">
        <f t="shared" si="167"/>
        <v>0</v>
      </c>
      <c r="IM304" s="21">
        <f t="shared" si="167"/>
        <v>0</v>
      </c>
      <c r="IN304" s="21">
        <f t="shared" si="167"/>
        <v>0</v>
      </c>
      <c r="IO304" s="21">
        <f t="shared" si="167"/>
        <v>0</v>
      </c>
      <c r="IP304" s="21">
        <f t="shared" ref="IP304:IW304" si="168">IF($F$290, 0, IF($F$294, IF(AND(COLUMN($IP$304)-COLUMN($GL$303)=$Q$291,ROW($IP$304)-ROW($GL$303)=$K$291), U$290, IP304), IP304))</f>
        <v>0</v>
      </c>
      <c r="IQ304" s="21">
        <f t="shared" si="168"/>
        <v>0</v>
      </c>
      <c r="IR304" s="21">
        <f t="shared" si="168"/>
        <v>0</v>
      </c>
      <c r="IS304" s="21">
        <f t="shared" si="168"/>
        <v>0</v>
      </c>
      <c r="IT304" s="21">
        <f t="shared" si="168"/>
        <v>0</v>
      </c>
      <c r="IU304" s="21">
        <f t="shared" si="168"/>
        <v>0</v>
      </c>
      <c r="IV304" s="21">
        <f t="shared" si="168"/>
        <v>0</v>
      </c>
      <c r="IW304" s="21">
        <f t="shared" si="168"/>
        <v>0</v>
      </c>
      <c r="IX304" s="21">
        <f t="shared" ref="IX304:JE304" si="169">IF($F$290, 0, IF($G$294, IF(AND(COLUMN($IX$304)-COLUMN($IX$303)=$Q$291,ROW($IX$304)-ROW($IX$303)=$K$291), U$290, IX304), IX304))</f>
        <v>0</v>
      </c>
      <c r="IY304" s="21">
        <f t="shared" si="169"/>
        <v>0</v>
      </c>
      <c r="IZ304" s="21">
        <f t="shared" si="169"/>
        <v>0</v>
      </c>
      <c r="JA304" s="21">
        <f t="shared" si="169"/>
        <v>0</v>
      </c>
      <c r="JB304" s="21">
        <f t="shared" si="169"/>
        <v>0</v>
      </c>
      <c r="JC304" s="21">
        <f t="shared" si="169"/>
        <v>0</v>
      </c>
      <c r="JD304" s="21">
        <f t="shared" si="169"/>
        <v>0</v>
      </c>
      <c r="JE304" s="21">
        <f t="shared" si="169"/>
        <v>0</v>
      </c>
      <c r="JF304" s="21">
        <f t="shared" ref="JF304:JM304" si="170">IF($F$290, 0, IF($G$294, IF(AND(COLUMN($JF$304)-COLUMN($IX$303)=$Q$291,ROW($JF$304)-ROW($IX$303)=$K$291), U$290, JF304), JF304))</f>
        <v>0</v>
      </c>
      <c r="JG304" s="21">
        <f t="shared" si="170"/>
        <v>0</v>
      </c>
      <c r="JH304" s="21">
        <f t="shared" si="170"/>
        <v>0</v>
      </c>
      <c r="JI304" s="21">
        <f t="shared" si="170"/>
        <v>0</v>
      </c>
      <c r="JJ304" s="21">
        <f t="shared" si="170"/>
        <v>0</v>
      </c>
      <c r="JK304" s="21">
        <f t="shared" si="170"/>
        <v>0</v>
      </c>
      <c r="JL304" s="21">
        <f t="shared" si="170"/>
        <v>0</v>
      </c>
      <c r="JM304" s="21">
        <f t="shared" si="170"/>
        <v>0</v>
      </c>
      <c r="JN304" s="21">
        <f t="shared" ref="JN304:JU304" si="171">IF($F$290, 0, IF($G$294, IF(AND(COLUMN($JN$304)-COLUMN($IX$303)=$Q$291,ROW($JN$304)-ROW($IX$303)=$K$291), U$290, JN304), JN304))</f>
        <v>0</v>
      </c>
      <c r="JO304" s="21">
        <f t="shared" si="171"/>
        <v>0</v>
      </c>
      <c r="JP304" s="21">
        <f t="shared" si="171"/>
        <v>0</v>
      </c>
      <c r="JQ304" s="21">
        <f t="shared" si="171"/>
        <v>0</v>
      </c>
      <c r="JR304" s="21">
        <f t="shared" si="171"/>
        <v>0</v>
      </c>
      <c r="JS304" s="21">
        <f t="shared" si="171"/>
        <v>0</v>
      </c>
      <c r="JT304" s="21">
        <f t="shared" si="171"/>
        <v>0</v>
      </c>
      <c r="JU304" s="21">
        <f t="shared" si="171"/>
        <v>0</v>
      </c>
      <c r="JV304" s="21">
        <f t="shared" ref="JV304:KC304" si="172">IF($F$290, 0, IF($G$294, IF(AND(COLUMN($JV$304)-COLUMN($IX$303)=$Q$291,ROW($JV$304)-ROW($IX$303)=$K$291), U$290, JV304), JV304))</f>
        <v>0</v>
      </c>
      <c r="JW304" s="21">
        <f t="shared" si="172"/>
        <v>0</v>
      </c>
      <c r="JX304" s="21">
        <f t="shared" si="172"/>
        <v>0</v>
      </c>
      <c r="JY304" s="21">
        <f t="shared" si="172"/>
        <v>0</v>
      </c>
      <c r="JZ304" s="21">
        <f t="shared" si="172"/>
        <v>0</v>
      </c>
      <c r="KA304" s="21">
        <f t="shared" si="172"/>
        <v>0</v>
      </c>
      <c r="KB304" s="21">
        <f t="shared" si="172"/>
        <v>0</v>
      </c>
      <c r="KC304" s="21">
        <f t="shared" si="172"/>
        <v>0</v>
      </c>
      <c r="KD304" s="21">
        <f t="shared" ref="KD304:KK304" si="173">IF($F$290, 0, IF($G$294, IF(AND(COLUMN($KD$304)-COLUMN($IX$303)=$Q$291,ROW($KD$304)-ROW($IX$303)=$K$291), U$290, KD304), KD304))</f>
        <v>0</v>
      </c>
      <c r="KE304" s="21">
        <f t="shared" si="173"/>
        <v>0</v>
      </c>
      <c r="KF304" s="21">
        <f t="shared" si="173"/>
        <v>0</v>
      </c>
      <c r="KG304" s="21">
        <f t="shared" si="173"/>
        <v>0</v>
      </c>
      <c r="KH304" s="21">
        <f t="shared" si="173"/>
        <v>0</v>
      </c>
      <c r="KI304" s="21">
        <f t="shared" si="173"/>
        <v>0</v>
      </c>
      <c r="KJ304" s="21">
        <f t="shared" si="173"/>
        <v>0</v>
      </c>
      <c r="KK304" s="21">
        <f t="shared" si="173"/>
        <v>0</v>
      </c>
      <c r="KL304" s="21">
        <f t="shared" ref="KL304:KS304" si="174">IF($F$290, 0, IF($G$294, IF(AND(COLUMN($KL$304)-COLUMN($IX$303)=$Q$291,ROW($KL$304)-ROW($IX$303)=$K$291), U$290, KL304), KL304))</f>
        <v>0</v>
      </c>
      <c r="KM304" s="21">
        <f t="shared" si="174"/>
        <v>0</v>
      </c>
      <c r="KN304" s="21">
        <f t="shared" si="174"/>
        <v>0</v>
      </c>
      <c r="KO304" s="21">
        <f t="shared" si="174"/>
        <v>0</v>
      </c>
      <c r="KP304" s="21">
        <f t="shared" si="174"/>
        <v>0</v>
      </c>
      <c r="KQ304" s="21">
        <f t="shared" si="174"/>
        <v>0</v>
      </c>
      <c r="KR304" s="21">
        <f t="shared" si="174"/>
        <v>0</v>
      </c>
      <c r="KS304" s="21">
        <f t="shared" si="174"/>
        <v>0</v>
      </c>
      <c r="KT304" s="21">
        <f t="shared" ref="KT304:LA304" si="175">IF($F$290, 0, IF($G$294, IF(AND(COLUMN($KT$304)-COLUMN($IX$303)=$Q$291,ROW($KT$304)-ROW($IX$303)=$K$291), U$290, KT304), KT304))</f>
        <v>0</v>
      </c>
      <c r="KU304" s="21">
        <f t="shared" si="175"/>
        <v>0</v>
      </c>
      <c r="KV304" s="21">
        <f t="shared" si="175"/>
        <v>0</v>
      </c>
      <c r="KW304" s="21">
        <f t="shared" si="175"/>
        <v>0</v>
      </c>
      <c r="KX304" s="21">
        <f t="shared" si="175"/>
        <v>0</v>
      </c>
      <c r="KY304" s="21">
        <f t="shared" si="175"/>
        <v>0</v>
      </c>
      <c r="KZ304" s="21">
        <f t="shared" si="175"/>
        <v>0</v>
      </c>
      <c r="LA304" s="21">
        <f t="shared" si="175"/>
        <v>0</v>
      </c>
      <c r="LB304" s="21">
        <f t="shared" ref="LB304:LI304" si="176">IF($F$290, 0, IF($G$294, IF(AND(COLUMN($LB$304)-COLUMN($IX$303)=$Q$291,ROW($LB$304)-ROW($IX$303)=$K$291), U$290, LB304), LB304))</f>
        <v>0</v>
      </c>
      <c r="LC304" s="21">
        <f t="shared" si="176"/>
        <v>0</v>
      </c>
      <c r="LD304" s="21">
        <f t="shared" si="176"/>
        <v>0</v>
      </c>
      <c r="LE304" s="21">
        <f t="shared" si="176"/>
        <v>0</v>
      </c>
      <c r="LF304" s="21">
        <f t="shared" si="176"/>
        <v>0</v>
      </c>
      <c r="LG304" s="21">
        <f t="shared" si="176"/>
        <v>0</v>
      </c>
      <c r="LH304" s="21">
        <f t="shared" si="176"/>
        <v>0</v>
      </c>
      <c r="LI304" s="21">
        <f t="shared" si="176"/>
        <v>0</v>
      </c>
      <c r="LJ304" s="21">
        <f t="shared" ref="LJ304:LQ304" si="177">IF($F$290, 0, IF($H$294, IF(AND(COLUMN($LJ$304)-COLUMN($LJ$303)=$Q$291,ROW($LJ$304)-ROW($LJ$303)=$K$291), U$290, LJ304), LJ304))</f>
        <v>0</v>
      </c>
      <c r="LK304" s="21">
        <f t="shared" si="177"/>
        <v>0</v>
      </c>
      <c r="LL304" s="21">
        <f t="shared" si="177"/>
        <v>0</v>
      </c>
      <c r="LM304" s="21">
        <f t="shared" si="177"/>
        <v>0</v>
      </c>
      <c r="LN304" s="21">
        <f t="shared" si="177"/>
        <v>0</v>
      </c>
      <c r="LO304" s="21">
        <f t="shared" si="177"/>
        <v>0</v>
      </c>
      <c r="LP304" s="21">
        <f t="shared" si="177"/>
        <v>0</v>
      </c>
      <c r="LQ304" s="21">
        <f t="shared" si="177"/>
        <v>0</v>
      </c>
      <c r="LR304" s="21">
        <f t="shared" ref="LR304:LY304" si="178">IF($F$290, 0, IF($H$294, IF(AND(COLUMN($LR$304)-COLUMN($LJ$303)=$Q$291,ROW($LR$304)-ROW($LJ$303)=$K$291), U$290, LR304), LR304))</f>
        <v>0</v>
      </c>
      <c r="LS304" s="21">
        <f t="shared" si="178"/>
        <v>0</v>
      </c>
      <c r="LT304" s="21">
        <f t="shared" si="178"/>
        <v>0</v>
      </c>
      <c r="LU304" s="21">
        <f t="shared" si="178"/>
        <v>0</v>
      </c>
      <c r="LV304" s="21">
        <f t="shared" si="178"/>
        <v>0</v>
      </c>
      <c r="LW304" s="21">
        <f t="shared" si="178"/>
        <v>0</v>
      </c>
      <c r="LX304" s="21">
        <f t="shared" si="178"/>
        <v>0</v>
      </c>
      <c r="LY304" s="21">
        <f t="shared" si="178"/>
        <v>0</v>
      </c>
      <c r="LZ304" s="21">
        <f t="shared" ref="LZ304:MG304" si="179">IF($F$290, 0, IF($H$294, IF(AND(COLUMN($LZ$304)-COLUMN($LJ$303)=$Q$291,ROW($LZ$304)-ROW($LJ$303)=$K$291), U$290, LZ304), LZ304))</f>
        <v>0</v>
      </c>
      <c r="MA304" s="21">
        <f t="shared" si="179"/>
        <v>0</v>
      </c>
      <c r="MB304" s="21">
        <f t="shared" si="179"/>
        <v>0</v>
      </c>
      <c r="MC304" s="21">
        <f t="shared" si="179"/>
        <v>0</v>
      </c>
      <c r="MD304" s="21">
        <f t="shared" si="179"/>
        <v>0</v>
      </c>
      <c r="ME304" s="21">
        <f t="shared" si="179"/>
        <v>0</v>
      </c>
      <c r="MF304" s="21">
        <f t="shared" si="179"/>
        <v>0</v>
      </c>
      <c r="MG304" s="21">
        <f t="shared" si="179"/>
        <v>0</v>
      </c>
      <c r="MH304" s="21">
        <f t="shared" ref="MH304:MO304" si="180">IF($F$290, 0, IF($H$294, IF(AND(COLUMN($MH$304)-COLUMN($LJ$303)=$Q$291,ROW($MH$304)-ROW($LJ$303)=$K$291), U$290, MH304), MH304))</f>
        <v>0</v>
      </c>
      <c r="MI304" s="21">
        <f t="shared" si="180"/>
        <v>0</v>
      </c>
      <c r="MJ304" s="21">
        <f t="shared" si="180"/>
        <v>0</v>
      </c>
      <c r="MK304" s="21">
        <f t="shared" si="180"/>
        <v>0</v>
      </c>
      <c r="ML304" s="21">
        <f t="shared" si="180"/>
        <v>0</v>
      </c>
      <c r="MM304" s="21">
        <f t="shared" si="180"/>
        <v>0</v>
      </c>
      <c r="MN304" s="21">
        <f t="shared" si="180"/>
        <v>0</v>
      </c>
      <c r="MO304" s="21">
        <f t="shared" si="180"/>
        <v>0</v>
      </c>
      <c r="MP304" s="21">
        <f t="shared" ref="MP304:MW304" si="181">IF($F$290, 0, IF($H$294, IF(AND(COLUMN($MP$304)-COLUMN($LJ$303)=$Q$291,ROW($MP$304)-ROW($LJ$303)=$K$291), U$290, MP304), MP304))</f>
        <v>0</v>
      </c>
      <c r="MQ304" s="21">
        <f t="shared" si="181"/>
        <v>0</v>
      </c>
      <c r="MR304" s="21">
        <f t="shared" si="181"/>
        <v>0</v>
      </c>
      <c r="MS304" s="21">
        <f t="shared" si="181"/>
        <v>0</v>
      </c>
      <c r="MT304" s="21">
        <f t="shared" si="181"/>
        <v>0</v>
      </c>
      <c r="MU304" s="21">
        <f t="shared" si="181"/>
        <v>0</v>
      </c>
      <c r="MV304" s="21">
        <f t="shared" si="181"/>
        <v>0</v>
      </c>
      <c r="MW304" s="21">
        <f t="shared" si="181"/>
        <v>0</v>
      </c>
      <c r="MX304" s="21">
        <f t="shared" ref="MX304:NE304" si="182">IF($F$290, 0, IF($H$294, IF(AND(COLUMN($MX$304)-COLUMN($LJ$303)=$Q$291,ROW($MX$304)-ROW($LJ$303)=$K$291), U$290, MX304), MX304))</f>
        <v>0</v>
      </c>
      <c r="MY304" s="21">
        <f t="shared" si="182"/>
        <v>0</v>
      </c>
      <c r="MZ304" s="21">
        <f t="shared" si="182"/>
        <v>0</v>
      </c>
      <c r="NA304" s="21">
        <f t="shared" si="182"/>
        <v>0</v>
      </c>
      <c r="NB304" s="21">
        <f t="shared" si="182"/>
        <v>0</v>
      </c>
      <c r="NC304" s="21">
        <f t="shared" si="182"/>
        <v>0</v>
      </c>
      <c r="ND304" s="21">
        <f t="shared" si="182"/>
        <v>0</v>
      </c>
      <c r="NE304" s="21">
        <f t="shared" si="182"/>
        <v>0</v>
      </c>
      <c r="NF304" s="21">
        <f t="shared" ref="NF304:NM304" si="183">IF($F$290, 0, IF($H$294, IF(AND(COLUMN($NF$304)-COLUMN($LJ$303)=$Q$291,ROW($NF$304)-ROW($LJ$303)=$K$291), U$290, NF304), NF304))</f>
        <v>0</v>
      </c>
      <c r="NG304" s="21">
        <f t="shared" si="183"/>
        <v>0</v>
      </c>
      <c r="NH304" s="21">
        <f t="shared" si="183"/>
        <v>0</v>
      </c>
      <c r="NI304" s="21">
        <f t="shared" si="183"/>
        <v>0</v>
      </c>
      <c r="NJ304" s="21">
        <f t="shared" si="183"/>
        <v>0</v>
      </c>
      <c r="NK304" s="21">
        <f t="shared" si="183"/>
        <v>0</v>
      </c>
      <c r="NL304" s="21">
        <f t="shared" si="183"/>
        <v>0</v>
      </c>
      <c r="NM304" s="21">
        <f t="shared" si="183"/>
        <v>0</v>
      </c>
      <c r="NN304" s="21">
        <f t="shared" ref="NN304:NU304" si="184">IF($F$290, 0, IF($H$294, IF(AND(COLUMN($NN$304)-COLUMN($LJ$303)=$Q$291,ROW($NN$304)-ROW($LJ$303)=$K$291), U$290, NN304), NN304))</f>
        <v>0</v>
      </c>
      <c r="NO304" s="21">
        <f t="shared" si="184"/>
        <v>0</v>
      </c>
      <c r="NP304" s="21">
        <f t="shared" si="184"/>
        <v>0</v>
      </c>
      <c r="NQ304" s="21">
        <f t="shared" si="184"/>
        <v>0</v>
      </c>
      <c r="NR304" s="21">
        <f t="shared" si="184"/>
        <v>0</v>
      </c>
      <c r="NS304" s="21">
        <f t="shared" si="184"/>
        <v>0</v>
      </c>
      <c r="NT304" s="21">
        <f t="shared" si="184"/>
        <v>0</v>
      </c>
      <c r="NU304" s="21">
        <f t="shared" si="184"/>
        <v>0</v>
      </c>
      <c r="NV304" s="21">
        <f t="shared" ref="NV304:OC304" si="185">IF($F$290, 0, IF($I$294, IF(AND(COLUMN($NV$304)-COLUMN($NV$303)=$Q$291,ROW($NV$304)-ROW($NV$303)=$K$291), U$290, NV304), NV304))</f>
        <v>0</v>
      </c>
      <c r="NW304" s="21">
        <f t="shared" si="185"/>
        <v>0</v>
      </c>
      <c r="NX304" s="21">
        <f t="shared" si="185"/>
        <v>0</v>
      </c>
      <c r="NY304" s="21">
        <f t="shared" si="185"/>
        <v>0</v>
      </c>
      <c r="NZ304" s="21">
        <f t="shared" si="185"/>
        <v>0</v>
      </c>
      <c r="OA304" s="21">
        <f t="shared" si="185"/>
        <v>0</v>
      </c>
      <c r="OB304" s="21">
        <f t="shared" si="185"/>
        <v>0</v>
      </c>
      <c r="OC304" s="21">
        <f t="shared" si="185"/>
        <v>0</v>
      </c>
      <c r="OD304" s="21">
        <f t="shared" ref="OD304:OK304" si="186">IF($F$290, 0, IF($I$294, IF(AND(COLUMN($OD$304)-COLUMN($NV$303)=$Q$291,ROW($OD$304)-ROW($NV$303)=$K$291), U$290, OD304), OD304))</f>
        <v>0</v>
      </c>
      <c r="OE304" s="21">
        <f t="shared" si="186"/>
        <v>0</v>
      </c>
      <c r="OF304" s="21">
        <f t="shared" si="186"/>
        <v>0</v>
      </c>
      <c r="OG304" s="21">
        <f t="shared" si="186"/>
        <v>0</v>
      </c>
      <c r="OH304" s="21">
        <f t="shared" si="186"/>
        <v>0</v>
      </c>
      <c r="OI304" s="21">
        <f t="shared" si="186"/>
        <v>0</v>
      </c>
      <c r="OJ304" s="21">
        <f t="shared" si="186"/>
        <v>0</v>
      </c>
      <c r="OK304" s="21">
        <f t="shared" si="186"/>
        <v>0</v>
      </c>
      <c r="OL304" s="21">
        <f t="shared" ref="OL304:OS304" si="187">IF($F$290, 0, IF($I$294, IF(AND(COLUMN($OL$304)-COLUMN($NV$303)=$Q$291,ROW($OL$304)-ROW($NV$303)=$K$291), U$290, OL304), OL304))</f>
        <v>0</v>
      </c>
      <c r="OM304" s="21">
        <f t="shared" si="187"/>
        <v>0</v>
      </c>
      <c r="ON304" s="21">
        <f t="shared" si="187"/>
        <v>0</v>
      </c>
      <c r="OO304" s="21">
        <f t="shared" si="187"/>
        <v>0</v>
      </c>
      <c r="OP304" s="21">
        <f t="shared" si="187"/>
        <v>0</v>
      </c>
      <c r="OQ304" s="21">
        <f t="shared" si="187"/>
        <v>0</v>
      </c>
      <c r="OR304" s="21">
        <f t="shared" si="187"/>
        <v>0</v>
      </c>
      <c r="OS304" s="21">
        <f t="shared" si="187"/>
        <v>0</v>
      </c>
      <c r="OT304" s="21">
        <f t="shared" ref="OT304:PA304" si="188">IF($F$290, 0, IF($I$294, IF(AND(COLUMN($OT$304)-COLUMN($NV$303)=$Q$291,ROW($OT$304)-ROW($NV$303)=$K$291), U$290, OT304), OT304))</f>
        <v>0</v>
      </c>
      <c r="OU304" s="21">
        <f t="shared" si="188"/>
        <v>0</v>
      </c>
      <c r="OV304" s="21">
        <f t="shared" si="188"/>
        <v>0</v>
      </c>
      <c r="OW304" s="21">
        <f t="shared" si="188"/>
        <v>0</v>
      </c>
      <c r="OX304" s="21">
        <f t="shared" si="188"/>
        <v>0</v>
      </c>
      <c r="OY304" s="21">
        <f t="shared" si="188"/>
        <v>0</v>
      </c>
      <c r="OZ304" s="21">
        <f t="shared" si="188"/>
        <v>0</v>
      </c>
      <c r="PA304" s="21">
        <f t="shared" si="188"/>
        <v>0</v>
      </c>
      <c r="PB304" s="21">
        <f t="shared" ref="PB304:PI304" si="189">IF($F$290, 0, IF($I$294, IF(AND(COLUMN($PB$304)-COLUMN($NV$303)=$Q$291,ROW($PB$304)-ROW($NV$303)=$K$291), U$290, PB304), PB304))</f>
        <v>0</v>
      </c>
      <c r="PC304" s="21">
        <f t="shared" si="189"/>
        <v>0</v>
      </c>
      <c r="PD304" s="21">
        <f t="shared" si="189"/>
        <v>0</v>
      </c>
      <c r="PE304" s="21">
        <f t="shared" si="189"/>
        <v>0</v>
      </c>
      <c r="PF304" s="21">
        <f t="shared" si="189"/>
        <v>0</v>
      </c>
      <c r="PG304" s="21">
        <f t="shared" si="189"/>
        <v>0</v>
      </c>
      <c r="PH304" s="21">
        <f t="shared" si="189"/>
        <v>0</v>
      </c>
      <c r="PI304" s="21">
        <f t="shared" si="189"/>
        <v>0</v>
      </c>
      <c r="PJ304" s="21">
        <f t="shared" ref="PJ304:PQ304" si="190">IF($F$290, 0, IF($I$294, IF(AND(COLUMN($PJ$304)-COLUMN($NV$303)=$Q$291,ROW($PJ$304)-ROW($NV$303)=$K$291), U$290, PJ304), PJ304))</f>
        <v>0</v>
      </c>
      <c r="PK304" s="21">
        <f t="shared" si="190"/>
        <v>0</v>
      </c>
      <c r="PL304" s="21">
        <f t="shared" si="190"/>
        <v>0</v>
      </c>
      <c r="PM304" s="21">
        <f t="shared" si="190"/>
        <v>0</v>
      </c>
      <c r="PN304" s="21">
        <f t="shared" si="190"/>
        <v>0</v>
      </c>
      <c r="PO304" s="21">
        <f t="shared" si="190"/>
        <v>0</v>
      </c>
      <c r="PP304" s="21">
        <f t="shared" si="190"/>
        <v>0</v>
      </c>
      <c r="PQ304" s="21">
        <f t="shared" si="190"/>
        <v>0</v>
      </c>
      <c r="PR304" s="21">
        <f t="shared" ref="PR304:PY304" si="191">IF($F$290, 0, IF($I$294, IF(AND(COLUMN($PR$304)-COLUMN($NV$303)=$Q$291,ROW($PR$304)-ROW($NV$303)=$K$291), U$290, PR304), PR304))</f>
        <v>0</v>
      </c>
      <c r="PS304" s="21">
        <f t="shared" si="191"/>
        <v>0</v>
      </c>
      <c r="PT304" s="21">
        <f t="shared" si="191"/>
        <v>0</v>
      </c>
      <c r="PU304" s="21">
        <f t="shared" si="191"/>
        <v>0</v>
      </c>
      <c r="PV304" s="21">
        <f t="shared" si="191"/>
        <v>0</v>
      </c>
      <c r="PW304" s="21">
        <f t="shared" si="191"/>
        <v>0</v>
      </c>
      <c r="PX304" s="21">
        <f t="shared" si="191"/>
        <v>0</v>
      </c>
      <c r="PY304" s="21">
        <f t="shared" si="191"/>
        <v>0</v>
      </c>
      <c r="PZ304" s="21">
        <f t="shared" ref="PZ304:QG304" si="192">IF($F$290, 0, IF($I$294, IF(AND(COLUMN($PZ$304)-COLUMN($NV$303)=$Q$291,ROW($PZ$304)-ROW($NV$303)=$K$291), U$290, PZ304), PZ304))</f>
        <v>0</v>
      </c>
      <c r="QA304" s="21">
        <f t="shared" si="192"/>
        <v>0</v>
      </c>
      <c r="QB304" s="21">
        <f t="shared" si="192"/>
        <v>0</v>
      </c>
      <c r="QC304" s="21">
        <f t="shared" si="192"/>
        <v>0</v>
      </c>
      <c r="QD304" s="21">
        <f t="shared" si="192"/>
        <v>0</v>
      </c>
      <c r="QE304" s="21">
        <f t="shared" si="192"/>
        <v>0</v>
      </c>
      <c r="QF304" s="21">
        <f t="shared" si="192"/>
        <v>0</v>
      </c>
      <c r="QG304" s="21">
        <f t="shared" si="192"/>
        <v>0</v>
      </c>
      <c r="QH304" s="21">
        <f t="shared" ref="QH304:QO304" si="193">IF($F$290, 0, IF($J$294, IF(AND(COLUMN($QH$304)-COLUMN($QH$303)=$Q$291,ROW($QH$304)-ROW($QH$303)=$K$291), U$290, QH304), QH304))</f>
        <v>0</v>
      </c>
      <c r="QI304" s="21">
        <f t="shared" si="193"/>
        <v>0</v>
      </c>
      <c r="QJ304" s="21">
        <f t="shared" si="193"/>
        <v>0</v>
      </c>
      <c r="QK304" s="21">
        <f t="shared" si="193"/>
        <v>0</v>
      </c>
      <c r="QL304" s="21">
        <f t="shared" si="193"/>
        <v>0</v>
      </c>
      <c r="QM304" s="21">
        <f t="shared" si="193"/>
        <v>0</v>
      </c>
      <c r="QN304" s="21">
        <f t="shared" si="193"/>
        <v>0</v>
      </c>
      <c r="QO304" s="21">
        <f t="shared" si="193"/>
        <v>0</v>
      </c>
      <c r="QP304" s="21">
        <f t="shared" ref="QP304:QW304" si="194">IF($F$290, 0, IF($J$294, IF(AND(COLUMN($QP$304)-COLUMN($QH$303)=$Q$291,ROW($QP$304)-ROW($QH$303)=$K$291), U$290, QP304), QP304))</f>
        <v>0</v>
      </c>
      <c r="QQ304" s="21">
        <f t="shared" si="194"/>
        <v>0</v>
      </c>
      <c r="QR304" s="21">
        <f t="shared" si="194"/>
        <v>0</v>
      </c>
      <c r="QS304" s="21">
        <f t="shared" si="194"/>
        <v>0</v>
      </c>
      <c r="QT304" s="21">
        <f t="shared" si="194"/>
        <v>0</v>
      </c>
      <c r="QU304" s="21">
        <f t="shared" si="194"/>
        <v>0</v>
      </c>
      <c r="QV304" s="21">
        <f t="shared" si="194"/>
        <v>0</v>
      </c>
      <c r="QW304" s="21">
        <f t="shared" si="194"/>
        <v>0</v>
      </c>
      <c r="QX304" s="21">
        <f t="shared" ref="QX304:RE304" si="195">IF($F$290, 0, IF($J$294, IF(AND(COLUMN($QX$304)-COLUMN($QH$303)=$Q$291,ROW($QX$304)-ROW($QH$303)=$K$291), U$290, QX304), QX304))</f>
        <v>0</v>
      </c>
      <c r="QY304" s="21">
        <f t="shared" si="195"/>
        <v>0</v>
      </c>
      <c r="QZ304" s="21">
        <f t="shared" si="195"/>
        <v>0</v>
      </c>
      <c r="RA304" s="21">
        <f t="shared" si="195"/>
        <v>0</v>
      </c>
      <c r="RB304" s="21">
        <f t="shared" si="195"/>
        <v>0</v>
      </c>
      <c r="RC304" s="21">
        <f t="shared" si="195"/>
        <v>0</v>
      </c>
      <c r="RD304" s="21">
        <f t="shared" si="195"/>
        <v>0</v>
      </c>
      <c r="RE304" s="21">
        <f t="shared" si="195"/>
        <v>0</v>
      </c>
      <c r="RF304" s="21">
        <f t="shared" ref="RF304:RM304" si="196">IF($F$290, 0, IF($J$294, IF(AND(COLUMN($RF$304)-COLUMN($QH$303)=$Q$291,ROW($RF$304)-ROW($QH$303)=$K$291), U$290, RF304), RF304))</f>
        <v>0</v>
      </c>
      <c r="RG304" s="21">
        <f t="shared" si="196"/>
        <v>0</v>
      </c>
      <c r="RH304" s="21">
        <f t="shared" si="196"/>
        <v>0</v>
      </c>
      <c r="RI304" s="21">
        <f t="shared" si="196"/>
        <v>0</v>
      </c>
      <c r="RJ304" s="21">
        <f t="shared" si="196"/>
        <v>0</v>
      </c>
      <c r="RK304" s="21">
        <f t="shared" si="196"/>
        <v>0</v>
      </c>
      <c r="RL304" s="21">
        <f t="shared" si="196"/>
        <v>0</v>
      </c>
      <c r="RM304" s="21">
        <f t="shared" si="196"/>
        <v>0</v>
      </c>
      <c r="RN304" s="21">
        <f t="shared" ref="RN304:RU304" si="197">IF($F$290, 0, IF($J$294, IF(AND(COLUMN($RN$304)-COLUMN($QH$303)=$Q$291,ROW($RN$304)-ROW($QH$303)=$K$291), U$290, RN304), RN304))</f>
        <v>0</v>
      </c>
      <c r="RO304" s="21">
        <f t="shared" si="197"/>
        <v>0</v>
      </c>
      <c r="RP304" s="21">
        <f t="shared" si="197"/>
        <v>0</v>
      </c>
      <c r="RQ304" s="21">
        <f t="shared" si="197"/>
        <v>0</v>
      </c>
      <c r="RR304" s="21">
        <f t="shared" si="197"/>
        <v>0</v>
      </c>
      <c r="RS304" s="21">
        <f t="shared" si="197"/>
        <v>0</v>
      </c>
      <c r="RT304" s="21">
        <f t="shared" si="197"/>
        <v>0</v>
      </c>
      <c r="RU304" s="21">
        <f t="shared" si="197"/>
        <v>0</v>
      </c>
      <c r="RV304" s="21">
        <f t="shared" ref="RV304:SC304" si="198">IF($F$290, 0, IF($J$294, IF(AND(COLUMN($RV$304)-COLUMN($QH$303)=$Q$291,ROW($RV$304)-ROW($QH$303)=$K$291), U$290, RV304), RV304))</f>
        <v>0</v>
      </c>
      <c r="RW304" s="21">
        <f t="shared" si="198"/>
        <v>0</v>
      </c>
      <c r="RX304" s="21">
        <f t="shared" si="198"/>
        <v>0</v>
      </c>
      <c r="RY304" s="21">
        <f t="shared" si="198"/>
        <v>0</v>
      </c>
      <c r="RZ304" s="21">
        <f t="shared" si="198"/>
        <v>0</v>
      </c>
      <c r="SA304" s="21">
        <f t="shared" si="198"/>
        <v>0</v>
      </c>
      <c r="SB304" s="21">
        <f t="shared" si="198"/>
        <v>0</v>
      </c>
      <c r="SC304" s="21">
        <f t="shared" si="198"/>
        <v>0</v>
      </c>
      <c r="SD304" s="21">
        <f t="shared" ref="SD304:SK304" si="199">IF($F$290, 0, IF($J$294, IF(AND(COLUMN($SD$304)-COLUMN($QH$303)=$Q$291,ROW($SD$304)-ROW($QH$303)=$K$291), U$290, SD304), SD304))</f>
        <v>0</v>
      </c>
      <c r="SE304" s="21">
        <f t="shared" si="199"/>
        <v>0</v>
      </c>
      <c r="SF304" s="21">
        <f t="shared" si="199"/>
        <v>0</v>
      </c>
      <c r="SG304" s="21">
        <f t="shared" si="199"/>
        <v>0</v>
      </c>
      <c r="SH304" s="21">
        <f t="shared" si="199"/>
        <v>0</v>
      </c>
      <c r="SI304" s="21">
        <f t="shared" si="199"/>
        <v>0</v>
      </c>
      <c r="SJ304" s="21">
        <f t="shared" si="199"/>
        <v>0</v>
      </c>
      <c r="SK304" s="21">
        <f t="shared" si="199"/>
        <v>0</v>
      </c>
      <c r="SL304" s="21">
        <f t="shared" ref="SL304:SS304" si="200">IF($F$290, 0, IF($J$294, IF(AND(COLUMN($SL$304)-COLUMN($QH$303)=$Q$291,ROW($SL$304)-ROW($QH$303)=$K$291), U$290, SL304), SL304))</f>
        <v>0</v>
      </c>
      <c r="SM304" s="21">
        <f t="shared" si="200"/>
        <v>0</v>
      </c>
      <c r="SN304" s="21">
        <f t="shared" si="200"/>
        <v>0</v>
      </c>
      <c r="SO304" s="21">
        <f t="shared" si="200"/>
        <v>0</v>
      </c>
      <c r="SP304" s="21">
        <f t="shared" si="200"/>
        <v>0</v>
      </c>
      <c r="SQ304" s="21">
        <f t="shared" si="200"/>
        <v>0</v>
      </c>
      <c r="SR304" s="21">
        <f t="shared" si="200"/>
        <v>0</v>
      </c>
      <c r="SS304" s="21">
        <f t="shared" si="200"/>
        <v>0</v>
      </c>
    </row>
    <row r="305" spans="2:513" ht="15" customHeight="1" x14ac:dyDescent="0.25">
      <c r="B305" s="21">
        <f t="shared" ref="B305:I305" si="201">IF($F$290, 0, IF($C$294, IF(AND(COLUMN($B$305)-COLUMN($B$303)=$Q$291,ROW($B$305)-ROW($B$303)=$K$291), U$290, B305), B305))</f>
        <v>0</v>
      </c>
      <c r="C305" s="21">
        <f t="shared" si="201"/>
        <v>0</v>
      </c>
      <c r="D305" s="21">
        <f t="shared" si="201"/>
        <v>0</v>
      </c>
      <c r="E305" s="21">
        <f t="shared" si="201"/>
        <v>0</v>
      </c>
      <c r="F305" s="21">
        <f t="shared" si="201"/>
        <v>0</v>
      </c>
      <c r="G305" s="21">
        <f t="shared" si="201"/>
        <v>0</v>
      </c>
      <c r="H305" s="21">
        <f t="shared" si="201"/>
        <v>0</v>
      </c>
      <c r="I305" s="21">
        <f t="shared" si="201"/>
        <v>0</v>
      </c>
      <c r="J305" s="21">
        <f t="shared" ref="J305:Q305" si="202">IF($F$290, 0, IF($C$294, IF(AND(COLUMN($J$305)-COLUMN($B$303)=$Q$291,ROW($J$305)-ROW($B$303)=$K$291), U$290, J305), J305))</f>
        <v>0</v>
      </c>
      <c r="K305" s="21">
        <f t="shared" si="202"/>
        <v>0</v>
      </c>
      <c r="L305" s="21">
        <f t="shared" si="202"/>
        <v>0</v>
      </c>
      <c r="M305" s="21">
        <f t="shared" si="202"/>
        <v>0</v>
      </c>
      <c r="N305" s="21">
        <f t="shared" si="202"/>
        <v>0</v>
      </c>
      <c r="O305" s="21">
        <f t="shared" si="202"/>
        <v>0</v>
      </c>
      <c r="P305" s="21">
        <f t="shared" si="202"/>
        <v>0</v>
      </c>
      <c r="Q305" s="21">
        <f t="shared" si="202"/>
        <v>0</v>
      </c>
      <c r="R305" s="21">
        <f>IF($F$290, 0, IF($C$294, IF(AND(COLUMN($R$305)-COLUMN($B$303)=$Q$291,ROW($R$305)-ROW($B$303)=$K$291), U$290, R305), R305))</f>
        <v>0</v>
      </c>
      <c r="S305" s="21">
        <f t="shared" ref="S305:Y305" si="203">IF($F$290, 0, IF($C$294, IF(AND(COLUMN($R$305)-COLUMN($B$303)=$Q$291,ROW($R$305)-ROW($B$303)=$K$291), V$290, S305), S305))</f>
        <v>0</v>
      </c>
      <c r="T305" s="21">
        <f t="shared" si="203"/>
        <v>0</v>
      </c>
      <c r="U305" s="21">
        <f t="shared" si="203"/>
        <v>0</v>
      </c>
      <c r="V305" s="21">
        <f t="shared" si="203"/>
        <v>0</v>
      </c>
      <c r="W305" s="21">
        <f t="shared" si="203"/>
        <v>0</v>
      </c>
      <c r="X305" s="21">
        <f t="shared" si="203"/>
        <v>0</v>
      </c>
      <c r="Y305" s="21">
        <f t="shared" si="203"/>
        <v>0</v>
      </c>
      <c r="Z305" s="21">
        <f t="shared" ref="Z305:AG305" si="204">IF($F$290, 0, IF($C$294, IF(AND(COLUMN($Z$305)-COLUMN($B$303)=$Q$291,ROW($Z$305)-ROW($B$303)=$K$291), U$290, Z305), Z305))</f>
        <v>0</v>
      </c>
      <c r="AA305" s="21">
        <f t="shared" si="204"/>
        <v>0</v>
      </c>
      <c r="AB305" s="21">
        <f t="shared" si="204"/>
        <v>0</v>
      </c>
      <c r="AC305" s="21">
        <f t="shared" si="204"/>
        <v>0</v>
      </c>
      <c r="AD305" s="21">
        <f t="shared" si="204"/>
        <v>0</v>
      </c>
      <c r="AE305" s="21">
        <f t="shared" si="204"/>
        <v>0</v>
      </c>
      <c r="AF305" s="21">
        <f t="shared" si="204"/>
        <v>0</v>
      </c>
      <c r="AG305" s="21">
        <f t="shared" si="204"/>
        <v>0</v>
      </c>
      <c r="AH305" s="21">
        <f t="shared" ref="AH305:AO305" si="205">IF($F$290, 0, IF($C$294, IF(AND(COLUMN($AH$305)-COLUMN($B$303)=$Q$291,ROW($AH$305)-ROW($B$303)=$K$291), U$290, AH305), AH305))</f>
        <v>0</v>
      </c>
      <c r="AI305" s="21">
        <f t="shared" si="205"/>
        <v>0</v>
      </c>
      <c r="AJ305" s="21">
        <f t="shared" si="205"/>
        <v>0</v>
      </c>
      <c r="AK305" s="21">
        <f t="shared" si="205"/>
        <v>0</v>
      </c>
      <c r="AL305" s="21">
        <f t="shared" si="205"/>
        <v>0</v>
      </c>
      <c r="AM305" s="21">
        <f t="shared" si="205"/>
        <v>0</v>
      </c>
      <c r="AN305" s="21">
        <f t="shared" si="205"/>
        <v>0</v>
      </c>
      <c r="AO305" s="21">
        <f t="shared" si="205"/>
        <v>0</v>
      </c>
      <c r="AP305" s="21">
        <f t="shared" ref="AP305:AW305" si="206">IF($F$290, 0, IF($C$294, IF(AND(COLUMN($AP$305)-COLUMN($B$303)=$Q$291,ROW($AP$305)-ROW($B$303)=$K$291), U$290, AP305), AP305))</f>
        <v>0</v>
      </c>
      <c r="AQ305" s="21">
        <f t="shared" si="206"/>
        <v>0</v>
      </c>
      <c r="AR305" s="21">
        <f t="shared" si="206"/>
        <v>0</v>
      </c>
      <c r="AS305" s="21">
        <f t="shared" si="206"/>
        <v>0</v>
      </c>
      <c r="AT305" s="21">
        <f t="shared" si="206"/>
        <v>0</v>
      </c>
      <c r="AU305" s="21">
        <f t="shared" si="206"/>
        <v>0</v>
      </c>
      <c r="AV305" s="21">
        <f t="shared" si="206"/>
        <v>0</v>
      </c>
      <c r="AW305" s="21">
        <f t="shared" si="206"/>
        <v>0</v>
      </c>
      <c r="AX305" s="21">
        <f t="shared" ref="AX305:BE305" si="207">IF($F$290, 0, IF($C$294, IF(AND(COLUMN($AX$305)-COLUMN($B$303)=$Q$291,ROW($AX$305)-ROW($B$303)=$K$291), U$290, AX305), AX305))</f>
        <v>0</v>
      </c>
      <c r="AY305" s="21">
        <f t="shared" si="207"/>
        <v>0</v>
      </c>
      <c r="AZ305" s="21">
        <f t="shared" si="207"/>
        <v>0</v>
      </c>
      <c r="BA305" s="21">
        <f t="shared" si="207"/>
        <v>0</v>
      </c>
      <c r="BB305" s="21">
        <f t="shared" si="207"/>
        <v>0</v>
      </c>
      <c r="BC305" s="21">
        <f t="shared" si="207"/>
        <v>0</v>
      </c>
      <c r="BD305" s="21">
        <f t="shared" si="207"/>
        <v>0</v>
      </c>
      <c r="BE305" s="21">
        <f t="shared" si="207"/>
        <v>0</v>
      </c>
      <c r="BF305" s="21">
        <f t="shared" ref="BF305:BM305" si="208">IF($F$290, 0, IF($C$294, IF(AND(COLUMN($BF$305)-COLUMN($B$303)=$Q$291,ROW($BF$305)-ROW($B$303)=$K$291), U$290, BF305), BF305))</f>
        <v>0</v>
      </c>
      <c r="BG305" s="21">
        <f t="shared" si="208"/>
        <v>0</v>
      </c>
      <c r="BH305" s="21">
        <f t="shared" si="208"/>
        <v>0</v>
      </c>
      <c r="BI305" s="21">
        <f t="shared" si="208"/>
        <v>0</v>
      </c>
      <c r="BJ305" s="21">
        <f t="shared" si="208"/>
        <v>0</v>
      </c>
      <c r="BK305" s="21">
        <f t="shared" si="208"/>
        <v>0</v>
      </c>
      <c r="BL305" s="21">
        <f t="shared" si="208"/>
        <v>0</v>
      </c>
      <c r="BM305" s="21">
        <f t="shared" si="208"/>
        <v>0</v>
      </c>
      <c r="BN305" s="21">
        <f t="shared" ref="BN305:BU305" si="209">IF($F$290, 0, IF($D$294, IF(AND(COLUMN($BN$305)-COLUMN($BN$303)=$Q$291,ROW($BN$305)-ROW($BN$303)=$K$291), U$290, BN305), BN305))</f>
        <v>0</v>
      </c>
      <c r="BO305" s="21">
        <f t="shared" si="209"/>
        <v>0</v>
      </c>
      <c r="BP305" s="21">
        <f t="shared" si="209"/>
        <v>0</v>
      </c>
      <c r="BQ305" s="21">
        <f t="shared" si="209"/>
        <v>0</v>
      </c>
      <c r="BR305" s="21">
        <f t="shared" si="209"/>
        <v>0</v>
      </c>
      <c r="BS305" s="21">
        <f t="shared" si="209"/>
        <v>0</v>
      </c>
      <c r="BT305" s="21">
        <f t="shared" si="209"/>
        <v>0</v>
      </c>
      <c r="BU305" s="21">
        <f t="shared" si="209"/>
        <v>0</v>
      </c>
      <c r="BV305" s="21">
        <f t="shared" ref="BV305:CC305" si="210">IF($F$290, 0, IF($D$294, IF(AND(COLUMN($BV$305)-COLUMN($BN$303)=$Q$291,ROW($BV$305)-ROW($BN$303)=$K$291), U$290, BV305), BV305))</f>
        <v>0</v>
      </c>
      <c r="BW305" s="21">
        <f t="shared" si="210"/>
        <v>0</v>
      </c>
      <c r="BX305" s="21">
        <f t="shared" si="210"/>
        <v>0</v>
      </c>
      <c r="BY305" s="21">
        <f t="shared" si="210"/>
        <v>0</v>
      </c>
      <c r="BZ305" s="21">
        <f t="shared" si="210"/>
        <v>0</v>
      </c>
      <c r="CA305" s="21">
        <f t="shared" si="210"/>
        <v>0</v>
      </c>
      <c r="CB305" s="21">
        <f t="shared" si="210"/>
        <v>0</v>
      </c>
      <c r="CC305" s="21">
        <f t="shared" si="210"/>
        <v>0</v>
      </c>
      <c r="CD305" s="21">
        <f t="shared" ref="CD305:CK305" si="211">IF($F$290, 0, IF($D$294, IF(AND(COLUMN($CD$305)-COLUMN($BN$303)=$Q$291,ROW($CD$305)-ROW($BN$303)=$K$291), U$290, CD305), CD305))</f>
        <v>0</v>
      </c>
      <c r="CE305" s="21">
        <f t="shared" si="211"/>
        <v>0</v>
      </c>
      <c r="CF305" s="21">
        <f t="shared" si="211"/>
        <v>0</v>
      </c>
      <c r="CG305" s="21">
        <f t="shared" si="211"/>
        <v>0</v>
      </c>
      <c r="CH305" s="21">
        <f t="shared" si="211"/>
        <v>0</v>
      </c>
      <c r="CI305" s="21">
        <f t="shared" si="211"/>
        <v>0</v>
      </c>
      <c r="CJ305" s="21">
        <f t="shared" si="211"/>
        <v>0</v>
      </c>
      <c r="CK305" s="21">
        <f t="shared" si="211"/>
        <v>0</v>
      </c>
      <c r="CL305" s="21">
        <f t="shared" ref="CL305:CS305" si="212">IF($F$290, 0, IF($D$294, IF(AND(COLUMN($CL$305)-COLUMN($BN$303)=$Q$291,ROW($CL$305)-ROW($BN$303)=$K$291), U$290, CL305), CL305))</f>
        <v>0</v>
      </c>
      <c r="CM305" s="21">
        <f t="shared" si="212"/>
        <v>0</v>
      </c>
      <c r="CN305" s="21">
        <f t="shared" si="212"/>
        <v>0</v>
      </c>
      <c r="CO305" s="21">
        <f t="shared" si="212"/>
        <v>0</v>
      </c>
      <c r="CP305" s="21">
        <f t="shared" si="212"/>
        <v>0</v>
      </c>
      <c r="CQ305" s="21">
        <f t="shared" si="212"/>
        <v>0</v>
      </c>
      <c r="CR305" s="21">
        <f t="shared" si="212"/>
        <v>0</v>
      </c>
      <c r="CS305" s="21">
        <f t="shared" si="212"/>
        <v>0</v>
      </c>
      <c r="CT305" s="21">
        <f t="shared" ref="CT305:DA305" si="213">IF($F$290, 0, IF($D$294, IF(AND(COLUMN($CT$305)-COLUMN($BN$303)=$Q$291,ROW($CT$305)-ROW($BN$303)=$K$291), U$290, CT305), CT305))</f>
        <v>0</v>
      </c>
      <c r="CU305" s="21">
        <f t="shared" si="213"/>
        <v>0</v>
      </c>
      <c r="CV305" s="21">
        <f t="shared" si="213"/>
        <v>0</v>
      </c>
      <c r="CW305" s="21">
        <f t="shared" si="213"/>
        <v>0</v>
      </c>
      <c r="CX305" s="21">
        <f t="shared" si="213"/>
        <v>0</v>
      </c>
      <c r="CY305" s="21">
        <f t="shared" si="213"/>
        <v>0</v>
      </c>
      <c r="CZ305" s="21">
        <f t="shared" si="213"/>
        <v>0</v>
      </c>
      <c r="DA305" s="21">
        <f t="shared" si="213"/>
        <v>0</v>
      </c>
      <c r="DB305" s="21">
        <f t="shared" ref="DB305:DI305" si="214">IF($F$290, 0, IF($D$294, IF(AND(COLUMN($DB$305)-COLUMN($BN$303)=$Q$291,ROW($DB$305)-ROW($BN$303)=$K$291), U$290, DB305), DB305))</f>
        <v>0</v>
      </c>
      <c r="DC305" s="21">
        <f t="shared" si="214"/>
        <v>0</v>
      </c>
      <c r="DD305" s="21">
        <f t="shared" si="214"/>
        <v>0</v>
      </c>
      <c r="DE305" s="21">
        <f t="shared" si="214"/>
        <v>0</v>
      </c>
      <c r="DF305" s="21">
        <f t="shared" si="214"/>
        <v>0</v>
      </c>
      <c r="DG305" s="21">
        <f t="shared" si="214"/>
        <v>0</v>
      </c>
      <c r="DH305" s="21">
        <f t="shared" si="214"/>
        <v>0</v>
      </c>
      <c r="DI305" s="21">
        <f t="shared" si="214"/>
        <v>0</v>
      </c>
      <c r="DJ305" s="21">
        <f t="shared" ref="DJ305:DQ305" si="215">IF($F$290, 0, IF($D$294, IF(AND(COLUMN($DJ$305)-COLUMN($BN$303)=$Q$291,ROW($DJ$305)-ROW($BN$303)=$K$291), U$290, DJ305), DJ305))</f>
        <v>0</v>
      </c>
      <c r="DK305" s="21">
        <f t="shared" si="215"/>
        <v>0</v>
      </c>
      <c r="DL305" s="21">
        <f t="shared" si="215"/>
        <v>0</v>
      </c>
      <c r="DM305" s="21">
        <f t="shared" si="215"/>
        <v>0</v>
      </c>
      <c r="DN305" s="21">
        <f t="shared" si="215"/>
        <v>0</v>
      </c>
      <c r="DO305" s="21">
        <f t="shared" si="215"/>
        <v>0</v>
      </c>
      <c r="DP305" s="21">
        <f t="shared" si="215"/>
        <v>0</v>
      </c>
      <c r="DQ305" s="21">
        <f t="shared" si="215"/>
        <v>0</v>
      </c>
      <c r="DR305" s="21">
        <f t="shared" ref="DR305:DY305" si="216">IF($F$290, 0, IF($D$294, IF(AND(COLUMN($DR$305)-COLUMN($BN$303)=$Q$291,ROW($DR$305)-ROW($BN$303)=$K$291), U$290, DR305), DR305))</f>
        <v>0</v>
      </c>
      <c r="DS305" s="21">
        <f t="shared" si="216"/>
        <v>0</v>
      </c>
      <c r="DT305" s="21">
        <f t="shared" si="216"/>
        <v>0</v>
      </c>
      <c r="DU305" s="21">
        <f t="shared" si="216"/>
        <v>0</v>
      </c>
      <c r="DV305" s="21">
        <f t="shared" si="216"/>
        <v>0</v>
      </c>
      <c r="DW305" s="21">
        <f t="shared" si="216"/>
        <v>0</v>
      </c>
      <c r="DX305" s="21">
        <f t="shared" si="216"/>
        <v>0</v>
      </c>
      <c r="DY305" s="21">
        <f t="shared" si="216"/>
        <v>0</v>
      </c>
      <c r="DZ305" s="21">
        <f t="shared" ref="DZ305:EG305" si="217">IF($F$290, 0, IF($E$294, IF(AND(COLUMN($DZ$305)-COLUMN($DZ$303)=$Q$291,ROW($DZ$305)-ROW($DZ$303)=$K$291), U$290, DZ305), DZ305))</f>
        <v>0</v>
      </c>
      <c r="EA305" s="21">
        <f t="shared" si="217"/>
        <v>0</v>
      </c>
      <c r="EB305" s="21">
        <f t="shared" si="217"/>
        <v>0</v>
      </c>
      <c r="EC305" s="21">
        <f t="shared" si="217"/>
        <v>0</v>
      </c>
      <c r="ED305" s="21">
        <f t="shared" si="217"/>
        <v>0</v>
      </c>
      <c r="EE305" s="21">
        <f t="shared" si="217"/>
        <v>0</v>
      </c>
      <c r="EF305" s="21">
        <f t="shared" si="217"/>
        <v>0</v>
      </c>
      <c r="EG305" s="21">
        <f t="shared" si="217"/>
        <v>0</v>
      </c>
      <c r="EH305" s="21">
        <f t="shared" ref="EH305:EO305" si="218">IF($F$290, 0, IF($E$294, IF(AND(COLUMN($EH$305)-COLUMN($DZ$303)=$Q$291,ROW($EH$305)-ROW($DZ$303)=$K$291), U$290, EH305), EH305))</f>
        <v>0</v>
      </c>
      <c r="EI305" s="21">
        <f t="shared" si="218"/>
        <v>0</v>
      </c>
      <c r="EJ305" s="21">
        <f t="shared" si="218"/>
        <v>0</v>
      </c>
      <c r="EK305" s="21">
        <f t="shared" si="218"/>
        <v>0</v>
      </c>
      <c r="EL305" s="21">
        <f t="shared" si="218"/>
        <v>0</v>
      </c>
      <c r="EM305" s="21">
        <f t="shared" si="218"/>
        <v>0</v>
      </c>
      <c r="EN305" s="21">
        <f t="shared" si="218"/>
        <v>0</v>
      </c>
      <c r="EO305" s="21">
        <f t="shared" si="218"/>
        <v>0</v>
      </c>
      <c r="EP305" s="21">
        <f t="shared" ref="EP305:EW305" si="219">IF($F$290, 0, IF($E$294, IF(AND(COLUMN($EP$305)-COLUMN($DZ$303)=$Q$291,ROW($EP$305)-ROW($DZ$303)=$K$291), U$290, EP305), EP305))</f>
        <v>0</v>
      </c>
      <c r="EQ305" s="21">
        <f t="shared" si="219"/>
        <v>0</v>
      </c>
      <c r="ER305" s="21">
        <f t="shared" si="219"/>
        <v>0</v>
      </c>
      <c r="ES305" s="21">
        <f t="shared" si="219"/>
        <v>0</v>
      </c>
      <c r="ET305" s="21">
        <f t="shared" si="219"/>
        <v>0</v>
      </c>
      <c r="EU305" s="21">
        <f t="shared" si="219"/>
        <v>0</v>
      </c>
      <c r="EV305" s="21">
        <f t="shared" si="219"/>
        <v>0</v>
      </c>
      <c r="EW305" s="21">
        <f t="shared" si="219"/>
        <v>0</v>
      </c>
      <c r="EX305" s="21">
        <f t="shared" ref="EX305:FE305" si="220">IF($F$290, 0, IF($E$294, IF(AND(COLUMN($EX$305)-COLUMN($DZ$303)=$Q$291,ROW($EX$305)-ROW($DZ$303)=$K$291), U$290, EX305), EX305))</f>
        <v>0</v>
      </c>
      <c r="EY305" s="21">
        <f t="shared" si="220"/>
        <v>0</v>
      </c>
      <c r="EZ305" s="21">
        <f t="shared" si="220"/>
        <v>0</v>
      </c>
      <c r="FA305" s="21">
        <f t="shared" si="220"/>
        <v>0</v>
      </c>
      <c r="FB305" s="21">
        <f t="shared" si="220"/>
        <v>0</v>
      </c>
      <c r="FC305" s="21">
        <f t="shared" si="220"/>
        <v>0</v>
      </c>
      <c r="FD305" s="21">
        <f t="shared" si="220"/>
        <v>0</v>
      </c>
      <c r="FE305" s="21">
        <f t="shared" si="220"/>
        <v>0</v>
      </c>
      <c r="FF305" s="21">
        <f t="shared" ref="FF305:FM305" si="221">IF($F$290, 0, IF($E$294, IF(AND(COLUMN($FF$305)-COLUMN($DZ$303)=$Q$291,ROW($FF$305)-ROW($DZ$303)=$K$291), U$290, FF305), FF305))</f>
        <v>0</v>
      </c>
      <c r="FG305" s="21">
        <f t="shared" si="221"/>
        <v>0</v>
      </c>
      <c r="FH305" s="21">
        <f t="shared" si="221"/>
        <v>0</v>
      </c>
      <c r="FI305" s="21">
        <f t="shared" si="221"/>
        <v>0</v>
      </c>
      <c r="FJ305" s="21">
        <f t="shared" si="221"/>
        <v>0</v>
      </c>
      <c r="FK305" s="21">
        <f t="shared" si="221"/>
        <v>0</v>
      </c>
      <c r="FL305" s="21">
        <f t="shared" si="221"/>
        <v>0</v>
      </c>
      <c r="FM305" s="21">
        <f t="shared" si="221"/>
        <v>0</v>
      </c>
      <c r="FN305" s="21">
        <f t="shared" ref="FN305:FU305" si="222">IF($F$290, 0, IF($E$294, IF(AND(COLUMN($FN$305)-COLUMN($DZ$303)=$Q$291,ROW($FN$305)-ROW($DZ$303)=$K$291), U$290, FN305), FN305))</f>
        <v>0</v>
      </c>
      <c r="FO305" s="21">
        <f t="shared" si="222"/>
        <v>0</v>
      </c>
      <c r="FP305" s="21">
        <f t="shared" si="222"/>
        <v>0</v>
      </c>
      <c r="FQ305" s="21">
        <f t="shared" si="222"/>
        <v>0</v>
      </c>
      <c r="FR305" s="21">
        <f t="shared" si="222"/>
        <v>0</v>
      </c>
      <c r="FS305" s="21">
        <f t="shared" si="222"/>
        <v>0</v>
      </c>
      <c r="FT305" s="21">
        <f t="shared" si="222"/>
        <v>0</v>
      </c>
      <c r="FU305" s="21">
        <f t="shared" si="222"/>
        <v>0</v>
      </c>
      <c r="FV305" s="21">
        <f t="shared" ref="FV305:GC305" si="223">IF($F$290, 0, IF($E$294, IF(AND(COLUMN($FV$305)-COLUMN($DZ$303)=$Q$291,ROW($FV$305)-ROW($DZ$303)=$K$291), U$290, FV305), FV305))</f>
        <v>0</v>
      </c>
      <c r="FW305" s="21">
        <f t="shared" si="223"/>
        <v>0</v>
      </c>
      <c r="FX305" s="21">
        <f t="shared" si="223"/>
        <v>0</v>
      </c>
      <c r="FY305" s="21">
        <f t="shared" si="223"/>
        <v>0</v>
      </c>
      <c r="FZ305" s="21">
        <f t="shared" si="223"/>
        <v>0</v>
      </c>
      <c r="GA305" s="21">
        <f t="shared" si="223"/>
        <v>0</v>
      </c>
      <c r="GB305" s="21">
        <f t="shared" si="223"/>
        <v>0</v>
      </c>
      <c r="GC305" s="21">
        <f t="shared" si="223"/>
        <v>0</v>
      </c>
      <c r="GD305" s="21">
        <f t="shared" ref="GD305:GK305" si="224">IF($F$290, 0, IF($E$294, IF(AND(COLUMN($GD$305)-COLUMN($DZ$303)=$Q$291,ROW($GD$305)-ROW($DZ$303)=$K$291), U$290, GD305), GD305))</f>
        <v>0</v>
      </c>
      <c r="GE305" s="21">
        <f t="shared" si="224"/>
        <v>0</v>
      </c>
      <c r="GF305" s="21">
        <f t="shared" si="224"/>
        <v>0</v>
      </c>
      <c r="GG305" s="21">
        <f t="shared" si="224"/>
        <v>0</v>
      </c>
      <c r="GH305" s="21">
        <f t="shared" si="224"/>
        <v>0</v>
      </c>
      <c r="GI305" s="21">
        <f t="shared" si="224"/>
        <v>0</v>
      </c>
      <c r="GJ305" s="21">
        <f t="shared" si="224"/>
        <v>0</v>
      </c>
      <c r="GK305" s="21">
        <f t="shared" si="224"/>
        <v>0</v>
      </c>
      <c r="GL305" s="21">
        <f t="shared" ref="GL305:GS305" si="225">IF($F$290, 0, IF($F$294, IF(AND(COLUMN($GL$305)-COLUMN($GL$303)=$Q$291,ROW($GL$305)-ROW($GL$303)=$K$291), U$290, GL305), GL305))</f>
        <v>0</v>
      </c>
      <c r="GM305" s="21">
        <f t="shared" si="225"/>
        <v>0</v>
      </c>
      <c r="GN305" s="21">
        <f t="shared" si="225"/>
        <v>0</v>
      </c>
      <c r="GO305" s="21">
        <f t="shared" si="225"/>
        <v>0</v>
      </c>
      <c r="GP305" s="21">
        <f t="shared" si="225"/>
        <v>0</v>
      </c>
      <c r="GQ305" s="21">
        <f t="shared" si="225"/>
        <v>0</v>
      </c>
      <c r="GR305" s="21">
        <f t="shared" si="225"/>
        <v>0</v>
      </c>
      <c r="GS305" s="21">
        <f t="shared" si="225"/>
        <v>0</v>
      </c>
      <c r="GT305" s="21">
        <f t="shared" ref="GT305:HA305" si="226">IF($F$290, 0, IF($F$294, IF(AND(COLUMN($GT$305)-COLUMN($GL$303)=$Q$291,ROW($GT$305)-ROW($GL$303)=$K$291), U$290, GT305), GT305))</f>
        <v>0</v>
      </c>
      <c r="GU305" s="21">
        <f t="shared" si="226"/>
        <v>0</v>
      </c>
      <c r="GV305" s="21">
        <f t="shared" si="226"/>
        <v>0</v>
      </c>
      <c r="GW305" s="21">
        <f t="shared" si="226"/>
        <v>0</v>
      </c>
      <c r="GX305" s="21">
        <f t="shared" si="226"/>
        <v>0</v>
      </c>
      <c r="GY305" s="21">
        <f t="shared" si="226"/>
        <v>0</v>
      </c>
      <c r="GZ305" s="21">
        <f t="shared" si="226"/>
        <v>0</v>
      </c>
      <c r="HA305" s="21">
        <f t="shared" si="226"/>
        <v>0</v>
      </c>
      <c r="HB305" s="21">
        <f t="shared" ref="HB305:HI305" si="227">IF($F$290, 0, IF($F$294, IF(AND(COLUMN($HB$305)-COLUMN($GL$303)=$Q$291,ROW($HB$305)-ROW($GL$303)=$K$291), U$290, HB305), HB305))</f>
        <v>0</v>
      </c>
      <c r="HC305" s="21">
        <f t="shared" si="227"/>
        <v>0</v>
      </c>
      <c r="HD305" s="21">
        <f t="shared" si="227"/>
        <v>0</v>
      </c>
      <c r="HE305" s="21">
        <f t="shared" si="227"/>
        <v>0</v>
      </c>
      <c r="HF305" s="21">
        <f t="shared" si="227"/>
        <v>0</v>
      </c>
      <c r="HG305" s="21">
        <f t="shared" si="227"/>
        <v>0</v>
      </c>
      <c r="HH305" s="21">
        <f t="shared" si="227"/>
        <v>0</v>
      </c>
      <c r="HI305" s="21">
        <f t="shared" si="227"/>
        <v>0</v>
      </c>
      <c r="HJ305" s="21">
        <f t="shared" ref="HJ305:HQ305" si="228">IF($F$290, 0, IF($F$294, IF(AND(COLUMN($HJ$305)-COLUMN($GL$303)=$Q$291,ROW($HJ$305)-ROW($GL$303)=$K$291), U$290, HJ305), HJ305))</f>
        <v>0</v>
      </c>
      <c r="HK305" s="21">
        <f t="shared" si="228"/>
        <v>0</v>
      </c>
      <c r="HL305" s="21">
        <f t="shared" si="228"/>
        <v>0</v>
      </c>
      <c r="HM305" s="21">
        <f t="shared" si="228"/>
        <v>0</v>
      </c>
      <c r="HN305" s="21">
        <f t="shared" si="228"/>
        <v>0</v>
      </c>
      <c r="HO305" s="21">
        <f t="shared" si="228"/>
        <v>0</v>
      </c>
      <c r="HP305" s="21">
        <f t="shared" si="228"/>
        <v>0</v>
      </c>
      <c r="HQ305" s="21">
        <f t="shared" si="228"/>
        <v>0</v>
      </c>
      <c r="HR305" s="21">
        <f t="shared" ref="HR305:HY305" si="229">IF($F$290, 0, IF($F$294, IF(AND(COLUMN($HR$305)-COLUMN($GL$303)=$Q$291,ROW($HR$305)-ROW($GL$303)=$K$291), U$290, HR305), HR305))</f>
        <v>0</v>
      </c>
      <c r="HS305" s="21">
        <f t="shared" si="229"/>
        <v>0</v>
      </c>
      <c r="HT305" s="21">
        <f t="shared" si="229"/>
        <v>0</v>
      </c>
      <c r="HU305" s="21">
        <f t="shared" si="229"/>
        <v>0</v>
      </c>
      <c r="HV305" s="21">
        <f t="shared" si="229"/>
        <v>0</v>
      </c>
      <c r="HW305" s="21">
        <f t="shared" si="229"/>
        <v>0</v>
      </c>
      <c r="HX305" s="21">
        <f t="shared" si="229"/>
        <v>0</v>
      </c>
      <c r="HY305" s="21">
        <f t="shared" si="229"/>
        <v>0</v>
      </c>
      <c r="HZ305" s="21">
        <f t="shared" ref="HZ305:IG305" si="230">IF($F$290, 0, IF($F$294, IF(AND(COLUMN($HZ$305)-COLUMN($GL$303)=$Q$291,ROW($HZ$305)-ROW($GL$303)=$K$291), U$290, HZ305), HZ305))</f>
        <v>0</v>
      </c>
      <c r="IA305" s="21">
        <f t="shared" si="230"/>
        <v>0</v>
      </c>
      <c r="IB305" s="21">
        <f t="shared" si="230"/>
        <v>0</v>
      </c>
      <c r="IC305" s="21">
        <f t="shared" si="230"/>
        <v>0</v>
      </c>
      <c r="ID305" s="21">
        <f t="shared" si="230"/>
        <v>0</v>
      </c>
      <c r="IE305" s="21">
        <f t="shared" si="230"/>
        <v>0</v>
      </c>
      <c r="IF305" s="21">
        <f t="shared" si="230"/>
        <v>0</v>
      </c>
      <c r="IG305" s="21">
        <f t="shared" si="230"/>
        <v>0</v>
      </c>
      <c r="IH305" s="21">
        <f t="shared" ref="IH305:IO305" si="231">IF($F$290, 0, IF($F$294, IF(AND(COLUMN($IH$305)-COLUMN($GL$303)=$Q$291,ROW($IH$305)-ROW($GL$303)=$K$291), U$290, IH305), IH305))</f>
        <v>0</v>
      </c>
      <c r="II305" s="21">
        <f t="shared" si="231"/>
        <v>0</v>
      </c>
      <c r="IJ305" s="21">
        <f t="shared" si="231"/>
        <v>0</v>
      </c>
      <c r="IK305" s="21">
        <f t="shared" si="231"/>
        <v>0</v>
      </c>
      <c r="IL305" s="21">
        <f t="shared" si="231"/>
        <v>0</v>
      </c>
      <c r="IM305" s="21">
        <f t="shared" si="231"/>
        <v>0</v>
      </c>
      <c r="IN305" s="21">
        <f t="shared" si="231"/>
        <v>0</v>
      </c>
      <c r="IO305" s="21">
        <f t="shared" si="231"/>
        <v>0</v>
      </c>
      <c r="IP305" s="21">
        <f t="shared" ref="IP305:IW305" si="232">IF($F$290, 0, IF($F$294, IF(AND(COLUMN($IP$305)-COLUMN($GL$303)=$Q$291,ROW($IP$305)-ROW($GL$303)=$K$291), U$290, IP305), IP305))</f>
        <v>0</v>
      </c>
      <c r="IQ305" s="21">
        <f t="shared" si="232"/>
        <v>0</v>
      </c>
      <c r="IR305" s="21">
        <f t="shared" si="232"/>
        <v>0</v>
      </c>
      <c r="IS305" s="21">
        <f t="shared" si="232"/>
        <v>0</v>
      </c>
      <c r="IT305" s="21">
        <f t="shared" si="232"/>
        <v>0</v>
      </c>
      <c r="IU305" s="21">
        <f t="shared" si="232"/>
        <v>0</v>
      </c>
      <c r="IV305" s="21">
        <f t="shared" si="232"/>
        <v>0</v>
      </c>
      <c r="IW305" s="21">
        <f t="shared" si="232"/>
        <v>0</v>
      </c>
      <c r="IX305" s="21">
        <f t="shared" ref="IX305:JE305" si="233">IF($F$290, 0, IF($G$294, IF(AND(COLUMN($IX$305)-COLUMN($IX$303)=$Q$291,ROW($IX$305)-ROW($IX$303)=$K$291), U$290, IX305), IX305))</f>
        <v>0</v>
      </c>
      <c r="IY305" s="21">
        <f t="shared" si="233"/>
        <v>0</v>
      </c>
      <c r="IZ305" s="21">
        <f t="shared" si="233"/>
        <v>0</v>
      </c>
      <c r="JA305" s="21">
        <f t="shared" si="233"/>
        <v>0</v>
      </c>
      <c r="JB305" s="21">
        <f t="shared" si="233"/>
        <v>0</v>
      </c>
      <c r="JC305" s="21">
        <f t="shared" si="233"/>
        <v>0</v>
      </c>
      <c r="JD305" s="21">
        <f t="shared" si="233"/>
        <v>0</v>
      </c>
      <c r="JE305" s="21">
        <f t="shared" si="233"/>
        <v>0</v>
      </c>
      <c r="JF305" s="21">
        <f t="shared" ref="JF305:JM305" si="234">IF($F$290, 0, IF($G$294, IF(AND(COLUMN($JF$305)-COLUMN($IX$303)=$Q$291,ROW($JF$305)-ROW($IX$303)=$K$291), U$290, JF305), JF305))</f>
        <v>0</v>
      </c>
      <c r="JG305" s="21">
        <f t="shared" si="234"/>
        <v>0</v>
      </c>
      <c r="JH305" s="21">
        <f t="shared" si="234"/>
        <v>0</v>
      </c>
      <c r="JI305" s="21">
        <f t="shared" si="234"/>
        <v>0</v>
      </c>
      <c r="JJ305" s="21">
        <f t="shared" si="234"/>
        <v>0</v>
      </c>
      <c r="JK305" s="21">
        <f t="shared" si="234"/>
        <v>0</v>
      </c>
      <c r="JL305" s="21">
        <f t="shared" si="234"/>
        <v>0</v>
      </c>
      <c r="JM305" s="21">
        <f t="shared" si="234"/>
        <v>0</v>
      </c>
      <c r="JN305" s="21">
        <f t="shared" ref="JN305:JU305" si="235">IF($F$290, 0, IF($G$294, IF(AND(COLUMN($JN$305)-COLUMN($IX$303)=$Q$291,ROW($JN$305)-ROW($IX$303)=$K$291), U$290, JN305), JN305))</f>
        <v>0</v>
      </c>
      <c r="JO305" s="21">
        <f t="shared" si="235"/>
        <v>0</v>
      </c>
      <c r="JP305" s="21">
        <f t="shared" si="235"/>
        <v>0</v>
      </c>
      <c r="JQ305" s="21">
        <f t="shared" si="235"/>
        <v>0</v>
      </c>
      <c r="JR305" s="21">
        <f t="shared" si="235"/>
        <v>0</v>
      </c>
      <c r="JS305" s="21">
        <f t="shared" si="235"/>
        <v>0</v>
      </c>
      <c r="JT305" s="21">
        <f t="shared" si="235"/>
        <v>0</v>
      </c>
      <c r="JU305" s="21">
        <f t="shared" si="235"/>
        <v>0</v>
      </c>
      <c r="JV305" s="21">
        <f t="shared" ref="JV305:KC305" si="236">IF($F$290, 0, IF($G$294, IF(AND(COLUMN($JV$305)-COLUMN($IX$303)=$Q$291,ROW($JV$305)-ROW($IX$303)=$K$291), U$290, JV305), JV305))</f>
        <v>0</v>
      </c>
      <c r="JW305" s="21">
        <f t="shared" si="236"/>
        <v>0</v>
      </c>
      <c r="JX305" s="21">
        <f t="shared" si="236"/>
        <v>0</v>
      </c>
      <c r="JY305" s="21">
        <f t="shared" si="236"/>
        <v>0</v>
      </c>
      <c r="JZ305" s="21">
        <f t="shared" si="236"/>
        <v>0</v>
      </c>
      <c r="KA305" s="21">
        <f t="shared" si="236"/>
        <v>0</v>
      </c>
      <c r="KB305" s="21">
        <f t="shared" si="236"/>
        <v>0</v>
      </c>
      <c r="KC305" s="21">
        <f t="shared" si="236"/>
        <v>0</v>
      </c>
      <c r="KD305" s="21">
        <f t="shared" ref="KD305:KK305" si="237">IF($F$290, 0, IF($G$294, IF(AND(COLUMN($KD$305)-COLUMN($IX$303)=$Q$291,ROW($KD$305)-ROW($IX$303)=$K$291), U$290, KD305), KD305))</f>
        <v>0</v>
      </c>
      <c r="KE305" s="21">
        <f t="shared" si="237"/>
        <v>0</v>
      </c>
      <c r="KF305" s="21">
        <f t="shared" si="237"/>
        <v>0</v>
      </c>
      <c r="KG305" s="21">
        <f t="shared" si="237"/>
        <v>0</v>
      </c>
      <c r="KH305" s="21">
        <f t="shared" si="237"/>
        <v>0</v>
      </c>
      <c r="KI305" s="21">
        <f t="shared" si="237"/>
        <v>0</v>
      </c>
      <c r="KJ305" s="21">
        <f t="shared" si="237"/>
        <v>0</v>
      </c>
      <c r="KK305" s="21">
        <f t="shared" si="237"/>
        <v>0</v>
      </c>
      <c r="KL305" s="21">
        <f t="shared" ref="KL305:KS305" si="238">IF($F$290, 0, IF($G$294, IF(AND(COLUMN($KL$305)-COLUMN($IX$303)=$Q$291,ROW($KL$305)-ROW($IX$303)=$K$291), U$290, KL305), KL305))</f>
        <v>0</v>
      </c>
      <c r="KM305" s="21">
        <f t="shared" si="238"/>
        <v>0</v>
      </c>
      <c r="KN305" s="21">
        <f t="shared" si="238"/>
        <v>0</v>
      </c>
      <c r="KO305" s="21">
        <f t="shared" si="238"/>
        <v>0</v>
      </c>
      <c r="KP305" s="21">
        <f t="shared" si="238"/>
        <v>0</v>
      </c>
      <c r="KQ305" s="21">
        <f t="shared" si="238"/>
        <v>0</v>
      </c>
      <c r="KR305" s="21">
        <f t="shared" si="238"/>
        <v>0</v>
      </c>
      <c r="KS305" s="21">
        <f t="shared" si="238"/>
        <v>0</v>
      </c>
      <c r="KT305" s="21">
        <f t="shared" ref="KT305:LA305" si="239">IF($F$290, 0, IF($G$294, IF(AND(COLUMN($KT$305)-COLUMN($IX$303)=$Q$291,ROW($KT$305)-ROW($IX$303)=$K$291), U$290, KT305), KT305))</f>
        <v>0</v>
      </c>
      <c r="KU305" s="21">
        <f t="shared" si="239"/>
        <v>0</v>
      </c>
      <c r="KV305" s="21">
        <f t="shared" si="239"/>
        <v>0</v>
      </c>
      <c r="KW305" s="21">
        <f t="shared" si="239"/>
        <v>0</v>
      </c>
      <c r="KX305" s="21">
        <f t="shared" si="239"/>
        <v>0</v>
      </c>
      <c r="KY305" s="21">
        <f t="shared" si="239"/>
        <v>0</v>
      </c>
      <c r="KZ305" s="21">
        <f t="shared" si="239"/>
        <v>0</v>
      </c>
      <c r="LA305" s="21">
        <f t="shared" si="239"/>
        <v>0</v>
      </c>
      <c r="LB305" s="21">
        <f t="shared" ref="LB305:LI305" si="240">IF($F$290, 0, IF($G$294, IF(AND(COLUMN($LB$305)-COLUMN($IX$303)=$Q$291,ROW($LB$305)-ROW($IX$303)=$K$291), U$290, LB305), LB305))</f>
        <v>0</v>
      </c>
      <c r="LC305" s="21">
        <f t="shared" si="240"/>
        <v>0</v>
      </c>
      <c r="LD305" s="21">
        <f t="shared" si="240"/>
        <v>0</v>
      </c>
      <c r="LE305" s="21">
        <f t="shared" si="240"/>
        <v>0</v>
      </c>
      <c r="LF305" s="21">
        <f t="shared" si="240"/>
        <v>0</v>
      </c>
      <c r="LG305" s="21">
        <f t="shared" si="240"/>
        <v>0</v>
      </c>
      <c r="LH305" s="21">
        <f t="shared" si="240"/>
        <v>0</v>
      </c>
      <c r="LI305" s="21">
        <f t="shared" si="240"/>
        <v>0</v>
      </c>
      <c r="LJ305" s="21">
        <f t="shared" ref="LJ305:LQ305" si="241">IF($F$290, 0, IF($H$294, IF(AND(COLUMN($LJ$305)-COLUMN($LJ$303)=$Q$291,ROW($LJ$305)-ROW($LJ$303)=$K$291), U$290, LJ305), LJ305))</f>
        <v>0</v>
      </c>
      <c r="LK305" s="21">
        <f t="shared" si="241"/>
        <v>0</v>
      </c>
      <c r="LL305" s="21">
        <f t="shared" si="241"/>
        <v>0</v>
      </c>
      <c r="LM305" s="21">
        <f t="shared" si="241"/>
        <v>0</v>
      </c>
      <c r="LN305" s="21">
        <f t="shared" si="241"/>
        <v>0</v>
      </c>
      <c r="LO305" s="21">
        <f t="shared" si="241"/>
        <v>0</v>
      </c>
      <c r="LP305" s="21">
        <f t="shared" si="241"/>
        <v>0</v>
      </c>
      <c r="LQ305" s="21">
        <f t="shared" si="241"/>
        <v>0</v>
      </c>
      <c r="LR305" s="21">
        <f t="shared" ref="LR305:LY305" si="242">IF($F$290, 0, IF($H$294, IF(AND(COLUMN($LR$305)-COLUMN($LJ$303)=$Q$291,ROW($LR$305)-ROW($LJ$303)=$K$291), U$290, LR305), LR305))</f>
        <v>0</v>
      </c>
      <c r="LS305" s="21">
        <f t="shared" si="242"/>
        <v>0</v>
      </c>
      <c r="LT305" s="21">
        <f t="shared" si="242"/>
        <v>0</v>
      </c>
      <c r="LU305" s="21">
        <f t="shared" si="242"/>
        <v>0</v>
      </c>
      <c r="LV305" s="21">
        <f t="shared" si="242"/>
        <v>0</v>
      </c>
      <c r="LW305" s="21">
        <f t="shared" si="242"/>
        <v>0</v>
      </c>
      <c r="LX305" s="21">
        <f t="shared" si="242"/>
        <v>0</v>
      </c>
      <c r="LY305" s="21">
        <f t="shared" si="242"/>
        <v>0</v>
      </c>
      <c r="LZ305" s="21">
        <f t="shared" ref="LZ305:MG305" si="243">IF($F$290, 0, IF($H$294, IF(AND(COLUMN($LZ$305)-COLUMN($LJ$303)=$Q$291,ROW($LZ$305)-ROW($LJ$303)=$K$291), U$290, LZ305), LZ305))</f>
        <v>0</v>
      </c>
      <c r="MA305" s="21">
        <f t="shared" si="243"/>
        <v>0</v>
      </c>
      <c r="MB305" s="21">
        <f t="shared" si="243"/>
        <v>0</v>
      </c>
      <c r="MC305" s="21">
        <f t="shared" si="243"/>
        <v>0</v>
      </c>
      <c r="MD305" s="21">
        <f t="shared" si="243"/>
        <v>0</v>
      </c>
      <c r="ME305" s="21">
        <f t="shared" si="243"/>
        <v>0</v>
      </c>
      <c r="MF305" s="21">
        <f t="shared" si="243"/>
        <v>0</v>
      </c>
      <c r="MG305" s="21">
        <f t="shared" si="243"/>
        <v>0</v>
      </c>
      <c r="MH305" s="21">
        <f t="shared" ref="MH305:MO305" si="244">IF($F$290, 0, IF($H$294, IF(AND(COLUMN($MH$305)-COLUMN($LJ$303)=$Q$291,ROW($MH$305)-ROW($LJ$303)=$K$291), U$290, MH305), MH305))</f>
        <v>0</v>
      </c>
      <c r="MI305" s="21">
        <f t="shared" si="244"/>
        <v>0</v>
      </c>
      <c r="MJ305" s="21">
        <f t="shared" si="244"/>
        <v>0</v>
      </c>
      <c r="MK305" s="21">
        <f t="shared" si="244"/>
        <v>0</v>
      </c>
      <c r="ML305" s="21">
        <f t="shared" si="244"/>
        <v>0</v>
      </c>
      <c r="MM305" s="21">
        <f t="shared" si="244"/>
        <v>0</v>
      </c>
      <c r="MN305" s="21">
        <f t="shared" si="244"/>
        <v>0</v>
      </c>
      <c r="MO305" s="21">
        <f t="shared" si="244"/>
        <v>0</v>
      </c>
      <c r="MP305" s="21">
        <f t="shared" ref="MP305:MW305" si="245">IF($F$290, 0, IF($H$294, IF(AND(COLUMN($MP$305)-COLUMN($LJ$303)=$Q$291,ROW($MP$305)-ROW($LJ$303)=$K$291), U$290, MP305), MP305))</f>
        <v>0</v>
      </c>
      <c r="MQ305" s="21">
        <f t="shared" si="245"/>
        <v>0</v>
      </c>
      <c r="MR305" s="21">
        <f t="shared" si="245"/>
        <v>0</v>
      </c>
      <c r="MS305" s="21">
        <f t="shared" si="245"/>
        <v>0</v>
      </c>
      <c r="MT305" s="21">
        <f t="shared" si="245"/>
        <v>0</v>
      </c>
      <c r="MU305" s="21">
        <f t="shared" si="245"/>
        <v>0</v>
      </c>
      <c r="MV305" s="21">
        <f t="shared" si="245"/>
        <v>0</v>
      </c>
      <c r="MW305" s="21">
        <f t="shared" si="245"/>
        <v>0</v>
      </c>
      <c r="MX305" s="21">
        <f t="shared" ref="MX305:NE305" si="246">IF($F$290, 0, IF($H$294, IF(AND(COLUMN($MX$305)-COLUMN($LJ$303)=$Q$291,ROW($MX$305)-ROW($LJ$303)=$K$291), U$290, MX305), MX305))</f>
        <v>0</v>
      </c>
      <c r="MY305" s="21">
        <f t="shared" si="246"/>
        <v>0</v>
      </c>
      <c r="MZ305" s="21">
        <f t="shared" si="246"/>
        <v>0</v>
      </c>
      <c r="NA305" s="21">
        <f t="shared" si="246"/>
        <v>0</v>
      </c>
      <c r="NB305" s="21">
        <f t="shared" si="246"/>
        <v>0</v>
      </c>
      <c r="NC305" s="21">
        <f t="shared" si="246"/>
        <v>0</v>
      </c>
      <c r="ND305" s="21">
        <f t="shared" si="246"/>
        <v>0</v>
      </c>
      <c r="NE305" s="21">
        <f t="shared" si="246"/>
        <v>0</v>
      </c>
      <c r="NF305" s="21">
        <f t="shared" ref="NF305:NM305" si="247">IF($F$290, 0, IF($H$294, IF(AND(COLUMN($NF$305)-COLUMN($LJ$303)=$Q$291,ROW($NF$305)-ROW($LJ$303)=$K$291), U$290, NF305), NF305))</f>
        <v>0</v>
      </c>
      <c r="NG305" s="21">
        <f t="shared" si="247"/>
        <v>0</v>
      </c>
      <c r="NH305" s="21">
        <f t="shared" si="247"/>
        <v>0</v>
      </c>
      <c r="NI305" s="21">
        <f t="shared" si="247"/>
        <v>0</v>
      </c>
      <c r="NJ305" s="21">
        <f t="shared" si="247"/>
        <v>0</v>
      </c>
      <c r="NK305" s="21">
        <f t="shared" si="247"/>
        <v>0</v>
      </c>
      <c r="NL305" s="21">
        <f t="shared" si="247"/>
        <v>0</v>
      </c>
      <c r="NM305" s="21">
        <f t="shared" si="247"/>
        <v>0</v>
      </c>
      <c r="NN305" s="21">
        <f t="shared" ref="NN305:NU305" si="248">IF($F$290, 0, IF($H$294, IF(AND(COLUMN($NN$305)-COLUMN($LJ$303)=$Q$291,ROW($NN$305)-ROW($LJ$303)=$K$291), U$290, NN305), NN305))</f>
        <v>0</v>
      </c>
      <c r="NO305" s="21">
        <f t="shared" si="248"/>
        <v>0</v>
      </c>
      <c r="NP305" s="21">
        <f t="shared" si="248"/>
        <v>0</v>
      </c>
      <c r="NQ305" s="21">
        <f t="shared" si="248"/>
        <v>0</v>
      </c>
      <c r="NR305" s="21">
        <f t="shared" si="248"/>
        <v>0</v>
      </c>
      <c r="NS305" s="21">
        <f t="shared" si="248"/>
        <v>0</v>
      </c>
      <c r="NT305" s="21">
        <f t="shared" si="248"/>
        <v>0</v>
      </c>
      <c r="NU305" s="21">
        <f t="shared" si="248"/>
        <v>0</v>
      </c>
      <c r="NV305" s="21">
        <f t="shared" ref="NV305:OC305" si="249">IF($F$290, 0, IF($I$294, IF(AND(COLUMN($NV$305)-COLUMN($NV$303)=$Q$291,ROW($NV$305)-ROW($NV$303)=$K$291), U$290, NV305), NV305))</f>
        <v>0</v>
      </c>
      <c r="NW305" s="21">
        <f t="shared" si="249"/>
        <v>0</v>
      </c>
      <c r="NX305" s="21">
        <f t="shared" si="249"/>
        <v>0</v>
      </c>
      <c r="NY305" s="21">
        <f t="shared" si="249"/>
        <v>0</v>
      </c>
      <c r="NZ305" s="21">
        <f t="shared" si="249"/>
        <v>0</v>
      </c>
      <c r="OA305" s="21">
        <f t="shared" si="249"/>
        <v>0</v>
      </c>
      <c r="OB305" s="21">
        <f t="shared" si="249"/>
        <v>0</v>
      </c>
      <c r="OC305" s="21">
        <f t="shared" si="249"/>
        <v>0</v>
      </c>
      <c r="OD305" s="21">
        <f t="shared" ref="OD305:OK305" si="250">IF($F$290, 0, IF($I$294, IF(AND(COLUMN($OD$305)-COLUMN($NV$303)=$Q$291,ROW($OD$305)-ROW($NV$303)=$K$291), U$290, OD305), OD305))</f>
        <v>0</v>
      </c>
      <c r="OE305" s="21">
        <f t="shared" si="250"/>
        <v>0</v>
      </c>
      <c r="OF305" s="21">
        <f t="shared" si="250"/>
        <v>0</v>
      </c>
      <c r="OG305" s="21">
        <f t="shared" si="250"/>
        <v>0</v>
      </c>
      <c r="OH305" s="21">
        <f t="shared" si="250"/>
        <v>0</v>
      </c>
      <c r="OI305" s="21">
        <f t="shared" si="250"/>
        <v>0</v>
      </c>
      <c r="OJ305" s="21">
        <f t="shared" si="250"/>
        <v>0</v>
      </c>
      <c r="OK305" s="21">
        <f t="shared" si="250"/>
        <v>0</v>
      </c>
      <c r="OL305" s="21">
        <f t="shared" ref="OL305:OS305" si="251">IF($F$290, 0, IF($I$294, IF(AND(COLUMN($OL$305)-COLUMN($NV$303)=$Q$291,ROW($OL$305)-ROW($NV$303)=$K$291), U$290, OL305), OL305))</f>
        <v>0</v>
      </c>
      <c r="OM305" s="21">
        <f t="shared" si="251"/>
        <v>0</v>
      </c>
      <c r="ON305" s="21">
        <f t="shared" si="251"/>
        <v>0</v>
      </c>
      <c r="OO305" s="21">
        <f t="shared" si="251"/>
        <v>0</v>
      </c>
      <c r="OP305" s="21">
        <f t="shared" si="251"/>
        <v>0</v>
      </c>
      <c r="OQ305" s="21">
        <f t="shared" si="251"/>
        <v>0</v>
      </c>
      <c r="OR305" s="21">
        <f t="shared" si="251"/>
        <v>0</v>
      </c>
      <c r="OS305" s="21">
        <f t="shared" si="251"/>
        <v>0</v>
      </c>
      <c r="OT305" s="21">
        <f t="shared" ref="OT305:PA305" si="252">IF($F$290, 0, IF($I$294, IF(AND(COLUMN($OT$305)-COLUMN($NV$303)=$Q$291,ROW($OT$305)-ROW($NV$303)=$K$291), U$290, OT305), OT305))</f>
        <v>0</v>
      </c>
      <c r="OU305" s="21">
        <f t="shared" si="252"/>
        <v>0</v>
      </c>
      <c r="OV305" s="21">
        <f t="shared" si="252"/>
        <v>0</v>
      </c>
      <c r="OW305" s="21">
        <f t="shared" si="252"/>
        <v>0</v>
      </c>
      <c r="OX305" s="21">
        <f t="shared" si="252"/>
        <v>0</v>
      </c>
      <c r="OY305" s="21">
        <f t="shared" si="252"/>
        <v>0</v>
      </c>
      <c r="OZ305" s="21">
        <f t="shared" si="252"/>
        <v>0</v>
      </c>
      <c r="PA305" s="21">
        <f t="shared" si="252"/>
        <v>0</v>
      </c>
      <c r="PB305" s="21">
        <f t="shared" ref="PB305:PI305" si="253">IF($F$290, 0, IF($I$294, IF(AND(COLUMN($PB$305)-COLUMN($NV$303)=$Q$291,ROW($PB$305)-ROW($NV$303)=$K$291), U$290, PB305), PB305))</f>
        <v>0</v>
      </c>
      <c r="PC305" s="21">
        <f t="shared" si="253"/>
        <v>0</v>
      </c>
      <c r="PD305" s="21">
        <f t="shared" si="253"/>
        <v>0</v>
      </c>
      <c r="PE305" s="21">
        <f t="shared" si="253"/>
        <v>0</v>
      </c>
      <c r="PF305" s="21">
        <f t="shared" si="253"/>
        <v>0</v>
      </c>
      <c r="PG305" s="21">
        <f t="shared" si="253"/>
        <v>0</v>
      </c>
      <c r="PH305" s="21">
        <f t="shared" si="253"/>
        <v>0</v>
      </c>
      <c r="PI305" s="21">
        <f t="shared" si="253"/>
        <v>0</v>
      </c>
      <c r="PJ305" s="21">
        <f t="shared" ref="PJ305:PQ305" si="254">IF($F$290, 0, IF($I$294, IF(AND(COLUMN($PJ$305)-COLUMN($NV$303)=$Q$291,ROW($PJ$305)-ROW($NV$303)=$K$291), U$290, PJ305), PJ305))</f>
        <v>0</v>
      </c>
      <c r="PK305" s="21">
        <f t="shared" si="254"/>
        <v>0</v>
      </c>
      <c r="PL305" s="21">
        <f t="shared" si="254"/>
        <v>0</v>
      </c>
      <c r="PM305" s="21">
        <f t="shared" si="254"/>
        <v>0</v>
      </c>
      <c r="PN305" s="21">
        <f t="shared" si="254"/>
        <v>0</v>
      </c>
      <c r="PO305" s="21">
        <f t="shared" si="254"/>
        <v>0</v>
      </c>
      <c r="PP305" s="21">
        <f t="shared" si="254"/>
        <v>0</v>
      </c>
      <c r="PQ305" s="21">
        <f t="shared" si="254"/>
        <v>0</v>
      </c>
      <c r="PR305" s="21">
        <f t="shared" ref="PR305:PY305" si="255">IF($F$290, 0, IF($I$294, IF(AND(COLUMN($PR$305)-COLUMN($NV$303)=$Q$291,ROW($PR$305)-ROW($NV$303)=$K$291), U$290, PR305), PR305))</f>
        <v>0</v>
      </c>
      <c r="PS305" s="21">
        <f t="shared" si="255"/>
        <v>0</v>
      </c>
      <c r="PT305" s="21">
        <f t="shared" si="255"/>
        <v>0</v>
      </c>
      <c r="PU305" s="21">
        <f t="shared" si="255"/>
        <v>0</v>
      </c>
      <c r="PV305" s="21">
        <f t="shared" si="255"/>
        <v>0</v>
      </c>
      <c r="PW305" s="21">
        <f t="shared" si="255"/>
        <v>0</v>
      </c>
      <c r="PX305" s="21">
        <f t="shared" si="255"/>
        <v>0</v>
      </c>
      <c r="PY305" s="21">
        <f t="shared" si="255"/>
        <v>0</v>
      </c>
      <c r="PZ305" s="21">
        <f t="shared" ref="PZ305:QG305" si="256">IF($F$290, 0, IF($I$294, IF(AND(COLUMN($PZ$305)-COLUMN($NV$303)=$Q$291,ROW($PZ$305)-ROW($NV$303)=$K$291), U$290, PZ305), PZ305))</f>
        <v>0</v>
      </c>
      <c r="QA305" s="21">
        <f t="shared" si="256"/>
        <v>0</v>
      </c>
      <c r="QB305" s="21">
        <f t="shared" si="256"/>
        <v>0</v>
      </c>
      <c r="QC305" s="21">
        <f t="shared" si="256"/>
        <v>0</v>
      </c>
      <c r="QD305" s="21">
        <f t="shared" si="256"/>
        <v>0</v>
      </c>
      <c r="QE305" s="21">
        <f t="shared" si="256"/>
        <v>0</v>
      </c>
      <c r="QF305" s="21">
        <f t="shared" si="256"/>
        <v>0</v>
      </c>
      <c r="QG305" s="21">
        <f t="shared" si="256"/>
        <v>0</v>
      </c>
      <c r="QH305" s="21">
        <f t="shared" ref="QH305:QO305" si="257">IF($F$290, 0, IF($J$294, IF(AND(COLUMN($QH$305)-COLUMN($QH$303)=$Q$291,ROW($QH$305)-ROW($QH$303)=$K$291), U$290, QH305), QH305))</f>
        <v>0</v>
      </c>
      <c r="QI305" s="21">
        <f t="shared" si="257"/>
        <v>0</v>
      </c>
      <c r="QJ305" s="21">
        <f t="shared" si="257"/>
        <v>0</v>
      </c>
      <c r="QK305" s="21">
        <f t="shared" si="257"/>
        <v>0</v>
      </c>
      <c r="QL305" s="21">
        <f t="shared" si="257"/>
        <v>0</v>
      </c>
      <c r="QM305" s="21">
        <f t="shared" si="257"/>
        <v>0</v>
      </c>
      <c r="QN305" s="21">
        <f t="shared" si="257"/>
        <v>0</v>
      </c>
      <c r="QO305" s="21">
        <f t="shared" si="257"/>
        <v>0</v>
      </c>
      <c r="QP305" s="21">
        <f t="shared" ref="QP305:QW305" si="258">IF($F$290, 0, IF($J$294, IF(AND(COLUMN($QP$305)-COLUMN($QH$303)=$Q$291,ROW($QP$305)-ROW($QH$303)=$K$291), U$290, QP305), QP305))</f>
        <v>0</v>
      </c>
      <c r="QQ305" s="21">
        <f t="shared" si="258"/>
        <v>0</v>
      </c>
      <c r="QR305" s="21">
        <f t="shared" si="258"/>
        <v>0</v>
      </c>
      <c r="QS305" s="21">
        <f t="shared" si="258"/>
        <v>0</v>
      </c>
      <c r="QT305" s="21">
        <f t="shared" si="258"/>
        <v>0</v>
      </c>
      <c r="QU305" s="21">
        <f t="shared" si="258"/>
        <v>0</v>
      </c>
      <c r="QV305" s="21">
        <f t="shared" si="258"/>
        <v>0</v>
      </c>
      <c r="QW305" s="21">
        <f t="shared" si="258"/>
        <v>0</v>
      </c>
      <c r="QX305" s="21">
        <f t="shared" ref="QX305:RE305" si="259">IF($F$290, 0, IF($J$294, IF(AND(COLUMN($QX$305)-COLUMN($QH$303)=$Q$291,ROW($QX$305)-ROW($QH$303)=$K$291), U$290, QX305), QX305))</f>
        <v>0</v>
      </c>
      <c r="QY305" s="21">
        <f t="shared" si="259"/>
        <v>0</v>
      </c>
      <c r="QZ305" s="21">
        <f t="shared" si="259"/>
        <v>0</v>
      </c>
      <c r="RA305" s="21">
        <f t="shared" si="259"/>
        <v>0</v>
      </c>
      <c r="RB305" s="21">
        <f t="shared" si="259"/>
        <v>0</v>
      </c>
      <c r="RC305" s="21">
        <f t="shared" si="259"/>
        <v>0</v>
      </c>
      <c r="RD305" s="21">
        <f t="shared" si="259"/>
        <v>0</v>
      </c>
      <c r="RE305" s="21">
        <f t="shared" si="259"/>
        <v>0</v>
      </c>
      <c r="RF305" s="21">
        <f t="shared" ref="RF305:RM305" si="260">IF($F$290, 0, IF($J$294, IF(AND(COLUMN($RF$305)-COLUMN($QH$303)=$Q$291,ROW($RF$305)-ROW($QH$303)=$K$291), U$290, RF305), RF305))</f>
        <v>0</v>
      </c>
      <c r="RG305" s="21">
        <f t="shared" si="260"/>
        <v>0</v>
      </c>
      <c r="RH305" s="21">
        <f t="shared" si="260"/>
        <v>0</v>
      </c>
      <c r="RI305" s="21">
        <f t="shared" si="260"/>
        <v>0</v>
      </c>
      <c r="RJ305" s="21">
        <f t="shared" si="260"/>
        <v>0</v>
      </c>
      <c r="RK305" s="21">
        <f t="shared" si="260"/>
        <v>0</v>
      </c>
      <c r="RL305" s="21">
        <f t="shared" si="260"/>
        <v>0</v>
      </c>
      <c r="RM305" s="21">
        <f t="shared" si="260"/>
        <v>0</v>
      </c>
      <c r="RN305" s="21">
        <f t="shared" ref="RN305:RU305" si="261">IF($F$290, 0, IF($J$294, IF(AND(COLUMN($RN$305)-COLUMN($QH$303)=$Q$291,ROW($RN$305)-ROW($QH$303)=$K$291), U$290, RN305), RN305))</f>
        <v>0</v>
      </c>
      <c r="RO305" s="21">
        <f t="shared" si="261"/>
        <v>0</v>
      </c>
      <c r="RP305" s="21">
        <f t="shared" si="261"/>
        <v>0</v>
      </c>
      <c r="RQ305" s="21">
        <f t="shared" si="261"/>
        <v>0</v>
      </c>
      <c r="RR305" s="21">
        <f t="shared" si="261"/>
        <v>0</v>
      </c>
      <c r="RS305" s="21">
        <f t="shared" si="261"/>
        <v>0</v>
      </c>
      <c r="RT305" s="21">
        <f t="shared" si="261"/>
        <v>0</v>
      </c>
      <c r="RU305" s="21">
        <f t="shared" si="261"/>
        <v>0</v>
      </c>
      <c r="RV305" s="21">
        <f t="shared" ref="RV305:SC305" si="262">IF($F$290, 0, IF($J$294, IF(AND(COLUMN($RV$305)-COLUMN($QH$303)=$Q$291,ROW($RV$305)-ROW($QH$303)=$K$291), U$290, RV305), RV305))</f>
        <v>0</v>
      </c>
      <c r="RW305" s="21">
        <f t="shared" si="262"/>
        <v>0</v>
      </c>
      <c r="RX305" s="21">
        <f t="shared" si="262"/>
        <v>0</v>
      </c>
      <c r="RY305" s="21">
        <f t="shared" si="262"/>
        <v>0</v>
      </c>
      <c r="RZ305" s="21">
        <f t="shared" si="262"/>
        <v>0</v>
      </c>
      <c r="SA305" s="21">
        <f t="shared" si="262"/>
        <v>0</v>
      </c>
      <c r="SB305" s="21">
        <f t="shared" si="262"/>
        <v>0</v>
      </c>
      <c r="SC305" s="21">
        <f t="shared" si="262"/>
        <v>0</v>
      </c>
      <c r="SD305" s="21">
        <f t="shared" ref="SD305:SK305" si="263">IF($F$290, 0, IF($J$294, IF(AND(COLUMN($SD$305)-COLUMN($QH$303)=$Q$291,ROW($SD$305)-ROW($QH$303)=$K$291), U$290, SD305), SD305))</f>
        <v>0</v>
      </c>
      <c r="SE305" s="21">
        <f t="shared" si="263"/>
        <v>0</v>
      </c>
      <c r="SF305" s="21">
        <f t="shared" si="263"/>
        <v>0</v>
      </c>
      <c r="SG305" s="21">
        <f t="shared" si="263"/>
        <v>0</v>
      </c>
      <c r="SH305" s="21">
        <f t="shared" si="263"/>
        <v>0</v>
      </c>
      <c r="SI305" s="21">
        <f t="shared" si="263"/>
        <v>0</v>
      </c>
      <c r="SJ305" s="21">
        <f t="shared" si="263"/>
        <v>0</v>
      </c>
      <c r="SK305" s="21">
        <f t="shared" si="263"/>
        <v>0</v>
      </c>
      <c r="SL305" s="21">
        <f t="shared" ref="SL305:SS305" si="264">IF($F$290, 0, IF($J$294, IF(AND(COLUMN($SL$305)-COLUMN($QH$303)=$Q$291,ROW($SL$305)-ROW($QH$303)=$K$291), U$290, SL305), SL305))</f>
        <v>0</v>
      </c>
      <c r="SM305" s="21">
        <f t="shared" si="264"/>
        <v>0</v>
      </c>
      <c r="SN305" s="21">
        <f t="shared" si="264"/>
        <v>0</v>
      </c>
      <c r="SO305" s="21">
        <f t="shared" si="264"/>
        <v>0</v>
      </c>
      <c r="SP305" s="21">
        <f t="shared" si="264"/>
        <v>0</v>
      </c>
      <c r="SQ305" s="21">
        <f t="shared" si="264"/>
        <v>0</v>
      </c>
      <c r="SR305" s="21">
        <f t="shared" si="264"/>
        <v>0</v>
      </c>
      <c r="SS305" s="21">
        <f t="shared" si="264"/>
        <v>0</v>
      </c>
    </row>
    <row r="306" spans="2:513" ht="15" customHeight="1" x14ac:dyDescent="0.25">
      <c r="B306" s="21">
        <f t="shared" ref="B306:I306" si="265">IF($F$290, 0, IF($C$294, IF(AND(COLUMN($B$306)-COLUMN($B$303)=$Q$291,ROW($B$306)-ROW($B$303)=$K$291), U$290, B306), B306))</f>
        <v>0</v>
      </c>
      <c r="C306" s="21">
        <f t="shared" si="265"/>
        <v>0</v>
      </c>
      <c r="D306" s="21">
        <f t="shared" si="265"/>
        <v>0</v>
      </c>
      <c r="E306" s="21">
        <f t="shared" si="265"/>
        <v>0</v>
      </c>
      <c r="F306" s="21">
        <f t="shared" si="265"/>
        <v>0</v>
      </c>
      <c r="G306" s="21">
        <f t="shared" si="265"/>
        <v>0</v>
      </c>
      <c r="H306" s="21">
        <f t="shared" si="265"/>
        <v>0</v>
      </c>
      <c r="I306" s="21">
        <f t="shared" si="265"/>
        <v>0</v>
      </c>
      <c r="J306" s="21">
        <f t="shared" ref="J306:Q306" si="266">IF($F$290, 0, IF($C$294, IF(AND(COLUMN($J$306)-COLUMN($B$303)=$Q$291,ROW($J$306)-ROW($B$303)=$K$291), U$290, J306), J306))</f>
        <v>0</v>
      </c>
      <c r="K306" s="21">
        <f t="shared" si="266"/>
        <v>0</v>
      </c>
      <c r="L306" s="21">
        <f t="shared" si="266"/>
        <v>0</v>
      </c>
      <c r="M306" s="21">
        <f t="shared" si="266"/>
        <v>0</v>
      </c>
      <c r="N306" s="21">
        <f t="shared" si="266"/>
        <v>0</v>
      </c>
      <c r="O306" s="21">
        <f t="shared" si="266"/>
        <v>0</v>
      </c>
      <c r="P306" s="21">
        <f t="shared" si="266"/>
        <v>0</v>
      </c>
      <c r="Q306" s="21">
        <f t="shared" si="266"/>
        <v>0</v>
      </c>
      <c r="R306" s="21">
        <f>IF($F$290, 0, IF($C$294, IF(AND(COLUMN($R$306)-COLUMN($B$303)=$Q$291,ROW($R$306)-ROW($B$303)=$K$291), U$290, R306), R306))</f>
        <v>0</v>
      </c>
      <c r="S306" s="21">
        <f t="shared" ref="S306:Y306" si="267">IF($F$290, 0, IF($C$294, IF(AND(COLUMN($R$306)-COLUMN($B$303)=$Q$291,ROW($R$306)-ROW($B$303)=$K$291), V$290, S306), S306))</f>
        <v>0</v>
      </c>
      <c r="T306" s="21">
        <f t="shared" si="267"/>
        <v>0</v>
      </c>
      <c r="U306" s="21">
        <f t="shared" si="267"/>
        <v>0</v>
      </c>
      <c r="V306" s="21">
        <f t="shared" si="267"/>
        <v>0</v>
      </c>
      <c r="W306" s="21">
        <f t="shared" si="267"/>
        <v>0</v>
      </c>
      <c r="X306" s="21">
        <f t="shared" si="267"/>
        <v>0</v>
      </c>
      <c r="Y306" s="21">
        <f t="shared" si="267"/>
        <v>0</v>
      </c>
      <c r="Z306" s="21">
        <f t="shared" ref="Z306:AG306" si="268">IF($F$290, 0, IF($C$294, IF(AND(COLUMN($Z$306)-COLUMN($B$303)=$Q$291,ROW($Z$306)-ROW($B$303)=$K$291), U$290, Z306), Z306))</f>
        <v>0</v>
      </c>
      <c r="AA306" s="21">
        <f t="shared" si="268"/>
        <v>0</v>
      </c>
      <c r="AB306" s="21">
        <f t="shared" si="268"/>
        <v>0</v>
      </c>
      <c r="AC306" s="21">
        <f t="shared" si="268"/>
        <v>0</v>
      </c>
      <c r="AD306" s="21">
        <f t="shared" si="268"/>
        <v>0</v>
      </c>
      <c r="AE306" s="21">
        <f t="shared" si="268"/>
        <v>0</v>
      </c>
      <c r="AF306" s="21">
        <f t="shared" si="268"/>
        <v>0</v>
      </c>
      <c r="AG306" s="21">
        <f t="shared" si="268"/>
        <v>0</v>
      </c>
      <c r="AH306" s="21">
        <f t="shared" ref="AH306:AO306" si="269">IF($F$290, 0, IF($C$294, IF(AND(COLUMN($AH$306)-COLUMN($B$303)=$Q$291,ROW($AH$306)-ROW($B$303)=$K$291), U$290, AH306), AH306))</f>
        <v>0</v>
      </c>
      <c r="AI306" s="21">
        <f t="shared" si="269"/>
        <v>0</v>
      </c>
      <c r="AJ306" s="21">
        <f t="shared" si="269"/>
        <v>0</v>
      </c>
      <c r="AK306" s="21">
        <f t="shared" si="269"/>
        <v>0</v>
      </c>
      <c r="AL306" s="21">
        <f t="shared" si="269"/>
        <v>0</v>
      </c>
      <c r="AM306" s="21">
        <f t="shared" si="269"/>
        <v>0</v>
      </c>
      <c r="AN306" s="21">
        <f t="shared" si="269"/>
        <v>0</v>
      </c>
      <c r="AO306" s="21">
        <f t="shared" si="269"/>
        <v>0</v>
      </c>
      <c r="AP306" s="21">
        <f t="shared" ref="AP306:AW306" si="270">IF($F$290, 0, IF($C$294, IF(AND(COLUMN($AP$306)-COLUMN($B$303)=$Q$291,ROW($AP$306)-ROW($B$303)=$K$291), U$290, AP306), AP306))</f>
        <v>0</v>
      </c>
      <c r="AQ306" s="21">
        <f t="shared" si="270"/>
        <v>0</v>
      </c>
      <c r="AR306" s="21">
        <f t="shared" si="270"/>
        <v>0</v>
      </c>
      <c r="AS306" s="21">
        <f t="shared" si="270"/>
        <v>0</v>
      </c>
      <c r="AT306" s="21">
        <f t="shared" si="270"/>
        <v>0</v>
      </c>
      <c r="AU306" s="21">
        <f t="shared" si="270"/>
        <v>0</v>
      </c>
      <c r="AV306" s="21">
        <f t="shared" si="270"/>
        <v>0</v>
      </c>
      <c r="AW306" s="21">
        <f t="shared" si="270"/>
        <v>0</v>
      </c>
      <c r="AX306" s="21">
        <f t="shared" ref="AX306:BE306" si="271">IF($F$290, 0, IF($C$294, IF(AND(COLUMN($AX$306)-COLUMN($B$303)=$Q$291,ROW($AX$306)-ROW($B$303)=$K$291), U$290, AX306), AX306))</f>
        <v>0</v>
      </c>
      <c r="AY306" s="21">
        <f t="shared" si="271"/>
        <v>0</v>
      </c>
      <c r="AZ306" s="21">
        <f t="shared" si="271"/>
        <v>0</v>
      </c>
      <c r="BA306" s="21">
        <f t="shared" si="271"/>
        <v>0</v>
      </c>
      <c r="BB306" s="21">
        <f t="shared" si="271"/>
        <v>0</v>
      </c>
      <c r="BC306" s="21">
        <f t="shared" si="271"/>
        <v>0</v>
      </c>
      <c r="BD306" s="21">
        <f t="shared" si="271"/>
        <v>0</v>
      </c>
      <c r="BE306" s="21">
        <f t="shared" si="271"/>
        <v>0</v>
      </c>
      <c r="BF306" s="21">
        <f t="shared" ref="BF306:BM306" si="272">IF($F$290, 0, IF($C$294, IF(AND(COLUMN($BF$306)-COLUMN($B$303)=$Q$291,ROW($BF$306)-ROW($B$303)=$K$291), U$290, BF306), BF306))</f>
        <v>0</v>
      </c>
      <c r="BG306" s="21">
        <f t="shared" si="272"/>
        <v>0</v>
      </c>
      <c r="BH306" s="21">
        <f t="shared" si="272"/>
        <v>0</v>
      </c>
      <c r="BI306" s="21">
        <f t="shared" si="272"/>
        <v>0</v>
      </c>
      <c r="BJ306" s="21">
        <f t="shared" si="272"/>
        <v>0</v>
      </c>
      <c r="BK306" s="21">
        <f t="shared" si="272"/>
        <v>0</v>
      </c>
      <c r="BL306" s="21">
        <f t="shared" si="272"/>
        <v>0</v>
      </c>
      <c r="BM306" s="21">
        <f t="shared" si="272"/>
        <v>0</v>
      </c>
      <c r="BN306" s="21">
        <f t="shared" ref="BN306:BU306" si="273">IF($F$290, 0, IF($D$294, IF(AND(COLUMN($BN$306)-COLUMN($BN$303)=$Q$291,ROW($BN$306)-ROW($BN$303)=$K$291), U$290, BN306), BN306))</f>
        <v>0</v>
      </c>
      <c r="BO306" s="21">
        <f t="shared" si="273"/>
        <v>0</v>
      </c>
      <c r="BP306" s="21">
        <f t="shared" si="273"/>
        <v>0</v>
      </c>
      <c r="BQ306" s="21">
        <f t="shared" si="273"/>
        <v>0</v>
      </c>
      <c r="BR306" s="21">
        <f t="shared" si="273"/>
        <v>0</v>
      </c>
      <c r="BS306" s="21">
        <f t="shared" si="273"/>
        <v>0</v>
      </c>
      <c r="BT306" s="21">
        <f t="shared" si="273"/>
        <v>0</v>
      </c>
      <c r="BU306" s="21">
        <f t="shared" si="273"/>
        <v>0</v>
      </c>
      <c r="BV306" s="21">
        <f t="shared" ref="BV306:CC306" si="274">IF($F$290, 0, IF($D$294, IF(AND(COLUMN($BV$306)-COLUMN($BN$303)=$Q$291,ROW($BV$306)-ROW($BN$303)=$K$291), U$290, BV306), BV306))</f>
        <v>0</v>
      </c>
      <c r="BW306" s="21">
        <f t="shared" si="274"/>
        <v>0</v>
      </c>
      <c r="BX306" s="21">
        <f t="shared" si="274"/>
        <v>0</v>
      </c>
      <c r="BY306" s="21">
        <f t="shared" si="274"/>
        <v>0</v>
      </c>
      <c r="BZ306" s="21">
        <f t="shared" si="274"/>
        <v>0</v>
      </c>
      <c r="CA306" s="21">
        <f t="shared" si="274"/>
        <v>0</v>
      </c>
      <c r="CB306" s="21">
        <f t="shared" si="274"/>
        <v>0</v>
      </c>
      <c r="CC306" s="21">
        <f t="shared" si="274"/>
        <v>0</v>
      </c>
      <c r="CD306" s="21">
        <f t="shared" ref="CD306:CK306" si="275">IF($F$290, 0, IF($D$294, IF(AND(COLUMN($CD$306)-COLUMN($BN$303)=$Q$291,ROW($CD$306)-ROW($BN$303)=$K$291), U$290, CD306), CD306))</f>
        <v>0</v>
      </c>
      <c r="CE306" s="21">
        <f t="shared" si="275"/>
        <v>0</v>
      </c>
      <c r="CF306" s="21">
        <f t="shared" si="275"/>
        <v>0</v>
      </c>
      <c r="CG306" s="21">
        <f t="shared" si="275"/>
        <v>0</v>
      </c>
      <c r="CH306" s="21">
        <f t="shared" si="275"/>
        <v>0</v>
      </c>
      <c r="CI306" s="21">
        <f t="shared" si="275"/>
        <v>0</v>
      </c>
      <c r="CJ306" s="21">
        <f t="shared" si="275"/>
        <v>0</v>
      </c>
      <c r="CK306" s="21">
        <f t="shared" si="275"/>
        <v>0</v>
      </c>
      <c r="CL306" s="21">
        <f t="shared" ref="CL306:CS306" si="276">IF($F$290, 0, IF($D$294, IF(AND(COLUMN($CL$306)-COLUMN($BN$303)=$Q$291,ROW($CL$306)-ROW($BN$303)=$K$291), U$290, CL306), CL306))</f>
        <v>0</v>
      </c>
      <c r="CM306" s="21">
        <f t="shared" si="276"/>
        <v>0</v>
      </c>
      <c r="CN306" s="21">
        <f t="shared" si="276"/>
        <v>0</v>
      </c>
      <c r="CO306" s="21">
        <f t="shared" si="276"/>
        <v>0</v>
      </c>
      <c r="CP306" s="21">
        <f t="shared" si="276"/>
        <v>0</v>
      </c>
      <c r="CQ306" s="21">
        <f t="shared" si="276"/>
        <v>0</v>
      </c>
      <c r="CR306" s="21">
        <f t="shared" si="276"/>
        <v>0</v>
      </c>
      <c r="CS306" s="21">
        <f t="shared" si="276"/>
        <v>0</v>
      </c>
      <c r="CT306" s="21">
        <f t="shared" ref="CT306:DA306" si="277">IF($F$290, 0, IF($D$294, IF(AND(COLUMN($CT$306)-COLUMN($BN$303)=$Q$291,ROW($CT$306)-ROW($BN$303)=$K$291), U$290, CT306), CT306))</f>
        <v>0</v>
      </c>
      <c r="CU306" s="21">
        <f t="shared" si="277"/>
        <v>0</v>
      </c>
      <c r="CV306" s="21">
        <f t="shared" si="277"/>
        <v>0</v>
      </c>
      <c r="CW306" s="21">
        <f t="shared" si="277"/>
        <v>0</v>
      </c>
      <c r="CX306" s="21">
        <f t="shared" si="277"/>
        <v>0</v>
      </c>
      <c r="CY306" s="21">
        <f t="shared" si="277"/>
        <v>0</v>
      </c>
      <c r="CZ306" s="21">
        <f t="shared" si="277"/>
        <v>0</v>
      </c>
      <c r="DA306" s="21">
        <f t="shared" si="277"/>
        <v>0</v>
      </c>
      <c r="DB306" s="21">
        <f t="shared" ref="DB306:DI306" si="278">IF($F$290, 0, IF($D$294, IF(AND(COLUMN($DB$306)-COLUMN($BN$303)=$Q$291,ROW($DB$306)-ROW($BN$303)=$K$291), U$290, DB306), DB306))</f>
        <v>0</v>
      </c>
      <c r="DC306" s="21">
        <f t="shared" si="278"/>
        <v>0</v>
      </c>
      <c r="DD306" s="21">
        <f t="shared" si="278"/>
        <v>0</v>
      </c>
      <c r="DE306" s="21">
        <f t="shared" si="278"/>
        <v>0</v>
      </c>
      <c r="DF306" s="21">
        <f t="shared" si="278"/>
        <v>0</v>
      </c>
      <c r="DG306" s="21">
        <f t="shared" si="278"/>
        <v>0</v>
      </c>
      <c r="DH306" s="21">
        <f t="shared" si="278"/>
        <v>0</v>
      </c>
      <c r="DI306" s="21">
        <f t="shared" si="278"/>
        <v>0</v>
      </c>
      <c r="DJ306" s="21">
        <f t="shared" ref="DJ306:DQ306" si="279">IF($F$290, 0, IF($D$294, IF(AND(COLUMN($DJ$306)-COLUMN($BN$303)=$Q$291,ROW($DJ$306)-ROW($BN$303)=$K$291), U$290, DJ306), DJ306))</f>
        <v>0</v>
      </c>
      <c r="DK306" s="21">
        <f t="shared" si="279"/>
        <v>0</v>
      </c>
      <c r="DL306" s="21">
        <f t="shared" si="279"/>
        <v>0</v>
      </c>
      <c r="DM306" s="21">
        <f t="shared" si="279"/>
        <v>0</v>
      </c>
      <c r="DN306" s="21">
        <f t="shared" si="279"/>
        <v>0</v>
      </c>
      <c r="DO306" s="21">
        <f t="shared" si="279"/>
        <v>0</v>
      </c>
      <c r="DP306" s="21">
        <f t="shared" si="279"/>
        <v>0</v>
      </c>
      <c r="DQ306" s="21">
        <f t="shared" si="279"/>
        <v>0</v>
      </c>
      <c r="DR306" s="21">
        <f t="shared" ref="DR306:DY306" si="280">IF($F$290, 0, IF($D$294, IF(AND(COLUMN($DR$306)-COLUMN($BN$303)=$Q$291,ROW($DR$306)-ROW($BN$303)=$K$291), U$290, DR306), DR306))</f>
        <v>0</v>
      </c>
      <c r="DS306" s="21">
        <f t="shared" si="280"/>
        <v>0</v>
      </c>
      <c r="DT306" s="21">
        <f t="shared" si="280"/>
        <v>0</v>
      </c>
      <c r="DU306" s="21">
        <f t="shared" si="280"/>
        <v>0</v>
      </c>
      <c r="DV306" s="21">
        <f t="shared" si="280"/>
        <v>0</v>
      </c>
      <c r="DW306" s="21">
        <f t="shared" si="280"/>
        <v>0</v>
      </c>
      <c r="DX306" s="21">
        <f t="shared" si="280"/>
        <v>0</v>
      </c>
      <c r="DY306" s="21">
        <f t="shared" si="280"/>
        <v>0</v>
      </c>
      <c r="DZ306" s="21">
        <f t="shared" ref="DZ306:EG306" si="281">IF($F$290, 0, IF($E$294, IF(AND(COLUMN($DZ$306)-COLUMN($DZ$303)=$Q$291,ROW($DZ$306)-ROW($DZ$303)=$K$291), U$290, DZ306), DZ306))</f>
        <v>0</v>
      </c>
      <c r="EA306" s="21">
        <f t="shared" si="281"/>
        <v>0</v>
      </c>
      <c r="EB306" s="21">
        <f t="shared" si="281"/>
        <v>0</v>
      </c>
      <c r="EC306" s="21">
        <f t="shared" si="281"/>
        <v>0</v>
      </c>
      <c r="ED306" s="21">
        <f t="shared" si="281"/>
        <v>0</v>
      </c>
      <c r="EE306" s="21">
        <f t="shared" si="281"/>
        <v>0</v>
      </c>
      <c r="EF306" s="21">
        <f t="shared" si="281"/>
        <v>0</v>
      </c>
      <c r="EG306" s="21">
        <f t="shared" si="281"/>
        <v>0</v>
      </c>
      <c r="EH306" s="21">
        <f t="shared" ref="EH306:EO306" si="282">IF($F$290, 0, IF($E$294, IF(AND(COLUMN($EH$306)-COLUMN($DZ$303)=$Q$291,ROW($EH$306)-ROW($DZ$303)=$K$291), U$290, EH306), EH306))</f>
        <v>0</v>
      </c>
      <c r="EI306" s="21">
        <f t="shared" si="282"/>
        <v>0</v>
      </c>
      <c r="EJ306" s="21">
        <f t="shared" si="282"/>
        <v>0</v>
      </c>
      <c r="EK306" s="21">
        <f t="shared" si="282"/>
        <v>0</v>
      </c>
      <c r="EL306" s="21">
        <f t="shared" si="282"/>
        <v>0</v>
      </c>
      <c r="EM306" s="21">
        <f t="shared" si="282"/>
        <v>0</v>
      </c>
      <c r="EN306" s="21">
        <f t="shared" si="282"/>
        <v>0</v>
      </c>
      <c r="EO306" s="21">
        <f t="shared" si="282"/>
        <v>0</v>
      </c>
      <c r="EP306" s="21">
        <f t="shared" ref="EP306:EW306" si="283">IF($F$290, 0, IF($E$294, IF(AND(COLUMN($EP$306)-COLUMN($DZ$303)=$Q$291,ROW($EP$306)-ROW($DZ$303)=$K$291), U$290, EP306), EP306))</f>
        <v>0</v>
      </c>
      <c r="EQ306" s="21">
        <f t="shared" si="283"/>
        <v>0</v>
      </c>
      <c r="ER306" s="21">
        <f t="shared" si="283"/>
        <v>0</v>
      </c>
      <c r="ES306" s="21">
        <f t="shared" si="283"/>
        <v>0</v>
      </c>
      <c r="ET306" s="21">
        <f t="shared" si="283"/>
        <v>0</v>
      </c>
      <c r="EU306" s="21">
        <f t="shared" si="283"/>
        <v>0</v>
      </c>
      <c r="EV306" s="21">
        <f t="shared" si="283"/>
        <v>0</v>
      </c>
      <c r="EW306" s="21">
        <f t="shared" si="283"/>
        <v>0</v>
      </c>
      <c r="EX306" s="21">
        <f t="shared" ref="EX306:FE306" si="284">IF($F$290, 0, IF($E$294, IF(AND(COLUMN($EX$306)-COLUMN($DZ$303)=$Q$291,ROW($EX$306)-ROW($DZ$303)=$K$291), U$290, EX306), EX306))</f>
        <v>0</v>
      </c>
      <c r="EY306" s="21">
        <f t="shared" si="284"/>
        <v>0</v>
      </c>
      <c r="EZ306" s="21">
        <f t="shared" si="284"/>
        <v>0</v>
      </c>
      <c r="FA306" s="21">
        <f t="shared" si="284"/>
        <v>0</v>
      </c>
      <c r="FB306" s="21">
        <f t="shared" si="284"/>
        <v>0</v>
      </c>
      <c r="FC306" s="21">
        <f t="shared" si="284"/>
        <v>0</v>
      </c>
      <c r="FD306" s="21">
        <f t="shared" si="284"/>
        <v>0</v>
      </c>
      <c r="FE306" s="21">
        <f t="shared" si="284"/>
        <v>0</v>
      </c>
      <c r="FF306" s="21">
        <f t="shared" ref="FF306:FM306" si="285">IF($F$290, 0, IF($E$294, IF(AND(COLUMN($FF$306)-COLUMN($DZ$303)=$Q$291,ROW($FF$306)-ROW($DZ$303)=$K$291), U$290, FF306), FF306))</f>
        <v>0</v>
      </c>
      <c r="FG306" s="21">
        <f t="shared" si="285"/>
        <v>0</v>
      </c>
      <c r="FH306" s="21">
        <f t="shared" si="285"/>
        <v>0</v>
      </c>
      <c r="FI306" s="21">
        <f t="shared" si="285"/>
        <v>0</v>
      </c>
      <c r="FJ306" s="21">
        <f t="shared" si="285"/>
        <v>0</v>
      </c>
      <c r="FK306" s="21">
        <f t="shared" si="285"/>
        <v>0</v>
      </c>
      <c r="FL306" s="21">
        <f t="shared" si="285"/>
        <v>0</v>
      </c>
      <c r="FM306" s="21">
        <f t="shared" si="285"/>
        <v>0</v>
      </c>
      <c r="FN306" s="21">
        <f t="shared" ref="FN306:FU306" si="286">IF($F$290, 0, IF($E$294, IF(AND(COLUMN($FN$306)-COLUMN($DZ$303)=$Q$291,ROW($FN$306)-ROW($DZ$303)=$K$291), U$290, FN306), FN306))</f>
        <v>0</v>
      </c>
      <c r="FO306" s="21">
        <f t="shared" si="286"/>
        <v>0</v>
      </c>
      <c r="FP306" s="21">
        <f t="shared" si="286"/>
        <v>0</v>
      </c>
      <c r="FQ306" s="21">
        <f t="shared" si="286"/>
        <v>0</v>
      </c>
      <c r="FR306" s="21">
        <f t="shared" si="286"/>
        <v>0</v>
      </c>
      <c r="FS306" s="21">
        <f t="shared" si="286"/>
        <v>0</v>
      </c>
      <c r="FT306" s="21">
        <f t="shared" si="286"/>
        <v>0</v>
      </c>
      <c r="FU306" s="21">
        <f t="shared" si="286"/>
        <v>0</v>
      </c>
      <c r="FV306" s="21">
        <f t="shared" ref="FV306:GC306" si="287">IF($F$290, 0, IF($E$294, IF(AND(COLUMN($FV$306)-COLUMN($DZ$303)=$Q$291,ROW($FV$306)-ROW($DZ$303)=$K$291), U$290, FV306), FV306))</f>
        <v>0</v>
      </c>
      <c r="FW306" s="21">
        <f t="shared" si="287"/>
        <v>0</v>
      </c>
      <c r="FX306" s="21">
        <f t="shared" si="287"/>
        <v>0</v>
      </c>
      <c r="FY306" s="21">
        <f t="shared" si="287"/>
        <v>0</v>
      </c>
      <c r="FZ306" s="21">
        <f t="shared" si="287"/>
        <v>0</v>
      </c>
      <c r="GA306" s="21">
        <f t="shared" si="287"/>
        <v>0</v>
      </c>
      <c r="GB306" s="21">
        <f t="shared" si="287"/>
        <v>0</v>
      </c>
      <c r="GC306" s="21">
        <f t="shared" si="287"/>
        <v>0</v>
      </c>
      <c r="GD306" s="21">
        <f t="shared" ref="GD306:GK306" si="288">IF($F$290, 0, IF($E$294, IF(AND(COLUMN($GD$306)-COLUMN($DZ$303)=$Q$291,ROW($GD$306)-ROW($DZ$303)=$K$291), U$290, GD306), GD306))</f>
        <v>0</v>
      </c>
      <c r="GE306" s="21">
        <f t="shared" si="288"/>
        <v>0</v>
      </c>
      <c r="GF306" s="21">
        <f t="shared" si="288"/>
        <v>0</v>
      </c>
      <c r="GG306" s="21">
        <f t="shared" si="288"/>
        <v>0</v>
      </c>
      <c r="GH306" s="21">
        <f t="shared" si="288"/>
        <v>0</v>
      </c>
      <c r="GI306" s="21">
        <f t="shared" si="288"/>
        <v>0</v>
      </c>
      <c r="GJ306" s="21">
        <f t="shared" si="288"/>
        <v>0</v>
      </c>
      <c r="GK306" s="21">
        <f t="shared" si="288"/>
        <v>0</v>
      </c>
      <c r="GL306" s="21">
        <f t="shared" ref="GL306:GS306" si="289">IF($F$290, 0, IF($F$294, IF(AND(COLUMN($GL$306)-COLUMN($GL$303)=$Q$291,ROW($GL$306)-ROW($GL$303)=$K$291), U$290, GL306), GL306))</f>
        <v>0</v>
      </c>
      <c r="GM306" s="21">
        <f t="shared" si="289"/>
        <v>0</v>
      </c>
      <c r="GN306" s="21">
        <f t="shared" si="289"/>
        <v>0</v>
      </c>
      <c r="GO306" s="21">
        <f t="shared" si="289"/>
        <v>0</v>
      </c>
      <c r="GP306" s="21">
        <f t="shared" si="289"/>
        <v>0</v>
      </c>
      <c r="GQ306" s="21">
        <f t="shared" si="289"/>
        <v>0</v>
      </c>
      <c r="GR306" s="21">
        <f t="shared" si="289"/>
        <v>0</v>
      </c>
      <c r="GS306" s="21">
        <f t="shared" si="289"/>
        <v>0</v>
      </c>
      <c r="GT306" s="21">
        <f t="shared" ref="GT306:HA306" si="290">IF($F$290, 0, IF($F$294, IF(AND(COLUMN($GT$306)-COLUMN($GL$303)=$Q$291,ROW($GT$306)-ROW($GL$303)=$K$291), U$290, GT306), GT306))</f>
        <v>0</v>
      </c>
      <c r="GU306" s="21">
        <f t="shared" si="290"/>
        <v>0</v>
      </c>
      <c r="GV306" s="21">
        <f t="shared" si="290"/>
        <v>0</v>
      </c>
      <c r="GW306" s="21">
        <f t="shared" si="290"/>
        <v>0</v>
      </c>
      <c r="GX306" s="21">
        <f t="shared" si="290"/>
        <v>0</v>
      </c>
      <c r="GY306" s="21">
        <f t="shared" si="290"/>
        <v>0</v>
      </c>
      <c r="GZ306" s="21">
        <f t="shared" si="290"/>
        <v>0</v>
      </c>
      <c r="HA306" s="21">
        <f t="shared" si="290"/>
        <v>0</v>
      </c>
      <c r="HB306" s="21">
        <f t="shared" ref="HB306:HI306" si="291">IF($F$290, 0, IF($F$294, IF(AND(COLUMN($HB$306)-COLUMN($GL$303)=$Q$291,ROW($HB$306)-ROW($GL$303)=$K$291), U$290, HB306), HB306))</f>
        <v>0</v>
      </c>
      <c r="HC306" s="21">
        <f t="shared" si="291"/>
        <v>0</v>
      </c>
      <c r="HD306" s="21">
        <f t="shared" si="291"/>
        <v>0</v>
      </c>
      <c r="HE306" s="21">
        <f t="shared" si="291"/>
        <v>0</v>
      </c>
      <c r="HF306" s="21">
        <f t="shared" si="291"/>
        <v>0</v>
      </c>
      <c r="HG306" s="21">
        <f t="shared" si="291"/>
        <v>0</v>
      </c>
      <c r="HH306" s="21">
        <f t="shared" si="291"/>
        <v>0</v>
      </c>
      <c r="HI306" s="21">
        <f t="shared" si="291"/>
        <v>0</v>
      </c>
      <c r="HJ306" s="21">
        <f t="shared" ref="HJ306:HQ306" si="292">IF($F$290, 0, IF($F$294, IF(AND(COLUMN($HJ$306)-COLUMN($GL$303)=$Q$291,ROW($HJ$306)-ROW($GL$303)=$K$291), U$290, HJ306), HJ306))</f>
        <v>0</v>
      </c>
      <c r="HK306" s="21">
        <f t="shared" si="292"/>
        <v>0</v>
      </c>
      <c r="HL306" s="21">
        <f t="shared" si="292"/>
        <v>0</v>
      </c>
      <c r="HM306" s="21">
        <f t="shared" si="292"/>
        <v>0</v>
      </c>
      <c r="HN306" s="21">
        <f t="shared" si="292"/>
        <v>0</v>
      </c>
      <c r="HO306" s="21">
        <f t="shared" si="292"/>
        <v>0</v>
      </c>
      <c r="HP306" s="21">
        <f t="shared" si="292"/>
        <v>0</v>
      </c>
      <c r="HQ306" s="21">
        <f t="shared" si="292"/>
        <v>0</v>
      </c>
      <c r="HR306" s="21">
        <f t="shared" ref="HR306:HY306" si="293">IF($F$290, 0, IF($F$294, IF(AND(COLUMN($HR$306)-COLUMN($GL$303)=$Q$291,ROW($HR$306)-ROW($GL$303)=$K$291), U$290, HR306), HR306))</f>
        <v>0</v>
      </c>
      <c r="HS306" s="21">
        <f t="shared" si="293"/>
        <v>0</v>
      </c>
      <c r="HT306" s="21">
        <f t="shared" si="293"/>
        <v>0</v>
      </c>
      <c r="HU306" s="21">
        <f t="shared" si="293"/>
        <v>0</v>
      </c>
      <c r="HV306" s="21">
        <f t="shared" si="293"/>
        <v>0</v>
      </c>
      <c r="HW306" s="21">
        <f t="shared" si="293"/>
        <v>0</v>
      </c>
      <c r="HX306" s="21">
        <f t="shared" si="293"/>
        <v>0</v>
      </c>
      <c r="HY306" s="21">
        <f t="shared" si="293"/>
        <v>0</v>
      </c>
      <c r="HZ306" s="21">
        <f t="shared" ref="HZ306:IG306" si="294">IF($F$290, 0, IF($F$294, IF(AND(COLUMN($HZ$306)-COLUMN($GL$303)=$Q$291,ROW($HZ$306)-ROW($GL$303)=$K$291), U$290, HZ306), HZ306))</f>
        <v>0</v>
      </c>
      <c r="IA306" s="21">
        <f t="shared" si="294"/>
        <v>0</v>
      </c>
      <c r="IB306" s="21">
        <f t="shared" si="294"/>
        <v>0</v>
      </c>
      <c r="IC306" s="21">
        <f t="shared" si="294"/>
        <v>0</v>
      </c>
      <c r="ID306" s="21">
        <f t="shared" si="294"/>
        <v>0</v>
      </c>
      <c r="IE306" s="21">
        <f t="shared" si="294"/>
        <v>0</v>
      </c>
      <c r="IF306" s="21">
        <f t="shared" si="294"/>
        <v>0</v>
      </c>
      <c r="IG306" s="21">
        <f t="shared" si="294"/>
        <v>0</v>
      </c>
      <c r="IH306" s="21">
        <f t="shared" ref="IH306:IO306" si="295">IF($F$290, 0, IF($F$294, IF(AND(COLUMN($IH$306)-COLUMN($GL$303)=$Q$291,ROW($IH$306)-ROW($GL$303)=$K$291), U$290, IH306), IH306))</f>
        <v>0</v>
      </c>
      <c r="II306" s="21">
        <f t="shared" si="295"/>
        <v>0</v>
      </c>
      <c r="IJ306" s="21">
        <f t="shared" si="295"/>
        <v>0</v>
      </c>
      <c r="IK306" s="21">
        <f t="shared" si="295"/>
        <v>0</v>
      </c>
      <c r="IL306" s="21">
        <f t="shared" si="295"/>
        <v>0</v>
      </c>
      <c r="IM306" s="21">
        <f t="shared" si="295"/>
        <v>0</v>
      </c>
      <c r="IN306" s="21">
        <f t="shared" si="295"/>
        <v>0</v>
      </c>
      <c r="IO306" s="21">
        <f t="shared" si="295"/>
        <v>0</v>
      </c>
      <c r="IP306" s="21">
        <f t="shared" ref="IP306:IW306" si="296">IF($F$290, 0, IF($F$294, IF(AND(COLUMN($IP$306)-COLUMN($GL$303)=$Q$291,ROW($IP$306)-ROW($GL$303)=$K$291), U$290, IP306), IP306))</f>
        <v>0</v>
      </c>
      <c r="IQ306" s="21">
        <f t="shared" si="296"/>
        <v>0</v>
      </c>
      <c r="IR306" s="21">
        <f t="shared" si="296"/>
        <v>0</v>
      </c>
      <c r="IS306" s="21">
        <f t="shared" si="296"/>
        <v>0</v>
      </c>
      <c r="IT306" s="21">
        <f t="shared" si="296"/>
        <v>0</v>
      </c>
      <c r="IU306" s="21">
        <f t="shared" si="296"/>
        <v>0</v>
      </c>
      <c r="IV306" s="21">
        <f t="shared" si="296"/>
        <v>0</v>
      </c>
      <c r="IW306" s="21">
        <f t="shared" si="296"/>
        <v>0</v>
      </c>
      <c r="IX306" s="21">
        <f t="shared" ref="IX306:JE306" si="297">IF($F$290, 0, IF($G$294, IF(AND(COLUMN($IX$306)-COLUMN($IX$303)=$Q$291,ROW($IX$306)-ROW($IX$303)=$K$291), U$290, IX306), IX306))</f>
        <v>0</v>
      </c>
      <c r="IY306" s="21">
        <f t="shared" si="297"/>
        <v>0</v>
      </c>
      <c r="IZ306" s="21">
        <f t="shared" si="297"/>
        <v>0</v>
      </c>
      <c r="JA306" s="21">
        <f t="shared" si="297"/>
        <v>0</v>
      </c>
      <c r="JB306" s="21">
        <f t="shared" si="297"/>
        <v>0</v>
      </c>
      <c r="JC306" s="21">
        <f t="shared" si="297"/>
        <v>0</v>
      </c>
      <c r="JD306" s="21">
        <f t="shared" si="297"/>
        <v>0</v>
      </c>
      <c r="JE306" s="21">
        <f t="shared" si="297"/>
        <v>0</v>
      </c>
      <c r="JF306" s="21">
        <f t="shared" ref="JF306:JM306" si="298">IF($F$290, 0, IF($G$294, IF(AND(COLUMN($JF$306)-COLUMN($IX$303)=$Q$291,ROW($JF$306)-ROW($IX$303)=$K$291), U$290, JF306), JF306))</f>
        <v>0</v>
      </c>
      <c r="JG306" s="21">
        <f t="shared" si="298"/>
        <v>0</v>
      </c>
      <c r="JH306" s="21">
        <f t="shared" si="298"/>
        <v>0</v>
      </c>
      <c r="JI306" s="21">
        <f t="shared" si="298"/>
        <v>0</v>
      </c>
      <c r="JJ306" s="21">
        <f t="shared" si="298"/>
        <v>0</v>
      </c>
      <c r="JK306" s="21">
        <f t="shared" si="298"/>
        <v>0</v>
      </c>
      <c r="JL306" s="21">
        <f t="shared" si="298"/>
        <v>0</v>
      </c>
      <c r="JM306" s="21">
        <f t="shared" si="298"/>
        <v>0</v>
      </c>
      <c r="JN306" s="21">
        <f t="shared" ref="JN306:JU306" si="299">IF($F$290, 0, IF($G$294, IF(AND(COLUMN($JN$306)-COLUMN($IX$303)=$Q$291,ROW($JN$306)-ROW($IX$303)=$K$291), U$290, JN306), JN306))</f>
        <v>0</v>
      </c>
      <c r="JO306" s="21">
        <f t="shared" si="299"/>
        <v>0</v>
      </c>
      <c r="JP306" s="21">
        <f t="shared" si="299"/>
        <v>0</v>
      </c>
      <c r="JQ306" s="21">
        <f t="shared" si="299"/>
        <v>0</v>
      </c>
      <c r="JR306" s="21">
        <f t="shared" si="299"/>
        <v>0</v>
      </c>
      <c r="JS306" s="21">
        <f t="shared" si="299"/>
        <v>0</v>
      </c>
      <c r="JT306" s="21">
        <f t="shared" si="299"/>
        <v>0</v>
      </c>
      <c r="JU306" s="21">
        <f t="shared" si="299"/>
        <v>0</v>
      </c>
      <c r="JV306" s="21">
        <f t="shared" ref="JV306:KC306" si="300">IF($F$290, 0, IF($G$294, IF(AND(COLUMN($JV$306)-COLUMN($IX$303)=$Q$291,ROW($JV$306)-ROW($IX$303)=$K$291), U$290, JV306), JV306))</f>
        <v>0</v>
      </c>
      <c r="JW306" s="21">
        <f t="shared" si="300"/>
        <v>0</v>
      </c>
      <c r="JX306" s="21">
        <f t="shared" si="300"/>
        <v>0</v>
      </c>
      <c r="JY306" s="21">
        <f t="shared" si="300"/>
        <v>0</v>
      </c>
      <c r="JZ306" s="21">
        <f t="shared" si="300"/>
        <v>0</v>
      </c>
      <c r="KA306" s="21">
        <f t="shared" si="300"/>
        <v>0</v>
      </c>
      <c r="KB306" s="21">
        <f t="shared" si="300"/>
        <v>0</v>
      </c>
      <c r="KC306" s="21">
        <f t="shared" si="300"/>
        <v>0</v>
      </c>
      <c r="KD306" s="21">
        <f t="shared" ref="KD306:KK306" si="301">IF($F$290, 0, IF($G$294, IF(AND(COLUMN($KD$306)-COLUMN($IX$303)=$Q$291,ROW($KD$306)-ROW($IX$303)=$K$291), U$290, KD306), KD306))</f>
        <v>0</v>
      </c>
      <c r="KE306" s="21">
        <f t="shared" si="301"/>
        <v>0</v>
      </c>
      <c r="KF306" s="21">
        <f t="shared" si="301"/>
        <v>0</v>
      </c>
      <c r="KG306" s="21">
        <f t="shared" si="301"/>
        <v>0</v>
      </c>
      <c r="KH306" s="21">
        <f t="shared" si="301"/>
        <v>0</v>
      </c>
      <c r="KI306" s="21">
        <f t="shared" si="301"/>
        <v>0</v>
      </c>
      <c r="KJ306" s="21">
        <f t="shared" si="301"/>
        <v>0</v>
      </c>
      <c r="KK306" s="21">
        <f t="shared" si="301"/>
        <v>0</v>
      </c>
      <c r="KL306" s="21">
        <f t="shared" ref="KL306:KS306" si="302">IF($F$290, 0, IF($G$294, IF(AND(COLUMN($KL$306)-COLUMN($IX$303)=$Q$291,ROW($KL$306)-ROW($IX$303)=$K$291), U$290, KL306), KL306))</f>
        <v>0</v>
      </c>
      <c r="KM306" s="21">
        <f t="shared" si="302"/>
        <v>0</v>
      </c>
      <c r="KN306" s="21">
        <f t="shared" si="302"/>
        <v>0</v>
      </c>
      <c r="KO306" s="21">
        <f t="shared" si="302"/>
        <v>0</v>
      </c>
      <c r="KP306" s="21">
        <f t="shared" si="302"/>
        <v>0</v>
      </c>
      <c r="KQ306" s="21">
        <f t="shared" si="302"/>
        <v>0</v>
      </c>
      <c r="KR306" s="21">
        <f t="shared" si="302"/>
        <v>0</v>
      </c>
      <c r="KS306" s="21">
        <f t="shared" si="302"/>
        <v>0</v>
      </c>
      <c r="KT306" s="21">
        <f t="shared" ref="KT306:LA306" si="303">IF($F$290, 0, IF($G$294, IF(AND(COLUMN($KT$306)-COLUMN($IX$303)=$Q$291,ROW($KT$306)-ROW($IX$303)=$K$291), U$290, KT306), KT306))</f>
        <v>0</v>
      </c>
      <c r="KU306" s="21">
        <f t="shared" si="303"/>
        <v>0</v>
      </c>
      <c r="KV306" s="21">
        <f t="shared" si="303"/>
        <v>0</v>
      </c>
      <c r="KW306" s="21">
        <f t="shared" si="303"/>
        <v>0</v>
      </c>
      <c r="KX306" s="21">
        <f t="shared" si="303"/>
        <v>0</v>
      </c>
      <c r="KY306" s="21">
        <f t="shared" si="303"/>
        <v>0</v>
      </c>
      <c r="KZ306" s="21">
        <f t="shared" si="303"/>
        <v>0</v>
      </c>
      <c r="LA306" s="21">
        <f t="shared" si="303"/>
        <v>0</v>
      </c>
      <c r="LB306" s="21">
        <f t="shared" ref="LB306:LI306" si="304">IF($F$290, 0, IF($G$294, IF(AND(COLUMN($LB$306)-COLUMN($IX$303)=$Q$291,ROW($LB$306)-ROW($IX$303)=$K$291), U$290, LB306), LB306))</f>
        <v>0</v>
      </c>
      <c r="LC306" s="21">
        <f t="shared" si="304"/>
        <v>0</v>
      </c>
      <c r="LD306" s="21">
        <f t="shared" si="304"/>
        <v>0</v>
      </c>
      <c r="LE306" s="21">
        <f t="shared" si="304"/>
        <v>0</v>
      </c>
      <c r="LF306" s="21">
        <f t="shared" si="304"/>
        <v>0</v>
      </c>
      <c r="LG306" s="21">
        <f t="shared" si="304"/>
        <v>0</v>
      </c>
      <c r="LH306" s="21">
        <f t="shared" si="304"/>
        <v>0</v>
      </c>
      <c r="LI306" s="21">
        <f t="shared" si="304"/>
        <v>0</v>
      </c>
      <c r="LJ306" s="21">
        <f t="shared" ref="LJ306:LQ306" si="305">IF($F$290, 0, IF($H$294, IF(AND(COLUMN($LJ$306)-COLUMN($LJ$303)=$Q$291,ROW($LJ$306)-ROW($LJ$303)=$K$291), U$290, LJ306), LJ306))</f>
        <v>0</v>
      </c>
      <c r="LK306" s="21">
        <f t="shared" si="305"/>
        <v>0</v>
      </c>
      <c r="LL306" s="21">
        <f t="shared" si="305"/>
        <v>0</v>
      </c>
      <c r="LM306" s="21">
        <f t="shared" si="305"/>
        <v>0</v>
      </c>
      <c r="LN306" s="21">
        <f t="shared" si="305"/>
        <v>0</v>
      </c>
      <c r="LO306" s="21">
        <f t="shared" si="305"/>
        <v>0</v>
      </c>
      <c r="LP306" s="21">
        <f t="shared" si="305"/>
        <v>0</v>
      </c>
      <c r="LQ306" s="21">
        <f t="shared" si="305"/>
        <v>0</v>
      </c>
      <c r="LR306" s="21">
        <f t="shared" ref="LR306:LY306" si="306">IF($F$290, 0, IF($H$294, IF(AND(COLUMN($LR$306)-COLUMN($LJ$303)=$Q$291,ROW($LR$306)-ROW($LJ$303)=$K$291), U$290, LR306), LR306))</f>
        <v>0</v>
      </c>
      <c r="LS306" s="21">
        <f t="shared" si="306"/>
        <v>0</v>
      </c>
      <c r="LT306" s="21">
        <f t="shared" si="306"/>
        <v>0</v>
      </c>
      <c r="LU306" s="21">
        <f t="shared" si="306"/>
        <v>0</v>
      </c>
      <c r="LV306" s="21">
        <f t="shared" si="306"/>
        <v>0</v>
      </c>
      <c r="LW306" s="21">
        <f t="shared" si="306"/>
        <v>0</v>
      </c>
      <c r="LX306" s="21">
        <f t="shared" si="306"/>
        <v>0</v>
      </c>
      <c r="LY306" s="21">
        <f t="shared" si="306"/>
        <v>0</v>
      </c>
      <c r="LZ306" s="21">
        <f t="shared" ref="LZ306:MG306" si="307">IF($F$290, 0, IF($H$294, IF(AND(COLUMN($LZ$306)-COLUMN($LJ$303)=$Q$291,ROW($LZ$306)-ROW($LJ$303)=$K$291), U$290, LZ306), LZ306))</f>
        <v>0</v>
      </c>
      <c r="MA306" s="21">
        <f t="shared" si="307"/>
        <v>0</v>
      </c>
      <c r="MB306" s="21">
        <f t="shared" si="307"/>
        <v>0</v>
      </c>
      <c r="MC306" s="21">
        <f t="shared" si="307"/>
        <v>0</v>
      </c>
      <c r="MD306" s="21">
        <f t="shared" si="307"/>
        <v>0</v>
      </c>
      <c r="ME306" s="21">
        <f t="shared" si="307"/>
        <v>0</v>
      </c>
      <c r="MF306" s="21">
        <f t="shared" si="307"/>
        <v>0</v>
      </c>
      <c r="MG306" s="21">
        <f t="shared" si="307"/>
        <v>0</v>
      </c>
      <c r="MH306" s="21">
        <f t="shared" ref="MH306:MO306" si="308">IF($F$290, 0, IF($H$294, IF(AND(COLUMN($MH$306)-COLUMN($LJ$303)=$Q$291,ROW($MH$306)-ROW($LJ$303)=$K$291), U$290, MH306), MH306))</f>
        <v>0</v>
      </c>
      <c r="MI306" s="21">
        <f t="shared" si="308"/>
        <v>0</v>
      </c>
      <c r="MJ306" s="21">
        <f t="shared" si="308"/>
        <v>0</v>
      </c>
      <c r="MK306" s="21">
        <f t="shared" si="308"/>
        <v>0</v>
      </c>
      <c r="ML306" s="21">
        <f t="shared" si="308"/>
        <v>0</v>
      </c>
      <c r="MM306" s="21">
        <f t="shared" si="308"/>
        <v>0</v>
      </c>
      <c r="MN306" s="21">
        <f t="shared" si="308"/>
        <v>0</v>
      </c>
      <c r="MO306" s="21">
        <f t="shared" si="308"/>
        <v>0</v>
      </c>
      <c r="MP306" s="21">
        <f t="shared" ref="MP306:MW306" si="309">IF($F$290, 0, IF($H$294, IF(AND(COLUMN($MP$306)-COLUMN($LJ$303)=$Q$291,ROW($MP$306)-ROW($LJ$303)=$K$291), U$290, MP306), MP306))</f>
        <v>0</v>
      </c>
      <c r="MQ306" s="21">
        <f t="shared" si="309"/>
        <v>0</v>
      </c>
      <c r="MR306" s="21">
        <f t="shared" si="309"/>
        <v>0</v>
      </c>
      <c r="MS306" s="21">
        <f t="shared" si="309"/>
        <v>0</v>
      </c>
      <c r="MT306" s="21">
        <f t="shared" si="309"/>
        <v>0</v>
      </c>
      <c r="MU306" s="21">
        <f t="shared" si="309"/>
        <v>0</v>
      </c>
      <c r="MV306" s="21">
        <f t="shared" si="309"/>
        <v>0</v>
      </c>
      <c r="MW306" s="21">
        <f t="shared" si="309"/>
        <v>0</v>
      </c>
      <c r="MX306" s="21">
        <f t="shared" ref="MX306:NE306" si="310">IF($F$290, 0, IF($H$294, IF(AND(COLUMN($MX$306)-COLUMN($LJ$303)=$Q$291,ROW($MX$306)-ROW($LJ$303)=$K$291), U$290, MX306), MX306))</f>
        <v>0</v>
      </c>
      <c r="MY306" s="21">
        <f t="shared" si="310"/>
        <v>0</v>
      </c>
      <c r="MZ306" s="21">
        <f t="shared" si="310"/>
        <v>0</v>
      </c>
      <c r="NA306" s="21">
        <f t="shared" si="310"/>
        <v>0</v>
      </c>
      <c r="NB306" s="21">
        <f t="shared" si="310"/>
        <v>0</v>
      </c>
      <c r="NC306" s="21">
        <f t="shared" si="310"/>
        <v>0</v>
      </c>
      <c r="ND306" s="21">
        <f t="shared" si="310"/>
        <v>0</v>
      </c>
      <c r="NE306" s="21">
        <f t="shared" si="310"/>
        <v>0</v>
      </c>
      <c r="NF306" s="21">
        <f t="shared" ref="NF306:NM306" si="311">IF($F$290, 0, IF($H$294, IF(AND(COLUMN($NF$306)-COLUMN($LJ$303)=$Q$291,ROW($NF$306)-ROW($LJ$303)=$K$291), U$290, NF306), NF306))</f>
        <v>0</v>
      </c>
      <c r="NG306" s="21">
        <f t="shared" si="311"/>
        <v>0</v>
      </c>
      <c r="NH306" s="21">
        <f t="shared" si="311"/>
        <v>0</v>
      </c>
      <c r="NI306" s="21">
        <f t="shared" si="311"/>
        <v>0</v>
      </c>
      <c r="NJ306" s="21">
        <f t="shared" si="311"/>
        <v>0</v>
      </c>
      <c r="NK306" s="21">
        <f t="shared" si="311"/>
        <v>0</v>
      </c>
      <c r="NL306" s="21">
        <f t="shared" si="311"/>
        <v>0</v>
      </c>
      <c r="NM306" s="21">
        <f t="shared" si="311"/>
        <v>0</v>
      </c>
      <c r="NN306" s="21">
        <f t="shared" ref="NN306:NU306" si="312">IF($F$290, 0, IF($H$294, IF(AND(COLUMN($NN$306)-COLUMN($LJ$303)=$Q$291,ROW($NN$306)-ROW($LJ$303)=$K$291), U$290, NN306), NN306))</f>
        <v>0</v>
      </c>
      <c r="NO306" s="21">
        <f t="shared" si="312"/>
        <v>0</v>
      </c>
      <c r="NP306" s="21">
        <f t="shared" si="312"/>
        <v>0</v>
      </c>
      <c r="NQ306" s="21">
        <f t="shared" si="312"/>
        <v>0</v>
      </c>
      <c r="NR306" s="21">
        <f t="shared" si="312"/>
        <v>0</v>
      </c>
      <c r="NS306" s="21">
        <f t="shared" si="312"/>
        <v>0</v>
      </c>
      <c r="NT306" s="21">
        <f t="shared" si="312"/>
        <v>0</v>
      </c>
      <c r="NU306" s="21">
        <f t="shared" si="312"/>
        <v>0</v>
      </c>
      <c r="NV306" s="21">
        <f t="shared" ref="NV306:OC306" si="313">IF($F$290, 0, IF($I$294, IF(AND(COLUMN($NV$306)-COLUMN($NV$303)=$Q$291,ROW($NV$306)-ROW($NV$303)=$K$291), U$290, NV306), NV306))</f>
        <v>0</v>
      </c>
      <c r="NW306" s="21">
        <f t="shared" si="313"/>
        <v>0</v>
      </c>
      <c r="NX306" s="21">
        <f t="shared" si="313"/>
        <v>0</v>
      </c>
      <c r="NY306" s="21">
        <f t="shared" si="313"/>
        <v>0</v>
      </c>
      <c r="NZ306" s="21">
        <f t="shared" si="313"/>
        <v>0</v>
      </c>
      <c r="OA306" s="21">
        <f t="shared" si="313"/>
        <v>0</v>
      </c>
      <c r="OB306" s="21">
        <f t="shared" si="313"/>
        <v>0</v>
      </c>
      <c r="OC306" s="21">
        <f t="shared" si="313"/>
        <v>0</v>
      </c>
      <c r="OD306" s="21">
        <f t="shared" ref="OD306:OK306" si="314">IF($F$290, 0, IF($I$294, IF(AND(COLUMN($OD$306)-COLUMN($NV$303)=$Q$291,ROW($OD$306)-ROW($NV$303)=$K$291), U$290, OD306), OD306))</f>
        <v>0</v>
      </c>
      <c r="OE306" s="21">
        <f t="shared" si="314"/>
        <v>0</v>
      </c>
      <c r="OF306" s="21">
        <f t="shared" si="314"/>
        <v>0</v>
      </c>
      <c r="OG306" s="21">
        <f t="shared" si="314"/>
        <v>0</v>
      </c>
      <c r="OH306" s="21">
        <f t="shared" si="314"/>
        <v>0</v>
      </c>
      <c r="OI306" s="21">
        <f t="shared" si="314"/>
        <v>0</v>
      </c>
      <c r="OJ306" s="21">
        <f t="shared" si="314"/>
        <v>0</v>
      </c>
      <c r="OK306" s="21">
        <f t="shared" si="314"/>
        <v>0</v>
      </c>
      <c r="OL306" s="21">
        <f t="shared" ref="OL306:OS306" si="315">IF($F$290, 0, IF($I$294, IF(AND(COLUMN($OL$306)-COLUMN($NV$303)=$Q$291,ROW($OL$306)-ROW($NV$303)=$K$291), U$290, OL306), OL306))</f>
        <v>0</v>
      </c>
      <c r="OM306" s="21">
        <f t="shared" si="315"/>
        <v>0</v>
      </c>
      <c r="ON306" s="21">
        <f t="shared" si="315"/>
        <v>0</v>
      </c>
      <c r="OO306" s="21">
        <f t="shared" si="315"/>
        <v>0</v>
      </c>
      <c r="OP306" s="21">
        <f t="shared" si="315"/>
        <v>0</v>
      </c>
      <c r="OQ306" s="21">
        <f t="shared" si="315"/>
        <v>0</v>
      </c>
      <c r="OR306" s="21">
        <f t="shared" si="315"/>
        <v>0</v>
      </c>
      <c r="OS306" s="21">
        <f t="shared" si="315"/>
        <v>0</v>
      </c>
      <c r="OT306" s="21">
        <f t="shared" ref="OT306:PA306" si="316">IF($F$290, 0, IF($I$294, IF(AND(COLUMN($OT$306)-COLUMN($NV$303)=$Q$291,ROW($OT$306)-ROW($NV$303)=$K$291), U$290, OT306), OT306))</f>
        <v>0</v>
      </c>
      <c r="OU306" s="21">
        <f t="shared" si="316"/>
        <v>0</v>
      </c>
      <c r="OV306" s="21">
        <f t="shared" si="316"/>
        <v>0</v>
      </c>
      <c r="OW306" s="21">
        <f t="shared" si="316"/>
        <v>0</v>
      </c>
      <c r="OX306" s="21">
        <f t="shared" si="316"/>
        <v>0</v>
      </c>
      <c r="OY306" s="21">
        <f t="shared" si="316"/>
        <v>0</v>
      </c>
      <c r="OZ306" s="21">
        <f t="shared" si="316"/>
        <v>0</v>
      </c>
      <c r="PA306" s="21">
        <f t="shared" si="316"/>
        <v>0</v>
      </c>
      <c r="PB306" s="21">
        <f t="shared" ref="PB306:PI306" si="317">IF($F$290, 0, IF($I$294, IF(AND(COLUMN($PB$306)-COLUMN($NV$303)=$Q$291,ROW($PB$306)-ROW($NV$303)=$K$291), U$290, PB306), PB306))</f>
        <v>0</v>
      </c>
      <c r="PC306" s="21">
        <f t="shared" si="317"/>
        <v>0</v>
      </c>
      <c r="PD306" s="21">
        <f t="shared" si="317"/>
        <v>0</v>
      </c>
      <c r="PE306" s="21">
        <f t="shared" si="317"/>
        <v>0</v>
      </c>
      <c r="PF306" s="21">
        <f t="shared" si="317"/>
        <v>0</v>
      </c>
      <c r="PG306" s="21">
        <f t="shared" si="317"/>
        <v>0</v>
      </c>
      <c r="PH306" s="21">
        <f t="shared" si="317"/>
        <v>0</v>
      </c>
      <c r="PI306" s="21">
        <f t="shared" si="317"/>
        <v>0</v>
      </c>
      <c r="PJ306" s="21">
        <f t="shared" ref="PJ306:PQ306" si="318">IF($F$290, 0, IF($I$294, IF(AND(COLUMN($PJ$306)-COLUMN($NV$303)=$Q$291,ROW($PJ$306)-ROW($NV$303)=$K$291), U$290, PJ306), PJ306))</f>
        <v>0</v>
      </c>
      <c r="PK306" s="21">
        <f t="shared" si="318"/>
        <v>0</v>
      </c>
      <c r="PL306" s="21">
        <f t="shared" si="318"/>
        <v>0</v>
      </c>
      <c r="PM306" s="21">
        <f t="shared" si="318"/>
        <v>0</v>
      </c>
      <c r="PN306" s="21">
        <f t="shared" si="318"/>
        <v>0</v>
      </c>
      <c r="PO306" s="21">
        <f t="shared" si="318"/>
        <v>0</v>
      </c>
      <c r="PP306" s="21">
        <f t="shared" si="318"/>
        <v>0</v>
      </c>
      <c r="PQ306" s="21">
        <f t="shared" si="318"/>
        <v>0</v>
      </c>
      <c r="PR306" s="21">
        <f t="shared" ref="PR306:PY306" si="319">IF($F$290, 0, IF($I$294, IF(AND(COLUMN($PR$306)-COLUMN($NV$303)=$Q$291,ROW($PR$306)-ROW($NV$303)=$K$291), U$290, PR306), PR306))</f>
        <v>0</v>
      </c>
      <c r="PS306" s="21">
        <f t="shared" si="319"/>
        <v>0</v>
      </c>
      <c r="PT306" s="21">
        <f t="shared" si="319"/>
        <v>0</v>
      </c>
      <c r="PU306" s="21">
        <f t="shared" si="319"/>
        <v>0</v>
      </c>
      <c r="PV306" s="21">
        <f t="shared" si="319"/>
        <v>0</v>
      </c>
      <c r="PW306" s="21">
        <f t="shared" si="319"/>
        <v>0</v>
      </c>
      <c r="PX306" s="21">
        <f t="shared" si="319"/>
        <v>0</v>
      </c>
      <c r="PY306" s="21">
        <f t="shared" si="319"/>
        <v>0</v>
      </c>
      <c r="PZ306" s="21">
        <f t="shared" ref="PZ306:QG306" si="320">IF($F$290, 0, IF($I$294, IF(AND(COLUMN($PZ$306)-COLUMN($NV$303)=$Q$291,ROW($PZ$306)-ROW($NV$303)=$K$291), U$290, PZ306), PZ306))</f>
        <v>0</v>
      </c>
      <c r="QA306" s="21">
        <f t="shared" si="320"/>
        <v>0</v>
      </c>
      <c r="QB306" s="21">
        <f t="shared" si="320"/>
        <v>0</v>
      </c>
      <c r="QC306" s="21">
        <f t="shared" si="320"/>
        <v>0</v>
      </c>
      <c r="QD306" s="21">
        <f t="shared" si="320"/>
        <v>0</v>
      </c>
      <c r="QE306" s="21">
        <f t="shared" si="320"/>
        <v>0</v>
      </c>
      <c r="QF306" s="21">
        <f t="shared" si="320"/>
        <v>0</v>
      </c>
      <c r="QG306" s="21">
        <f t="shared" si="320"/>
        <v>0</v>
      </c>
      <c r="QH306" s="21">
        <f t="shared" ref="QH306:QO306" si="321">IF($F$290, 0, IF($J$294, IF(AND(COLUMN($QH$306)-COLUMN($QH$303)=$Q$291,ROW($QH$306)-ROW($QH$303)=$K$291), U$290, QH306), QH306))</f>
        <v>0</v>
      </c>
      <c r="QI306" s="21">
        <f t="shared" si="321"/>
        <v>0</v>
      </c>
      <c r="QJ306" s="21">
        <f t="shared" si="321"/>
        <v>0</v>
      </c>
      <c r="QK306" s="21">
        <f t="shared" si="321"/>
        <v>0</v>
      </c>
      <c r="QL306" s="21">
        <f t="shared" si="321"/>
        <v>0</v>
      </c>
      <c r="QM306" s="21">
        <f t="shared" si="321"/>
        <v>0</v>
      </c>
      <c r="QN306" s="21">
        <f t="shared" si="321"/>
        <v>0</v>
      </c>
      <c r="QO306" s="21">
        <f t="shared" si="321"/>
        <v>0</v>
      </c>
      <c r="QP306" s="21">
        <f t="shared" ref="QP306:QW306" si="322">IF($F$290, 0, IF($J$294, IF(AND(COLUMN($QP$306)-COLUMN($QH$303)=$Q$291,ROW($QP$306)-ROW($QH$303)=$K$291), U$290, QP306), QP306))</f>
        <v>0</v>
      </c>
      <c r="QQ306" s="21">
        <f t="shared" si="322"/>
        <v>0</v>
      </c>
      <c r="QR306" s="21">
        <f t="shared" si="322"/>
        <v>0</v>
      </c>
      <c r="QS306" s="21">
        <f t="shared" si="322"/>
        <v>0</v>
      </c>
      <c r="QT306" s="21">
        <f t="shared" si="322"/>
        <v>0</v>
      </c>
      <c r="QU306" s="21">
        <f t="shared" si="322"/>
        <v>0</v>
      </c>
      <c r="QV306" s="21">
        <f t="shared" si="322"/>
        <v>0</v>
      </c>
      <c r="QW306" s="21">
        <f t="shared" si="322"/>
        <v>0</v>
      </c>
      <c r="QX306" s="21">
        <f t="shared" ref="QX306:RE306" si="323">IF($F$290, 0, IF($J$294, IF(AND(COLUMN($QX$306)-COLUMN($QH$303)=$Q$291,ROW($QX$306)-ROW($QH$303)=$K$291), U$290, QX306), QX306))</f>
        <v>0</v>
      </c>
      <c r="QY306" s="21">
        <f t="shared" si="323"/>
        <v>0</v>
      </c>
      <c r="QZ306" s="21">
        <f t="shared" si="323"/>
        <v>0</v>
      </c>
      <c r="RA306" s="21">
        <f t="shared" si="323"/>
        <v>0</v>
      </c>
      <c r="RB306" s="21">
        <f t="shared" si="323"/>
        <v>0</v>
      </c>
      <c r="RC306" s="21">
        <f t="shared" si="323"/>
        <v>0</v>
      </c>
      <c r="RD306" s="21">
        <f t="shared" si="323"/>
        <v>0</v>
      </c>
      <c r="RE306" s="21">
        <f t="shared" si="323"/>
        <v>0</v>
      </c>
      <c r="RF306" s="21">
        <f t="shared" ref="RF306:RM306" si="324">IF($F$290, 0, IF($J$294, IF(AND(COLUMN($RF$306)-COLUMN($QH$303)=$Q$291,ROW($RF$306)-ROW($QH$303)=$K$291), U$290, RF306), RF306))</f>
        <v>0</v>
      </c>
      <c r="RG306" s="21">
        <f t="shared" si="324"/>
        <v>0</v>
      </c>
      <c r="RH306" s="21">
        <f t="shared" si="324"/>
        <v>0</v>
      </c>
      <c r="RI306" s="21">
        <f t="shared" si="324"/>
        <v>0</v>
      </c>
      <c r="RJ306" s="21">
        <f t="shared" si="324"/>
        <v>0</v>
      </c>
      <c r="RK306" s="21">
        <f t="shared" si="324"/>
        <v>0</v>
      </c>
      <c r="RL306" s="21">
        <f t="shared" si="324"/>
        <v>0</v>
      </c>
      <c r="RM306" s="21">
        <f t="shared" si="324"/>
        <v>0</v>
      </c>
      <c r="RN306" s="21">
        <f t="shared" ref="RN306:RU306" si="325">IF($F$290, 0, IF($J$294, IF(AND(COLUMN($RN$306)-COLUMN($QH$303)=$Q$291,ROW($RN$306)-ROW($QH$303)=$K$291), U$290, RN306), RN306))</f>
        <v>0</v>
      </c>
      <c r="RO306" s="21">
        <f t="shared" si="325"/>
        <v>0</v>
      </c>
      <c r="RP306" s="21">
        <f t="shared" si="325"/>
        <v>0</v>
      </c>
      <c r="RQ306" s="21">
        <f t="shared" si="325"/>
        <v>0</v>
      </c>
      <c r="RR306" s="21">
        <f t="shared" si="325"/>
        <v>0</v>
      </c>
      <c r="RS306" s="21">
        <f t="shared" si="325"/>
        <v>0</v>
      </c>
      <c r="RT306" s="21">
        <f t="shared" si="325"/>
        <v>0</v>
      </c>
      <c r="RU306" s="21">
        <f t="shared" si="325"/>
        <v>0</v>
      </c>
      <c r="RV306" s="21">
        <f t="shared" ref="RV306:SC306" si="326">IF($F$290, 0, IF($J$294, IF(AND(COLUMN($RV$306)-COLUMN($QH$303)=$Q$291,ROW($RV$306)-ROW($QH$303)=$K$291), U$290, RV306), RV306))</f>
        <v>0</v>
      </c>
      <c r="RW306" s="21">
        <f t="shared" si="326"/>
        <v>0</v>
      </c>
      <c r="RX306" s="21">
        <f t="shared" si="326"/>
        <v>0</v>
      </c>
      <c r="RY306" s="21">
        <f t="shared" si="326"/>
        <v>0</v>
      </c>
      <c r="RZ306" s="21">
        <f t="shared" si="326"/>
        <v>0</v>
      </c>
      <c r="SA306" s="21">
        <f t="shared" si="326"/>
        <v>0</v>
      </c>
      <c r="SB306" s="21">
        <f t="shared" si="326"/>
        <v>0</v>
      </c>
      <c r="SC306" s="21">
        <f t="shared" si="326"/>
        <v>0</v>
      </c>
      <c r="SD306" s="21">
        <f t="shared" ref="SD306:SK306" si="327">IF($F$290, 0, IF($J$294, IF(AND(COLUMN($SD$306)-COLUMN($QH$303)=$Q$291,ROW($SD$306)-ROW($QH$303)=$K$291), U$290, SD306), SD306))</f>
        <v>0</v>
      </c>
      <c r="SE306" s="21">
        <f t="shared" si="327"/>
        <v>0</v>
      </c>
      <c r="SF306" s="21">
        <f t="shared" si="327"/>
        <v>0</v>
      </c>
      <c r="SG306" s="21">
        <f t="shared" si="327"/>
        <v>0</v>
      </c>
      <c r="SH306" s="21">
        <f t="shared" si="327"/>
        <v>0</v>
      </c>
      <c r="SI306" s="21">
        <f t="shared" si="327"/>
        <v>0</v>
      </c>
      <c r="SJ306" s="21">
        <f t="shared" si="327"/>
        <v>0</v>
      </c>
      <c r="SK306" s="21">
        <f t="shared" si="327"/>
        <v>0</v>
      </c>
      <c r="SL306" s="21">
        <f t="shared" ref="SL306:SS306" si="328">IF($F$290, 0, IF($J$294, IF(AND(COLUMN($SL$306)-COLUMN($QH$303)=$Q$291,ROW($SL$306)-ROW($QH$303)=$K$291), U$290, SL306), SL306))</f>
        <v>0</v>
      </c>
      <c r="SM306" s="21">
        <f t="shared" si="328"/>
        <v>0</v>
      </c>
      <c r="SN306" s="21">
        <f t="shared" si="328"/>
        <v>0</v>
      </c>
      <c r="SO306" s="21">
        <f t="shared" si="328"/>
        <v>0</v>
      </c>
      <c r="SP306" s="21">
        <f t="shared" si="328"/>
        <v>0</v>
      </c>
      <c r="SQ306" s="21">
        <f t="shared" si="328"/>
        <v>0</v>
      </c>
      <c r="SR306" s="21">
        <f t="shared" si="328"/>
        <v>0</v>
      </c>
      <c r="SS306" s="21">
        <f t="shared" si="328"/>
        <v>0</v>
      </c>
    </row>
    <row r="307" spans="2:513" ht="15" customHeight="1" x14ac:dyDescent="0.25">
      <c r="B307" s="21">
        <f t="shared" ref="B307:I307" si="329">IF($F$290, 0, IF($C$294, IF(AND(COLUMN($B$307)-COLUMN($B$303)=$Q$291,ROW($B$307)-ROW($B$303)=$K$291), U$290, B307), B307))</f>
        <v>0</v>
      </c>
      <c r="C307" s="21">
        <f t="shared" si="329"/>
        <v>0</v>
      </c>
      <c r="D307" s="21">
        <f t="shared" si="329"/>
        <v>0</v>
      </c>
      <c r="E307" s="21">
        <f t="shared" si="329"/>
        <v>0</v>
      </c>
      <c r="F307" s="21">
        <f t="shared" si="329"/>
        <v>0</v>
      </c>
      <c r="G307" s="21">
        <f t="shared" si="329"/>
        <v>0</v>
      </c>
      <c r="H307" s="21">
        <f t="shared" si="329"/>
        <v>0</v>
      </c>
      <c r="I307" s="21">
        <f t="shared" si="329"/>
        <v>0</v>
      </c>
      <c r="J307" s="21">
        <f t="shared" ref="J307:Q307" si="330">IF($F$290, 0, IF($C$294, IF(AND(COLUMN($J$307)-COLUMN($B$303)=$Q$291,ROW($J$307)-ROW($B$303)=$K$291), U$290, J307), J307))</f>
        <v>0</v>
      </c>
      <c r="K307" s="21">
        <f t="shared" si="330"/>
        <v>0</v>
      </c>
      <c r="L307" s="21">
        <f t="shared" si="330"/>
        <v>0</v>
      </c>
      <c r="M307" s="21">
        <f t="shared" si="330"/>
        <v>0</v>
      </c>
      <c r="N307" s="21">
        <f t="shared" si="330"/>
        <v>0</v>
      </c>
      <c r="O307" s="21">
        <f t="shared" si="330"/>
        <v>0</v>
      </c>
      <c r="P307" s="21">
        <f t="shared" si="330"/>
        <v>0</v>
      </c>
      <c r="Q307" s="21">
        <f t="shared" si="330"/>
        <v>0</v>
      </c>
      <c r="R307" s="21">
        <f>IF($F$290, 0, IF($C$294, IF(AND(COLUMN($R$307)-COLUMN($B$303)=$Q$291,ROW($R$307)-ROW($B$303)=$K$291), U$290, R307), R307))</f>
        <v>0</v>
      </c>
      <c r="S307" s="21">
        <f t="shared" ref="S307:Y307" si="331">IF($F$290, 0, IF($C$294, IF(AND(COLUMN($R$307)-COLUMN($B$303)=$Q$291,ROW($R$307)-ROW($B$303)=$K$291), V$290, S307), S307))</f>
        <v>0</v>
      </c>
      <c r="T307" s="21">
        <f t="shared" si="331"/>
        <v>0</v>
      </c>
      <c r="U307" s="21">
        <f t="shared" si="331"/>
        <v>0</v>
      </c>
      <c r="V307" s="21">
        <f t="shared" si="331"/>
        <v>0</v>
      </c>
      <c r="W307" s="21">
        <f t="shared" si="331"/>
        <v>0</v>
      </c>
      <c r="X307" s="21">
        <f t="shared" si="331"/>
        <v>0</v>
      </c>
      <c r="Y307" s="21">
        <f t="shared" si="331"/>
        <v>0</v>
      </c>
      <c r="Z307" s="21">
        <f t="shared" ref="Z307:AG307" si="332">IF($F$290, 0, IF($C$294, IF(AND(COLUMN($Z$307)-COLUMN($B$303)=$Q$291,ROW($Z$307)-ROW($B$303)=$K$291), U$290, Z307), Z307))</f>
        <v>0</v>
      </c>
      <c r="AA307" s="21">
        <f t="shared" si="332"/>
        <v>0</v>
      </c>
      <c r="AB307" s="21">
        <f t="shared" si="332"/>
        <v>0</v>
      </c>
      <c r="AC307" s="21">
        <f t="shared" si="332"/>
        <v>0</v>
      </c>
      <c r="AD307" s="21">
        <f t="shared" si="332"/>
        <v>0</v>
      </c>
      <c r="AE307" s="21">
        <f t="shared" si="332"/>
        <v>0</v>
      </c>
      <c r="AF307" s="21">
        <f t="shared" si="332"/>
        <v>0</v>
      </c>
      <c r="AG307" s="21">
        <f t="shared" si="332"/>
        <v>0</v>
      </c>
      <c r="AH307" s="21">
        <f t="shared" ref="AH307:AO307" si="333">IF($F$290, 0, IF($C$294, IF(AND(COLUMN($AH$307)-COLUMN($B$303)=$Q$291,ROW($AH$307)-ROW($B$303)=$K$291), U$290, AH307), AH307))</f>
        <v>0</v>
      </c>
      <c r="AI307" s="21">
        <f t="shared" si="333"/>
        <v>0</v>
      </c>
      <c r="AJ307" s="21">
        <f t="shared" si="333"/>
        <v>0</v>
      </c>
      <c r="AK307" s="21">
        <f t="shared" si="333"/>
        <v>0</v>
      </c>
      <c r="AL307" s="21">
        <f t="shared" si="333"/>
        <v>0</v>
      </c>
      <c r="AM307" s="21">
        <f t="shared" si="333"/>
        <v>0</v>
      </c>
      <c r="AN307" s="21">
        <f t="shared" si="333"/>
        <v>0</v>
      </c>
      <c r="AO307" s="21">
        <f t="shared" si="333"/>
        <v>0</v>
      </c>
      <c r="AP307" s="21">
        <f t="shared" ref="AP307:AW307" si="334">IF($F$290, 0, IF($C$294, IF(AND(COLUMN($AP$307)-COLUMN($B$303)=$Q$291,ROW($AP$307)-ROW($B$303)=$K$291), U$290, AP307), AP307))</f>
        <v>0</v>
      </c>
      <c r="AQ307" s="21">
        <f t="shared" si="334"/>
        <v>0</v>
      </c>
      <c r="AR307" s="21">
        <f t="shared" si="334"/>
        <v>0</v>
      </c>
      <c r="AS307" s="21">
        <f t="shared" si="334"/>
        <v>0</v>
      </c>
      <c r="AT307" s="21">
        <f t="shared" si="334"/>
        <v>0</v>
      </c>
      <c r="AU307" s="21">
        <f t="shared" si="334"/>
        <v>0</v>
      </c>
      <c r="AV307" s="21">
        <f t="shared" si="334"/>
        <v>0</v>
      </c>
      <c r="AW307" s="21">
        <f t="shared" si="334"/>
        <v>0</v>
      </c>
      <c r="AX307" s="21">
        <f t="shared" ref="AX307:BE307" si="335">IF($F$290, 0, IF($C$294, IF(AND(COLUMN($AX$307)-COLUMN($B$303)=$Q$291,ROW($AX$307)-ROW($B$303)=$K$291), U$290, AX307), AX307))</f>
        <v>0</v>
      </c>
      <c r="AY307" s="21">
        <f t="shared" si="335"/>
        <v>0</v>
      </c>
      <c r="AZ307" s="21">
        <f t="shared" si="335"/>
        <v>0</v>
      </c>
      <c r="BA307" s="21">
        <f t="shared" si="335"/>
        <v>0</v>
      </c>
      <c r="BB307" s="21">
        <f t="shared" si="335"/>
        <v>0</v>
      </c>
      <c r="BC307" s="21">
        <f t="shared" si="335"/>
        <v>0</v>
      </c>
      <c r="BD307" s="21">
        <f t="shared" si="335"/>
        <v>0</v>
      </c>
      <c r="BE307" s="21">
        <f t="shared" si="335"/>
        <v>0</v>
      </c>
      <c r="BF307" s="21">
        <f t="shared" ref="BF307:BM307" si="336">IF($F$290, 0, IF($C$294, IF(AND(COLUMN($BF$307)-COLUMN($B$303)=$Q$291,ROW($BF$307)-ROW($B$303)=$K$291), U$290, BF307), BF307))</f>
        <v>0</v>
      </c>
      <c r="BG307" s="21">
        <f t="shared" si="336"/>
        <v>0</v>
      </c>
      <c r="BH307" s="21">
        <f t="shared" si="336"/>
        <v>0</v>
      </c>
      <c r="BI307" s="21">
        <f t="shared" si="336"/>
        <v>0</v>
      </c>
      <c r="BJ307" s="21">
        <f t="shared" si="336"/>
        <v>0</v>
      </c>
      <c r="BK307" s="21">
        <f t="shared" si="336"/>
        <v>0</v>
      </c>
      <c r="BL307" s="21">
        <f t="shared" si="336"/>
        <v>0</v>
      </c>
      <c r="BM307" s="21">
        <f t="shared" si="336"/>
        <v>0</v>
      </c>
      <c r="BN307" s="21">
        <f t="shared" ref="BN307:BU307" si="337">IF($F$290, 0, IF($D$294, IF(AND(COLUMN($BN$307)-COLUMN($BN$303)=$Q$291,ROW($BN$307)-ROW($BN$303)=$K$291), U$290, BN307), BN307))</f>
        <v>0</v>
      </c>
      <c r="BO307" s="21">
        <f t="shared" si="337"/>
        <v>0</v>
      </c>
      <c r="BP307" s="21">
        <f t="shared" si="337"/>
        <v>0</v>
      </c>
      <c r="BQ307" s="21">
        <f t="shared" si="337"/>
        <v>0</v>
      </c>
      <c r="BR307" s="21">
        <f t="shared" si="337"/>
        <v>0</v>
      </c>
      <c r="BS307" s="21">
        <f t="shared" si="337"/>
        <v>0</v>
      </c>
      <c r="BT307" s="21">
        <f t="shared" si="337"/>
        <v>0</v>
      </c>
      <c r="BU307" s="21">
        <f t="shared" si="337"/>
        <v>0</v>
      </c>
      <c r="BV307" s="21">
        <f t="shared" ref="BV307:CC307" si="338">IF($F$290, 0, IF($D$294, IF(AND(COLUMN($BV$307)-COLUMN($BN$303)=$Q$291,ROW($BV$307)-ROW($BN$303)=$K$291), U$290, BV307), BV307))</f>
        <v>0</v>
      </c>
      <c r="BW307" s="21">
        <f t="shared" si="338"/>
        <v>0</v>
      </c>
      <c r="BX307" s="21">
        <f t="shared" si="338"/>
        <v>0</v>
      </c>
      <c r="BY307" s="21">
        <f t="shared" si="338"/>
        <v>0</v>
      </c>
      <c r="BZ307" s="21">
        <f t="shared" si="338"/>
        <v>0</v>
      </c>
      <c r="CA307" s="21">
        <f t="shared" si="338"/>
        <v>0</v>
      </c>
      <c r="CB307" s="21">
        <f t="shared" si="338"/>
        <v>0</v>
      </c>
      <c r="CC307" s="21">
        <f t="shared" si="338"/>
        <v>0</v>
      </c>
      <c r="CD307" s="21">
        <f t="shared" ref="CD307:CK307" si="339">IF($F$290, 0, IF($D$294, IF(AND(COLUMN($CD$307)-COLUMN($BN$303)=$Q$291,ROW($CD$307)-ROW($BN$303)=$K$291), U$290, CD307), CD307))</f>
        <v>0</v>
      </c>
      <c r="CE307" s="21">
        <f t="shared" si="339"/>
        <v>0</v>
      </c>
      <c r="CF307" s="21">
        <f t="shared" si="339"/>
        <v>0</v>
      </c>
      <c r="CG307" s="21">
        <f t="shared" si="339"/>
        <v>0</v>
      </c>
      <c r="CH307" s="21">
        <f t="shared" si="339"/>
        <v>0</v>
      </c>
      <c r="CI307" s="21">
        <f t="shared" si="339"/>
        <v>0</v>
      </c>
      <c r="CJ307" s="21">
        <f t="shared" si="339"/>
        <v>0</v>
      </c>
      <c r="CK307" s="21">
        <f t="shared" si="339"/>
        <v>0</v>
      </c>
      <c r="CL307" s="21">
        <f t="shared" ref="CL307:CS307" si="340">IF($F$290, 0, IF($D$294, IF(AND(COLUMN($CL$307)-COLUMN($BN$303)=$Q$291,ROW($CL$307)-ROW($BN$303)=$K$291), U$290, CL307), CL307))</f>
        <v>0</v>
      </c>
      <c r="CM307" s="21">
        <f t="shared" si="340"/>
        <v>0</v>
      </c>
      <c r="CN307" s="21">
        <f t="shared" si="340"/>
        <v>0</v>
      </c>
      <c r="CO307" s="21">
        <f t="shared" si="340"/>
        <v>0</v>
      </c>
      <c r="CP307" s="21">
        <f t="shared" si="340"/>
        <v>0</v>
      </c>
      <c r="CQ307" s="21">
        <f t="shared" si="340"/>
        <v>0</v>
      </c>
      <c r="CR307" s="21">
        <f t="shared" si="340"/>
        <v>0</v>
      </c>
      <c r="CS307" s="21">
        <f t="shared" si="340"/>
        <v>0</v>
      </c>
      <c r="CT307" s="21">
        <f t="shared" ref="CT307:DA307" si="341">IF($F$290, 0, IF($D$294, IF(AND(COLUMN($CT$307)-COLUMN($BN$303)=$Q$291,ROW($CT$307)-ROW($BN$303)=$K$291), U$290, CT307), CT307))</f>
        <v>0</v>
      </c>
      <c r="CU307" s="21">
        <f t="shared" si="341"/>
        <v>0</v>
      </c>
      <c r="CV307" s="21">
        <f t="shared" si="341"/>
        <v>0</v>
      </c>
      <c r="CW307" s="21">
        <f t="shared" si="341"/>
        <v>0</v>
      </c>
      <c r="CX307" s="21">
        <f t="shared" si="341"/>
        <v>0</v>
      </c>
      <c r="CY307" s="21">
        <f t="shared" si="341"/>
        <v>0</v>
      </c>
      <c r="CZ307" s="21">
        <f t="shared" si="341"/>
        <v>0</v>
      </c>
      <c r="DA307" s="21">
        <f t="shared" si="341"/>
        <v>0</v>
      </c>
      <c r="DB307" s="21">
        <f t="shared" ref="DB307:DI307" si="342">IF($F$290, 0, IF($D$294, IF(AND(COLUMN($DB$307)-COLUMN($BN$303)=$Q$291,ROW($DB$307)-ROW($BN$303)=$K$291), U$290, DB307), DB307))</f>
        <v>0</v>
      </c>
      <c r="DC307" s="21">
        <f t="shared" si="342"/>
        <v>0</v>
      </c>
      <c r="DD307" s="21">
        <f t="shared" si="342"/>
        <v>0</v>
      </c>
      <c r="DE307" s="21">
        <f t="shared" si="342"/>
        <v>0</v>
      </c>
      <c r="DF307" s="21">
        <f t="shared" si="342"/>
        <v>0</v>
      </c>
      <c r="DG307" s="21">
        <f t="shared" si="342"/>
        <v>0</v>
      </c>
      <c r="DH307" s="21">
        <f t="shared" si="342"/>
        <v>0</v>
      </c>
      <c r="DI307" s="21">
        <f t="shared" si="342"/>
        <v>0</v>
      </c>
      <c r="DJ307" s="21">
        <f t="shared" ref="DJ307:DQ307" si="343">IF($F$290, 0, IF($D$294, IF(AND(COLUMN($DJ$307)-COLUMN($BN$303)=$Q$291,ROW($DJ$307)-ROW($BN$303)=$K$291), U$290, DJ307), DJ307))</f>
        <v>0</v>
      </c>
      <c r="DK307" s="21">
        <f t="shared" si="343"/>
        <v>0</v>
      </c>
      <c r="DL307" s="21">
        <f t="shared" si="343"/>
        <v>0</v>
      </c>
      <c r="DM307" s="21">
        <f t="shared" si="343"/>
        <v>0</v>
      </c>
      <c r="DN307" s="21">
        <f t="shared" si="343"/>
        <v>0</v>
      </c>
      <c r="DO307" s="21">
        <f t="shared" si="343"/>
        <v>0</v>
      </c>
      <c r="DP307" s="21">
        <f t="shared" si="343"/>
        <v>0</v>
      </c>
      <c r="DQ307" s="21">
        <f t="shared" si="343"/>
        <v>0</v>
      </c>
      <c r="DR307" s="21">
        <f t="shared" ref="DR307:DY307" si="344">IF($F$290, 0, IF($D$294, IF(AND(COLUMN($DR$307)-COLUMN($BN$303)=$Q$291,ROW($DR$307)-ROW($BN$303)=$K$291), U$290, DR307), DR307))</f>
        <v>0</v>
      </c>
      <c r="DS307" s="21">
        <f t="shared" si="344"/>
        <v>0</v>
      </c>
      <c r="DT307" s="21">
        <f t="shared" si="344"/>
        <v>0</v>
      </c>
      <c r="DU307" s="21">
        <f t="shared" si="344"/>
        <v>0</v>
      </c>
      <c r="DV307" s="21">
        <f t="shared" si="344"/>
        <v>0</v>
      </c>
      <c r="DW307" s="21">
        <f t="shared" si="344"/>
        <v>0</v>
      </c>
      <c r="DX307" s="21">
        <f t="shared" si="344"/>
        <v>0</v>
      </c>
      <c r="DY307" s="21">
        <f t="shared" si="344"/>
        <v>0</v>
      </c>
      <c r="DZ307" s="21">
        <f t="shared" ref="DZ307:EG307" si="345">IF($F$290, 0, IF($E$294, IF(AND(COLUMN($DZ$307)-COLUMN($DZ$303)=$Q$291,ROW($DZ$307)-ROW($DZ$303)=$K$291), U$290, DZ307), DZ307))</f>
        <v>0</v>
      </c>
      <c r="EA307" s="21">
        <f t="shared" si="345"/>
        <v>0</v>
      </c>
      <c r="EB307" s="21">
        <f t="shared" si="345"/>
        <v>0</v>
      </c>
      <c r="EC307" s="21">
        <f t="shared" si="345"/>
        <v>0</v>
      </c>
      <c r="ED307" s="21">
        <f t="shared" si="345"/>
        <v>0</v>
      </c>
      <c r="EE307" s="21">
        <f t="shared" si="345"/>
        <v>0</v>
      </c>
      <c r="EF307" s="21">
        <f t="shared" si="345"/>
        <v>0</v>
      </c>
      <c r="EG307" s="21">
        <f t="shared" si="345"/>
        <v>0</v>
      </c>
      <c r="EH307" s="21">
        <f t="shared" ref="EH307:EO307" si="346">IF($F$290, 0, IF($E$294, IF(AND(COLUMN($EH$307)-COLUMN($DZ$303)=$Q$291,ROW($EH$307)-ROW($DZ$303)=$K$291), U$290, EH307), EH307))</f>
        <v>0</v>
      </c>
      <c r="EI307" s="21">
        <f t="shared" si="346"/>
        <v>0</v>
      </c>
      <c r="EJ307" s="21">
        <f t="shared" si="346"/>
        <v>0</v>
      </c>
      <c r="EK307" s="21">
        <f t="shared" si="346"/>
        <v>0</v>
      </c>
      <c r="EL307" s="21">
        <f t="shared" si="346"/>
        <v>0</v>
      </c>
      <c r="EM307" s="21">
        <f t="shared" si="346"/>
        <v>0</v>
      </c>
      <c r="EN307" s="21">
        <f t="shared" si="346"/>
        <v>0</v>
      </c>
      <c r="EO307" s="21">
        <f t="shared" si="346"/>
        <v>0</v>
      </c>
      <c r="EP307" s="21">
        <f t="shared" ref="EP307:EW307" si="347">IF($F$290, 0, IF($E$294, IF(AND(COLUMN($EP$307)-COLUMN($DZ$303)=$Q$291,ROW($EP$307)-ROW($DZ$303)=$K$291), U$290, EP307), EP307))</f>
        <v>0</v>
      </c>
      <c r="EQ307" s="21">
        <f t="shared" si="347"/>
        <v>0</v>
      </c>
      <c r="ER307" s="21">
        <f t="shared" si="347"/>
        <v>0</v>
      </c>
      <c r="ES307" s="21">
        <f t="shared" si="347"/>
        <v>0</v>
      </c>
      <c r="ET307" s="21">
        <f t="shared" si="347"/>
        <v>0</v>
      </c>
      <c r="EU307" s="21">
        <f t="shared" si="347"/>
        <v>0</v>
      </c>
      <c r="EV307" s="21">
        <f t="shared" si="347"/>
        <v>0</v>
      </c>
      <c r="EW307" s="21">
        <f t="shared" si="347"/>
        <v>0</v>
      </c>
      <c r="EX307" s="21">
        <f t="shared" ref="EX307:FE307" si="348">IF($F$290, 0, IF($E$294, IF(AND(COLUMN($EX$307)-COLUMN($DZ$303)=$Q$291,ROW($EX$307)-ROW($DZ$303)=$K$291), U$290, EX307), EX307))</f>
        <v>0</v>
      </c>
      <c r="EY307" s="21">
        <f t="shared" si="348"/>
        <v>0</v>
      </c>
      <c r="EZ307" s="21">
        <f t="shared" si="348"/>
        <v>0</v>
      </c>
      <c r="FA307" s="21">
        <f t="shared" si="348"/>
        <v>0</v>
      </c>
      <c r="FB307" s="21">
        <f t="shared" si="348"/>
        <v>0</v>
      </c>
      <c r="FC307" s="21">
        <f t="shared" si="348"/>
        <v>0</v>
      </c>
      <c r="FD307" s="21">
        <f t="shared" si="348"/>
        <v>0</v>
      </c>
      <c r="FE307" s="21">
        <f t="shared" si="348"/>
        <v>0</v>
      </c>
      <c r="FF307" s="21">
        <f t="shared" ref="FF307:FM307" si="349">IF($F$290, 0, IF($E$294, IF(AND(COLUMN($FF$307)-COLUMN($DZ$303)=$Q$291,ROW($FF$307)-ROW($DZ$303)=$K$291), U$290, FF307), FF307))</f>
        <v>0</v>
      </c>
      <c r="FG307" s="21">
        <f t="shared" si="349"/>
        <v>0</v>
      </c>
      <c r="FH307" s="21">
        <f t="shared" si="349"/>
        <v>0</v>
      </c>
      <c r="FI307" s="21">
        <f t="shared" si="349"/>
        <v>0</v>
      </c>
      <c r="FJ307" s="21">
        <f t="shared" si="349"/>
        <v>0</v>
      </c>
      <c r="FK307" s="21">
        <f t="shared" si="349"/>
        <v>0</v>
      </c>
      <c r="FL307" s="21">
        <f t="shared" si="349"/>
        <v>0</v>
      </c>
      <c r="FM307" s="21">
        <f t="shared" si="349"/>
        <v>0</v>
      </c>
      <c r="FN307" s="21">
        <f t="shared" ref="FN307:FU307" si="350">IF($F$290, 0, IF($E$294, IF(AND(COLUMN($FN$307)-COLUMN($DZ$303)=$Q$291,ROW($FN$307)-ROW($DZ$303)=$K$291), U$290, FN307), FN307))</f>
        <v>0</v>
      </c>
      <c r="FO307" s="21">
        <f t="shared" si="350"/>
        <v>0</v>
      </c>
      <c r="FP307" s="21">
        <f t="shared" si="350"/>
        <v>0</v>
      </c>
      <c r="FQ307" s="21">
        <f t="shared" si="350"/>
        <v>0</v>
      </c>
      <c r="FR307" s="21">
        <f t="shared" si="350"/>
        <v>0</v>
      </c>
      <c r="FS307" s="21">
        <f t="shared" si="350"/>
        <v>0</v>
      </c>
      <c r="FT307" s="21">
        <f t="shared" si="350"/>
        <v>0</v>
      </c>
      <c r="FU307" s="21">
        <f t="shared" si="350"/>
        <v>0</v>
      </c>
      <c r="FV307" s="21">
        <f t="shared" ref="FV307:GC307" si="351">IF($F$290, 0, IF($E$294, IF(AND(COLUMN($FV$307)-COLUMN($DZ$303)=$Q$291,ROW($FV$307)-ROW($DZ$303)=$K$291), U$290, FV307), FV307))</f>
        <v>0</v>
      </c>
      <c r="FW307" s="21">
        <f t="shared" si="351"/>
        <v>0</v>
      </c>
      <c r="FX307" s="21">
        <f t="shared" si="351"/>
        <v>0</v>
      </c>
      <c r="FY307" s="21">
        <f t="shared" si="351"/>
        <v>0</v>
      </c>
      <c r="FZ307" s="21">
        <f t="shared" si="351"/>
        <v>0</v>
      </c>
      <c r="GA307" s="21">
        <f t="shared" si="351"/>
        <v>0</v>
      </c>
      <c r="GB307" s="21">
        <f t="shared" si="351"/>
        <v>0</v>
      </c>
      <c r="GC307" s="21">
        <f t="shared" si="351"/>
        <v>0</v>
      </c>
      <c r="GD307" s="21">
        <f t="shared" ref="GD307:GK307" si="352">IF($F$290, 0, IF($E$294, IF(AND(COLUMN($GD$307)-COLUMN($DZ$303)=$Q$291,ROW($GD$307)-ROW($DZ$303)=$K$291), U$290, GD307), GD307))</f>
        <v>0</v>
      </c>
      <c r="GE307" s="21">
        <f t="shared" si="352"/>
        <v>0</v>
      </c>
      <c r="GF307" s="21">
        <f t="shared" si="352"/>
        <v>0</v>
      </c>
      <c r="GG307" s="21">
        <f t="shared" si="352"/>
        <v>0</v>
      </c>
      <c r="GH307" s="21">
        <f t="shared" si="352"/>
        <v>0</v>
      </c>
      <c r="GI307" s="21">
        <f t="shared" si="352"/>
        <v>0</v>
      </c>
      <c r="GJ307" s="21">
        <f t="shared" si="352"/>
        <v>0</v>
      </c>
      <c r="GK307" s="21">
        <f t="shared" si="352"/>
        <v>0</v>
      </c>
      <c r="GL307" s="21">
        <f t="shared" ref="GL307:GS307" si="353">IF($F$290, 0, IF($F$294, IF(AND(COLUMN($GL$307)-COLUMN($GL$303)=$Q$291,ROW($GL$307)-ROW($GL$303)=$K$291), U$290, GL307), GL307))</f>
        <v>0</v>
      </c>
      <c r="GM307" s="21">
        <f t="shared" si="353"/>
        <v>0</v>
      </c>
      <c r="GN307" s="21">
        <f t="shared" si="353"/>
        <v>0</v>
      </c>
      <c r="GO307" s="21">
        <f t="shared" si="353"/>
        <v>0</v>
      </c>
      <c r="GP307" s="21">
        <f t="shared" si="353"/>
        <v>0</v>
      </c>
      <c r="GQ307" s="21">
        <f t="shared" si="353"/>
        <v>0</v>
      </c>
      <c r="GR307" s="21">
        <f t="shared" si="353"/>
        <v>0</v>
      </c>
      <c r="GS307" s="21">
        <f t="shared" si="353"/>
        <v>0</v>
      </c>
      <c r="GT307" s="21">
        <f t="shared" ref="GT307:HA307" si="354">IF($F$290, 0, IF($F$294, IF(AND(COLUMN($GT$307)-COLUMN($GL$303)=$Q$291,ROW($GT$307)-ROW($GL$303)=$K$291), U$290, GT307), GT307))</f>
        <v>0</v>
      </c>
      <c r="GU307" s="21">
        <f t="shared" si="354"/>
        <v>0</v>
      </c>
      <c r="GV307" s="21">
        <f t="shared" si="354"/>
        <v>0</v>
      </c>
      <c r="GW307" s="21">
        <f t="shared" si="354"/>
        <v>0</v>
      </c>
      <c r="GX307" s="21">
        <f t="shared" si="354"/>
        <v>0</v>
      </c>
      <c r="GY307" s="21">
        <f t="shared" si="354"/>
        <v>0</v>
      </c>
      <c r="GZ307" s="21">
        <f t="shared" si="354"/>
        <v>0</v>
      </c>
      <c r="HA307" s="21">
        <f t="shared" si="354"/>
        <v>0</v>
      </c>
      <c r="HB307" s="21">
        <f t="shared" ref="HB307:HI307" si="355">IF($F$290, 0, IF($F$294, IF(AND(COLUMN($HB$307)-COLUMN($GL$303)=$Q$291,ROW($HB$307)-ROW($GL$303)=$K$291), U$290, HB307), HB307))</f>
        <v>0</v>
      </c>
      <c r="HC307" s="21">
        <f t="shared" si="355"/>
        <v>0</v>
      </c>
      <c r="HD307" s="21">
        <f t="shared" si="355"/>
        <v>0</v>
      </c>
      <c r="HE307" s="21">
        <f t="shared" si="355"/>
        <v>0</v>
      </c>
      <c r="HF307" s="21">
        <f t="shared" si="355"/>
        <v>0</v>
      </c>
      <c r="HG307" s="21">
        <f t="shared" si="355"/>
        <v>0</v>
      </c>
      <c r="HH307" s="21">
        <f t="shared" si="355"/>
        <v>0</v>
      </c>
      <c r="HI307" s="21">
        <f t="shared" si="355"/>
        <v>0</v>
      </c>
      <c r="HJ307" s="21">
        <f t="shared" ref="HJ307:HQ307" si="356">IF($F$290, 0, IF($F$294, IF(AND(COLUMN($HJ$307)-COLUMN($GL$303)=$Q$291,ROW($HJ$307)-ROW($GL$303)=$K$291), U$290, HJ307), HJ307))</f>
        <v>0</v>
      </c>
      <c r="HK307" s="21">
        <f t="shared" si="356"/>
        <v>0</v>
      </c>
      <c r="HL307" s="21">
        <f t="shared" si="356"/>
        <v>0</v>
      </c>
      <c r="HM307" s="21">
        <f t="shared" si="356"/>
        <v>0</v>
      </c>
      <c r="HN307" s="21">
        <f t="shared" si="356"/>
        <v>0</v>
      </c>
      <c r="HO307" s="21">
        <f t="shared" si="356"/>
        <v>0</v>
      </c>
      <c r="HP307" s="21">
        <f t="shared" si="356"/>
        <v>0</v>
      </c>
      <c r="HQ307" s="21">
        <f t="shared" si="356"/>
        <v>0</v>
      </c>
      <c r="HR307" s="21">
        <f t="shared" ref="HR307:HY307" si="357">IF($F$290, 0, IF($F$294, IF(AND(COLUMN($HR$307)-COLUMN($GL$303)=$Q$291,ROW($HR$307)-ROW($GL$303)=$K$291), U$290, HR307), HR307))</f>
        <v>0</v>
      </c>
      <c r="HS307" s="21">
        <f t="shared" si="357"/>
        <v>0</v>
      </c>
      <c r="HT307" s="21">
        <f t="shared" si="357"/>
        <v>0</v>
      </c>
      <c r="HU307" s="21">
        <f t="shared" si="357"/>
        <v>0</v>
      </c>
      <c r="HV307" s="21">
        <f t="shared" si="357"/>
        <v>0</v>
      </c>
      <c r="HW307" s="21">
        <f t="shared" si="357"/>
        <v>0</v>
      </c>
      <c r="HX307" s="21">
        <f t="shared" si="357"/>
        <v>0</v>
      </c>
      <c r="HY307" s="21">
        <f t="shared" si="357"/>
        <v>0</v>
      </c>
      <c r="HZ307" s="21">
        <f t="shared" ref="HZ307:IG307" si="358">IF($F$290, 0, IF($F$294, IF(AND(COLUMN($HZ$307)-COLUMN($GL$303)=$Q$291,ROW($HZ$307)-ROW($GL$303)=$K$291), U$290, HZ307), HZ307))</f>
        <v>0</v>
      </c>
      <c r="IA307" s="21">
        <f t="shared" si="358"/>
        <v>0</v>
      </c>
      <c r="IB307" s="21">
        <f t="shared" si="358"/>
        <v>0</v>
      </c>
      <c r="IC307" s="21">
        <f t="shared" si="358"/>
        <v>0</v>
      </c>
      <c r="ID307" s="21">
        <f t="shared" si="358"/>
        <v>0</v>
      </c>
      <c r="IE307" s="21">
        <f t="shared" si="358"/>
        <v>0</v>
      </c>
      <c r="IF307" s="21">
        <f t="shared" si="358"/>
        <v>0</v>
      </c>
      <c r="IG307" s="21">
        <f t="shared" si="358"/>
        <v>0</v>
      </c>
      <c r="IH307" s="21">
        <f t="shared" ref="IH307:IO307" si="359">IF($F$290, 0, IF($F$294, IF(AND(COLUMN($IH$307)-COLUMN($GL$303)=$Q$291,ROW($IH$307)-ROW($GL$303)=$K$291), U$290, IH307), IH307))</f>
        <v>0</v>
      </c>
      <c r="II307" s="21">
        <f t="shared" si="359"/>
        <v>0</v>
      </c>
      <c r="IJ307" s="21">
        <f t="shared" si="359"/>
        <v>0</v>
      </c>
      <c r="IK307" s="21">
        <f t="shared" si="359"/>
        <v>0</v>
      </c>
      <c r="IL307" s="21">
        <f t="shared" si="359"/>
        <v>0</v>
      </c>
      <c r="IM307" s="21">
        <f t="shared" si="359"/>
        <v>0</v>
      </c>
      <c r="IN307" s="21">
        <f t="shared" si="359"/>
        <v>0</v>
      </c>
      <c r="IO307" s="21">
        <f t="shared" si="359"/>
        <v>0</v>
      </c>
      <c r="IP307" s="21">
        <f t="shared" ref="IP307:IW307" si="360">IF($F$290, 0, IF($F$294, IF(AND(COLUMN($IP$307)-COLUMN($GL$303)=$Q$291,ROW($IP$307)-ROW($GL$303)=$K$291), U$290, IP307), IP307))</f>
        <v>0</v>
      </c>
      <c r="IQ307" s="21">
        <f t="shared" si="360"/>
        <v>0</v>
      </c>
      <c r="IR307" s="21">
        <f t="shared" si="360"/>
        <v>0</v>
      </c>
      <c r="IS307" s="21">
        <f t="shared" si="360"/>
        <v>0</v>
      </c>
      <c r="IT307" s="21">
        <f t="shared" si="360"/>
        <v>0</v>
      </c>
      <c r="IU307" s="21">
        <f t="shared" si="360"/>
        <v>0</v>
      </c>
      <c r="IV307" s="21">
        <f t="shared" si="360"/>
        <v>0</v>
      </c>
      <c r="IW307" s="21">
        <f t="shared" si="360"/>
        <v>0</v>
      </c>
      <c r="IX307" s="21">
        <f t="shared" ref="IX307:JE307" si="361">IF($F$290, 0, IF($G$294, IF(AND(COLUMN($IX$307)-COLUMN($IX$303)=$Q$291,ROW($IX$307)-ROW($IX$303)=$K$291), U$290, IX307), IX307))</f>
        <v>0</v>
      </c>
      <c r="IY307" s="21">
        <f t="shared" si="361"/>
        <v>0</v>
      </c>
      <c r="IZ307" s="21">
        <f t="shared" si="361"/>
        <v>0</v>
      </c>
      <c r="JA307" s="21">
        <f t="shared" si="361"/>
        <v>0</v>
      </c>
      <c r="JB307" s="21">
        <f t="shared" si="361"/>
        <v>0</v>
      </c>
      <c r="JC307" s="21">
        <f t="shared" si="361"/>
        <v>0</v>
      </c>
      <c r="JD307" s="21">
        <f t="shared" si="361"/>
        <v>0</v>
      </c>
      <c r="JE307" s="21">
        <f t="shared" si="361"/>
        <v>0</v>
      </c>
      <c r="JF307" s="21">
        <f t="shared" ref="JF307:JM307" si="362">IF($F$290, 0, IF($G$294, IF(AND(COLUMN($JF$307)-COLUMN($IX$303)=$Q$291,ROW($JF$307)-ROW($IX$303)=$K$291), U$290, JF307), JF307))</f>
        <v>0</v>
      </c>
      <c r="JG307" s="21">
        <f t="shared" si="362"/>
        <v>0</v>
      </c>
      <c r="JH307" s="21">
        <f t="shared" si="362"/>
        <v>0</v>
      </c>
      <c r="JI307" s="21">
        <f t="shared" si="362"/>
        <v>0</v>
      </c>
      <c r="JJ307" s="21">
        <f t="shared" si="362"/>
        <v>0</v>
      </c>
      <c r="JK307" s="21">
        <f t="shared" si="362"/>
        <v>0</v>
      </c>
      <c r="JL307" s="21">
        <f t="shared" si="362"/>
        <v>0</v>
      </c>
      <c r="JM307" s="21">
        <f t="shared" si="362"/>
        <v>0</v>
      </c>
      <c r="JN307" s="21">
        <f t="shared" ref="JN307:JU307" si="363">IF($F$290, 0, IF($G$294, IF(AND(COLUMN($JN$307)-COLUMN($IX$303)=$Q$291,ROW($JN$307)-ROW($IX$303)=$K$291), U$290, JN307), JN307))</f>
        <v>0</v>
      </c>
      <c r="JO307" s="21">
        <f t="shared" si="363"/>
        <v>0</v>
      </c>
      <c r="JP307" s="21">
        <f t="shared" si="363"/>
        <v>0</v>
      </c>
      <c r="JQ307" s="21">
        <f t="shared" si="363"/>
        <v>0</v>
      </c>
      <c r="JR307" s="21">
        <f t="shared" si="363"/>
        <v>0</v>
      </c>
      <c r="JS307" s="21">
        <f t="shared" si="363"/>
        <v>0</v>
      </c>
      <c r="JT307" s="21">
        <f t="shared" si="363"/>
        <v>0</v>
      </c>
      <c r="JU307" s="21">
        <f t="shared" si="363"/>
        <v>0</v>
      </c>
      <c r="JV307" s="21">
        <f t="shared" ref="JV307:KC307" si="364">IF($F$290, 0, IF($G$294, IF(AND(COLUMN($JV$307)-COLUMN($IX$303)=$Q$291,ROW($JV$307)-ROW($IX$303)=$K$291), U$290, JV307), JV307))</f>
        <v>0</v>
      </c>
      <c r="JW307" s="21">
        <f t="shared" si="364"/>
        <v>0</v>
      </c>
      <c r="JX307" s="21">
        <f t="shared" si="364"/>
        <v>0</v>
      </c>
      <c r="JY307" s="21">
        <f t="shared" si="364"/>
        <v>0</v>
      </c>
      <c r="JZ307" s="21">
        <f t="shared" si="364"/>
        <v>0</v>
      </c>
      <c r="KA307" s="21">
        <f t="shared" si="364"/>
        <v>0</v>
      </c>
      <c r="KB307" s="21">
        <f t="shared" si="364"/>
        <v>0</v>
      </c>
      <c r="KC307" s="21">
        <f t="shared" si="364"/>
        <v>0</v>
      </c>
      <c r="KD307" s="21">
        <f t="shared" ref="KD307:KK307" si="365">IF($F$290, 0, IF($G$294, IF(AND(COLUMN($KD$307)-COLUMN($IX$303)=$Q$291,ROW($KD$307)-ROW($IX$303)=$K$291), U$290, KD307), KD307))</f>
        <v>0</v>
      </c>
      <c r="KE307" s="21">
        <f t="shared" si="365"/>
        <v>0</v>
      </c>
      <c r="KF307" s="21">
        <f t="shared" si="365"/>
        <v>0</v>
      </c>
      <c r="KG307" s="21">
        <f t="shared" si="365"/>
        <v>0</v>
      </c>
      <c r="KH307" s="21">
        <f t="shared" si="365"/>
        <v>0</v>
      </c>
      <c r="KI307" s="21">
        <f t="shared" si="365"/>
        <v>0</v>
      </c>
      <c r="KJ307" s="21">
        <f t="shared" si="365"/>
        <v>0</v>
      </c>
      <c r="KK307" s="21">
        <f t="shared" si="365"/>
        <v>0</v>
      </c>
      <c r="KL307" s="21">
        <f t="shared" ref="KL307:KS307" si="366">IF($F$290, 0, IF($G$294, IF(AND(COLUMN($KL$307)-COLUMN($IX$303)=$Q$291,ROW($KL$307)-ROW($IX$303)=$K$291), U$290, KL307), KL307))</f>
        <v>0</v>
      </c>
      <c r="KM307" s="21">
        <f t="shared" si="366"/>
        <v>0</v>
      </c>
      <c r="KN307" s="21">
        <f t="shared" si="366"/>
        <v>0</v>
      </c>
      <c r="KO307" s="21">
        <f t="shared" si="366"/>
        <v>0</v>
      </c>
      <c r="KP307" s="21">
        <f t="shared" si="366"/>
        <v>0</v>
      </c>
      <c r="KQ307" s="21">
        <f t="shared" si="366"/>
        <v>0</v>
      </c>
      <c r="KR307" s="21">
        <f t="shared" si="366"/>
        <v>0</v>
      </c>
      <c r="KS307" s="21">
        <f t="shared" si="366"/>
        <v>0</v>
      </c>
      <c r="KT307" s="21">
        <f t="shared" ref="KT307:LA307" si="367">IF($F$290, 0, IF($G$294, IF(AND(COLUMN($KT$307)-COLUMN($IX$303)=$Q$291,ROW($KT$307)-ROW($IX$303)=$K$291), U$290, KT307), KT307))</f>
        <v>0</v>
      </c>
      <c r="KU307" s="21">
        <f t="shared" si="367"/>
        <v>0</v>
      </c>
      <c r="KV307" s="21">
        <f t="shared" si="367"/>
        <v>0</v>
      </c>
      <c r="KW307" s="21">
        <f t="shared" si="367"/>
        <v>0</v>
      </c>
      <c r="KX307" s="21">
        <f t="shared" si="367"/>
        <v>0</v>
      </c>
      <c r="KY307" s="21">
        <f t="shared" si="367"/>
        <v>0</v>
      </c>
      <c r="KZ307" s="21">
        <f t="shared" si="367"/>
        <v>0</v>
      </c>
      <c r="LA307" s="21">
        <f t="shared" si="367"/>
        <v>0</v>
      </c>
      <c r="LB307" s="21">
        <f t="shared" ref="LB307:LI307" si="368">IF($F$290, 0, IF($G$294, IF(AND(COLUMN($LB$307)-COLUMN($IX$303)=$Q$291,ROW($LB$307)-ROW($IX$303)=$K$291), U$290, LB307), LB307))</f>
        <v>0</v>
      </c>
      <c r="LC307" s="21">
        <f t="shared" si="368"/>
        <v>0</v>
      </c>
      <c r="LD307" s="21">
        <f t="shared" si="368"/>
        <v>0</v>
      </c>
      <c r="LE307" s="21">
        <f t="shared" si="368"/>
        <v>0</v>
      </c>
      <c r="LF307" s="21">
        <f t="shared" si="368"/>
        <v>0</v>
      </c>
      <c r="LG307" s="21">
        <f t="shared" si="368"/>
        <v>0</v>
      </c>
      <c r="LH307" s="21">
        <f t="shared" si="368"/>
        <v>0</v>
      </c>
      <c r="LI307" s="21">
        <f t="shared" si="368"/>
        <v>0</v>
      </c>
      <c r="LJ307" s="21">
        <f t="shared" ref="LJ307:LQ307" si="369">IF($F$290, 0, IF($H$294, IF(AND(COLUMN($LJ$307)-COLUMN($LJ$303)=$Q$291,ROW($LJ$307)-ROW($LJ$303)=$K$291), U$290, LJ307), LJ307))</f>
        <v>0</v>
      </c>
      <c r="LK307" s="21">
        <f t="shared" si="369"/>
        <v>0</v>
      </c>
      <c r="LL307" s="21">
        <f t="shared" si="369"/>
        <v>0</v>
      </c>
      <c r="LM307" s="21">
        <f t="shared" si="369"/>
        <v>0</v>
      </c>
      <c r="LN307" s="21">
        <f t="shared" si="369"/>
        <v>0</v>
      </c>
      <c r="LO307" s="21">
        <f t="shared" si="369"/>
        <v>0</v>
      </c>
      <c r="LP307" s="21">
        <f t="shared" si="369"/>
        <v>0</v>
      </c>
      <c r="LQ307" s="21">
        <f t="shared" si="369"/>
        <v>0</v>
      </c>
      <c r="LR307" s="21">
        <f t="shared" ref="LR307:LY307" si="370">IF($F$290, 0, IF($H$294, IF(AND(COLUMN($LR$307)-COLUMN($LJ$303)=$Q$291,ROW($LR$307)-ROW($LJ$303)=$K$291), U$290, LR307), LR307))</f>
        <v>0</v>
      </c>
      <c r="LS307" s="21">
        <f t="shared" si="370"/>
        <v>0</v>
      </c>
      <c r="LT307" s="21">
        <f t="shared" si="370"/>
        <v>0</v>
      </c>
      <c r="LU307" s="21">
        <f t="shared" si="370"/>
        <v>0</v>
      </c>
      <c r="LV307" s="21">
        <f t="shared" si="370"/>
        <v>0</v>
      </c>
      <c r="LW307" s="21">
        <f t="shared" si="370"/>
        <v>0</v>
      </c>
      <c r="LX307" s="21">
        <f t="shared" si="370"/>
        <v>0</v>
      </c>
      <c r="LY307" s="21">
        <f t="shared" si="370"/>
        <v>0</v>
      </c>
      <c r="LZ307" s="21">
        <f t="shared" ref="LZ307:MG307" si="371">IF($F$290, 0, IF($H$294, IF(AND(COLUMN($LZ$307)-COLUMN($LJ$303)=$Q$291,ROW($LZ$307)-ROW($LJ$303)=$K$291), U$290, LZ307), LZ307))</f>
        <v>0</v>
      </c>
      <c r="MA307" s="21">
        <f t="shared" si="371"/>
        <v>0</v>
      </c>
      <c r="MB307" s="21">
        <f t="shared" si="371"/>
        <v>0</v>
      </c>
      <c r="MC307" s="21">
        <f t="shared" si="371"/>
        <v>0</v>
      </c>
      <c r="MD307" s="21">
        <f t="shared" si="371"/>
        <v>0</v>
      </c>
      <c r="ME307" s="21">
        <f t="shared" si="371"/>
        <v>0</v>
      </c>
      <c r="MF307" s="21">
        <f t="shared" si="371"/>
        <v>0</v>
      </c>
      <c r="MG307" s="21">
        <f t="shared" si="371"/>
        <v>0</v>
      </c>
      <c r="MH307" s="21">
        <f t="shared" ref="MH307:MO307" si="372">IF($F$290, 0, IF($H$294, IF(AND(COLUMN($MH$307)-COLUMN($LJ$303)=$Q$291,ROW($MH$307)-ROW($LJ$303)=$K$291), U$290, MH307), MH307))</f>
        <v>0</v>
      </c>
      <c r="MI307" s="21">
        <f t="shared" si="372"/>
        <v>0</v>
      </c>
      <c r="MJ307" s="21">
        <f t="shared" si="372"/>
        <v>0</v>
      </c>
      <c r="MK307" s="21">
        <f t="shared" si="372"/>
        <v>0</v>
      </c>
      <c r="ML307" s="21">
        <f t="shared" si="372"/>
        <v>0</v>
      </c>
      <c r="MM307" s="21">
        <f t="shared" si="372"/>
        <v>0</v>
      </c>
      <c r="MN307" s="21">
        <f t="shared" si="372"/>
        <v>0</v>
      </c>
      <c r="MO307" s="21">
        <f t="shared" si="372"/>
        <v>0</v>
      </c>
      <c r="MP307" s="21">
        <f t="shared" ref="MP307:MW307" si="373">IF($F$290, 0, IF($H$294, IF(AND(COLUMN($MP$307)-COLUMN($LJ$303)=$Q$291,ROW($MP$307)-ROW($LJ$303)=$K$291), U$290, MP307), MP307))</f>
        <v>0</v>
      </c>
      <c r="MQ307" s="21">
        <f t="shared" si="373"/>
        <v>0</v>
      </c>
      <c r="MR307" s="21">
        <f t="shared" si="373"/>
        <v>0</v>
      </c>
      <c r="MS307" s="21">
        <f t="shared" si="373"/>
        <v>0</v>
      </c>
      <c r="MT307" s="21">
        <f t="shared" si="373"/>
        <v>0</v>
      </c>
      <c r="MU307" s="21">
        <f t="shared" si="373"/>
        <v>0</v>
      </c>
      <c r="MV307" s="21">
        <f t="shared" si="373"/>
        <v>0</v>
      </c>
      <c r="MW307" s="21">
        <f t="shared" si="373"/>
        <v>0</v>
      </c>
      <c r="MX307" s="21">
        <f t="shared" ref="MX307:NE307" si="374">IF($F$290, 0, IF($H$294, IF(AND(COLUMN($MX$307)-COLUMN($LJ$303)=$Q$291,ROW($MX$307)-ROW($LJ$303)=$K$291), U$290, MX307), MX307))</f>
        <v>0</v>
      </c>
      <c r="MY307" s="21">
        <f t="shared" si="374"/>
        <v>0</v>
      </c>
      <c r="MZ307" s="21">
        <f t="shared" si="374"/>
        <v>0</v>
      </c>
      <c r="NA307" s="21">
        <f t="shared" si="374"/>
        <v>0</v>
      </c>
      <c r="NB307" s="21">
        <f t="shared" si="374"/>
        <v>0</v>
      </c>
      <c r="NC307" s="21">
        <f t="shared" si="374"/>
        <v>0</v>
      </c>
      <c r="ND307" s="21">
        <f t="shared" si="374"/>
        <v>0</v>
      </c>
      <c r="NE307" s="21">
        <f t="shared" si="374"/>
        <v>0</v>
      </c>
      <c r="NF307" s="21">
        <f t="shared" ref="NF307:NM307" si="375">IF($F$290, 0, IF($H$294, IF(AND(COLUMN($NF$307)-COLUMN($LJ$303)=$Q$291,ROW($NF$307)-ROW($LJ$303)=$K$291), U$290, NF307), NF307))</f>
        <v>0</v>
      </c>
      <c r="NG307" s="21">
        <f t="shared" si="375"/>
        <v>0</v>
      </c>
      <c r="NH307" s="21">
        <f t="shared" si="375"/>
        <v>0</v>
      </c>
      <c r="NI307" s="21">
        <f t="shared" si="375"/>
        <v>0</v>
      </c>
      <c r="NJ307" s="21">
        <f t="shared" si="375"/>
        <v>0</v>
      </c>
      <c r="NK307" s="21">
        <f t="shared" si="375"/>
        <v>0</v>
      </c>
      <c r="NL307" s="21">
        <f t="shared" si="375"/>
        <v>0</v>
      </c>
      <c r="NM307" s="21">
        <f t="shared" si="375"/>
        <v>0</v>
      </c>
      <c r="NN307" s="21">
        <f t="shared" ref="NN307:NU307" si="376">IF($F$290, 0, IF($H$294, IF(AND(COLUMN($NN$307)-COLUMN($LJ$303)=$Q$291,ROW($NN$307)-ROW($LJ$303)=$K$291), U$290, NN307), NN307))</f>
        <v>0</v>
      </c>
      <c r="NO307" s="21">
        <f t="shared" si="376"/>
        <v>0</v>
      </c>
      <c r="NP307" s="21">
        <f t="shared" si="376"/>
        <v>0</v>
      </c>
      <c r="NQ307" s="21">
        <f t="shared" si="376"/>
        <v>0</v>
      </c>
      <c r="NR307" s="21">
        <f t="shared" si="376"/>
        <v>0</v>
      </c>
      <c r="NS307" s="21">
        <f t="shared" si="376"/>
        <v>0</v>
      </c>
      <c r="NT307" s="21">
        <f t="shared" si="376"/>
        <v>0</v>
      </c>
      <c r="NU307" s="21">
        <f t="shared" si="376"/>
        <v>0</v>
      </c>
      <c r="NV307" s="21">
        <f t="shared" ref="NV307:OC307" si="377">IF($F$290, 0, IF($I$294, IF(AND(COLUMN($NV$307)-COLUMN($NV$303)=$Q$291,ROW($NV$307)-ROW($NV$303)=$K$291), U$290, NV307), NV307))</f>
        <v>0</v>
      </c>
      <c r="NW307" s="21">
        <f t="shared" si="377"/>
        <v>0</v>
      </c>
      <c r="NX307" s="21">
        <f t="shared" si="377"/>
        <v>0</v>
      </c>
      <c r="NY307" s="21">
        <f t="shared" si="377"/>
        <v>0</v>
      </c>
      <c r="NZ307" s="21">
        <f t="shared" si="377"/>
        <v>0</v>
      </c>
      <c r="OA307" s="21">
        <f t="shared" si="377"/>
        <v>0</v>
      </c>
      <c r="OB307" s="21">
        <f t="shared" si="377"/>
        <v>0</v>
      </c>
      <c r="OC307" s="21">
        <f t="shared" si="377"/>
        <v>0</v>
      </c>
      <c r="OD307" s="21">
        <f t="shared" ref="OD307:OK307" si="378">IF($F$290, 0, IF($I$294, IF(AND(COLUMN($OD$307)-COLUMN($NV$303)=$Q$291,ROW($OD$307)-ROW($NV$303)=$K$291), U$290, OD307), OD307))</f>
        <v>0</v>
      </c>
      <c r="OE307" s="21">
        <f t="shared" si="378"/>
        <v>0</v>
      </c>
      <c r="OF307" s="21">
        <f t="shared" si="378"/>
        <v>0</v>
      </c>
      <c r="OG307" s="21">
        <f t="shared" si="378"/>
        <v>0</v>
      </c>
      <c r="OH307" s="21">
        <f t="shared" si="378"/>
        <v>0</v>
      </c>
      <c r="OI307" s="21">
        <f t="shared" si="378"/>
        <v>0</v>
      </c>
      <c r="OJ307" s="21">
        <f t="shared" si="378"/>
        <v>0</v>
      </c>
      <c r="OK307" s="21">
        <f t="shared" si="378"/>
        <v>0</v>
      </c>
      <c r="OL307" s="21">
        <f t="shared" ref="OL307:OS307" si="379">IF($F$290, 0, IF($I$294, IF(AND(COLUMN($OL$307)-COLUMN($NV$303)=$Q$291,ROW($OL$307)-ROW($NV$303)=$K$291), U$290, OL307), OL307))</f>
        <v>0</v>
      </c>
      <c r="OM307" s="21">
        <f t="shared" si="379"/>
        <v>0</v>
      </c>
      <c r="ON307" s="21">
        <f t="shared" si="379"/>
        <v>0</v>
      </c>
      <c r="OO307" s="21">
        <f t="shared" si="379"/>
        <v>0</v>
      </c>
      <c r="OP307" s="21">
        <f t="shared" si="379"/>
        <v>0</v>
      </c>
      <c r="OQ307" s="21">
        <f t="shared" si="379"/>
        <v>0</v>
      </c>
      <c r="OR307" s="21">
        <f t="shared" si="379"/>
        <v>0</v>
      </c>
      <c r="OS307" s="21">
        <f t="shared" si="379"/>
        <v>0</v>
      </c>
      <c r="OT307" s="21">
        <f t="shared" ref="OT307:PA307" si="380">IF($F$290, 0, IF($I$294, IF(AND(COLUMN($OT$307)-COLUMN($NV$303)=$Q$291,ROW($OT$307)-ROW($NV$303)=$K$291), U$290, OT307), OT307))</f>
        <v>0</v>
      </c>
      <c r="OU307" s="21">
        <f t="shared" si="380"/>
        <v>0</v>
      </c>
      <c r="OV307" s="21">
        <f t="shared" si="380"/>
        <v>0</v>
      </c>
      <c r="OW307" s="21">
        <f t="shared" si="380"/>
        <v>0</v>
      </c>
      <c r="OX307" s="21">
        <f t="shared" si="380"/>
        <v>0</v>
      </c>
      <c r="OY307" s="21">
        <f t="shared" si="380"/>
        <v>0</v>
      </c>
      <c r="OZ307" s="21">
        <f t="shared" si="380"/>
        <v>0</v>
      </c>
      <c r="PA307" s="21">
        <f t="shared" si="380"/>
        <v>0</v>
      </c>
      <c r="PB307" s="21">
        <f t="shared" ref="PB307:PI307" si="381">IF($F$290, 0, IF($I$294, IF(AND(COLUMN($PB$307)-COLUMN($NV$303)=$Q$291,ROW($PB$307)-ROW($NV$303)=$K$291), U$290, PB307), PB307))</f>
        <v>0</v>
      </c>
      <c r="PC307" s="21">
        <f t="shared" si="381"/>
        <v>0</v>
      </c>
      <c r="PD307" s="21">
        <f t="shared" si="381"/>
        <v>0</v>
      </c>
      <c r="PE307" s="21">
        <f t="shared" si="381"/>
        <v>0</v>
      </c>
      <c r="PF307" s="21">
        <f t="shared" si="381"/>
        <v>0</v>
      </c>
      <c r="PG307" s="21">
        <f t="shared" si="381"/>
        <v>0</v>
      </c>
      <c r="PH307" s="21">
        <f t="shared" si="381"/>
        <v>0</v>
      </c>
      <c r="PI307" s="21">
        <f t="shared" si="381"/>
        <v>0</v>
      </c>
      <c r="PJ307" s="21">
        <f t="shared" ref="PJ307:PQ307" si="382">IF($F$290, 0, IF($I$294, IF(AND(COLUMN($PJ$307)-COLUMN($NV$303)=$Q$291,ROW($PJ$307)-ROW($NV$303)=$K$291), U$290, PJ307), PJ307))</f>
        <v>0</v>
      </c>
      <c r="PK307" s="21">
        <f t="shared" si="382"/>
        <v>0</v>
      </c>
      <c r="PL307" s="21">
        <f t="shared" si="382"/>
        <v>0</v>
      </c>
      <c r="PM307" s="21">
        <f t="shared" si="382"/>
        <v>0</v>
      </c>
      <c r="PN307" s="21">
        <f t="shared" si="382"/>
        <v>0</v>
      </c>
      <c r="PO307" s="21">
        <f t="shared" si="382"/>
        <v>0</v>
      </c>
      <c r="PP307" s="21">
        <f t="shared" si="382"/>
        <v>0</v>
      </c>
      <c r="PQ307" s="21">
        <f t="shared" si="382"/>
        <v>0</v>
      </c>
      <c r="PR307" s="21">
        <f t="shared" ref="PR307:PY307" si="383">IF($F$290, 0, IF($I$294, IF(AND(COLUMN($PR$307)-COLUMN($NV$303)=$Q$291,ROW($PR$307)-ROW($NV$303)=$K$291), U$290, PR307), PR307))</f>
        <v>0</v>
      </c>
      <c r="PS307" s="21">
        <f t="shared" si="383"/>
        <v>0</v>
      </c>
      <c r="PT307" s="21">
        <f t="shared" si="383"/>
        <v>0</v>
      </c>
      <c r="PU307" s="21">
        <f t="shared" si="383"/>
        <v>0</v>
      </c>
      <c r="PV307" s="21">
        <f t="shared" si="383"/>
        <v>0</v>
      </c>
      <c r="PW307" s="21">
        <f t="shared" si="383"/>
        <v>0</v>
      </c>
      <c r="PX307" s="21">
        <f t="shared" si="383"/>
        <v>0</v>
      </c>
      <c r="PY307" s="21">
        <f t="shared" si="383"/>
        <v>0</v>
      </c>
      <c r="PZ307" s="21">
        <f t="shared" ref="PZ307:QG307" si="384">IF($F$290, 0, IF($I$294, IF(AND(COLUMN($PZ$307)-COLUMN($NV$303)=$Q$291,ROW($PZ$307)-ROW($NV$303)=$K$291), U$290, PZ307), PZ307))</f>
        <v>0</v>
      </c>
      <c r="QA307" s="21">
        <f t="shared" si="384"/>
        <v>0</v>
      </c>
      <c r="QB307" s="21">
        <f t="shared" si="384"/>
        <v>0</v>
      </c>
      <c r="QC307" s="21">
        <f t="shared" si="384"/>
        <v>0</v>
      </c>
      <c r="QD307" s="21">
        <f t="shared" si="384"/>
        <v>0</v>
      </c>
      <c r="QE307" s="21">
        <f t="shared" si="384"/>
        <v>0</v>
      </c>
      <c r="QF307" s="21">
        <f t="shared" si="384"/>
        <v>0</v>
      </c>
      <c r="QG307" s="21">
        <f t="shared" si="384"/>
        <v>0</v>
      </c>
      <c r="QH307" s="21">
        <f t="shared" ref="QH307:QO307" si="385">IF($F$290, 0, IF($J$294, IF(AND(COLUMN($QH$307)-COLUMN($QH$303)=$Q$291,ROW($QH$307)-ROW($QH$303)=$K$291), U$290, QH307), QH307))</f>
        <v>0</v>
      </c>
      <c r="QI307" s="21">
        <f t="shared" si="385"/>
        <v>0</v>
      </c>
      <c r="QJ307" s="21">
        <f t="shared" si="385"/>
        <v>0</v>
      </c>
      <c r="QK307" s="21">
        <f t="shared" si="385"/>
        <v>0</v>
      </c>
      <c r="QL307" s="21">
        <f t="shared" si="385"/>
        <v>0</v>
      </c>
      <c r="QM307" s="21">
        <f t="shared" si="385"/>
        <v>0</v>
      </c>
      <c r="QN307" s="21">
        <f t="shared" si="385"/>
        <v>0</v>
      </c>
      <c r="QO307" s="21">
        <f t="shared" si="385"/>
        <v>0</v>
      </c>
      <c r="QP307" s="21">
        <f t="shared" ref="QP307:QW307" si="386">IF($F$290, 0, IF($J$294, IF(AND(COLUMN($QP$307)-COLUMN($QH$303)=$Q$291,ROW($QP$307)-ROW($QH$303)=$K$291), U$290, QP307), QP307))</f>
        <v>0</v>
      </c>
      <c r="QQ307" s="21">
        <f t="shared" si="386"/>
        <v>0</v>
      </c>
      <c r="QR307" s="21">
        <f t="shared" si="386"/>
        <v>0</v>
      </c>
      <c r="QS307" s="21">
        <f t="shared" si="386"/>
        <v>0</v>
      </c>
      <c r="QT307" s="21">
        <f t="shared" si="386"/>
        <v>0</v>
      </c>
      <c r="QU307" s="21">
        <f t="shared" si="386"/>
        <v>0</v>
      </c>
      <c r="QV307" s="21">
        <f t="shared" si="386"/>
        <v>0</v>
      </c>
      <c r="QW307" s="21">
        <f t="shared" si="386"/>
        <v>0</v>
      </c>
      <c r="QX307" s="21">
        <f t="shared" ref="QX307:RE307" si="387">IF($F$290, 0, IF($J$294, IF(AND(COLUMN($QX$307)-COLUMN($QH$303)=$Q$291,ROW($QX$307)-ROW($QH$303)=$K$291), U$290, QX307), QX307))</f>
        <v>0</v>
      </c>
      <c r="QY307" s="21">
        <f t="shared" si="387"/>
        <v>0</v>
      </c>
      <c r="QZ307" s="21">
        <f t="shared" si="387"/>
        <v>0</v>
      </c>
      <c r="RA307" s="21">
        <f t="shared" si="387"/>
        <v>0</v>
      </c>
      <c r="RB307" s="21">
        <f t="shared" si="387"/>
        <v>0</v>
      </c>
      <c r="RC307" s="21">
        <f t="shared" si="387"/>
        <v>0</v>
      </c>
      <c r="RD307" s="21">
        <f t="shared" si="387"/>
        <v>0</v>
      </c>
      <c r="RE307" s="21">
        <f t="shared" si="387"/>
        <v>0</v>
      </c>
      <c r="RF307" s="21">
        <f t="shared" ref="RF307:RM307" si="388">IF($F$290, 0, IF($J$294, IF(AND(COLUMN($RF$307)-COLUMN($QH$303)=$Q$291,ROW($RF$307)-ROW($QH$303)=$K$291), U$290, RF307), RF307))</f>
        <v>0</v>
      </c>
      <c r="RG307" s="21">
        <f t="shared" si="388"/>
        <v>0</v>
      </c>
      <c r="RH307" s="21">
        <f t="shared" si="388"/>
        <v>0</v>
      </c>
      <c r="RI307" s="21">
        <f t="shared" si="388"/>
        <v>0</v>
      </c>
      <c r="RJ307" s="21">
        <f t="shared" si="388"/>
        <v>0</v>
      </c>
      <c r="RK307" s="21">
        <f t="shared" si="388"/>
        <v>0</v>
      </c>
      <c r="RL307" s="21">
        <f t="shared" si="388"/>
        <v>0</v>
      </c>
      <c r="RM307" s="21">
        <f t="shared" si="388"/>
        <v>0</v>
      </c>
      <c r="RN307" s="21">
        <f t="shared" ref="RN307:RU307" si="389">IF($F$290, 0, IF($J$294, IF(AND(COLUMN($RN$307)-COLUMN($QH$303)=$Q$291,ROW($RN$307)-ROW($QH$303)=$K$291), U$290, RN307), RN307))</f>
        <v>0</v>
      </c>
      <c r="RO307" s="21">
        <f t="shared" si="389"/>
        <v>0</v>
      </c>
      <c r="RP307" s="21">
        <f t="shared" si="389"/>
        <v>0</v>
      </c>
      <c r="RQ307" s="21">
        <f t="shared" si="389"/>
        <v>0</v>
      </c>
      <c r="RR307" s="21">
        <f t="shared" si="389"/>
        <v>0</v>
      </c>
      <c r="RS307" s="21">
        <f t="shared" si="389"/>
        <v>0</v>
      </c>
      <c r="RT307" s="21">
        <f t="shared" si="389"/>
        <v>0</v>
      </c>
      <c r="RU307" s="21">
        <f t="shared" si="389"/>
        <v>0</v>
      </c>
      <c r="RV307" s="21">
        <f t="shared" ref="RV307:SC307" si="390">IF($F$290, 0, IF($J$294, IF(AND(COLUMN($RV$307)-COLUMN($QH$303)=$Q$291,ROW($RV$307)-ROW($QH$303)=$K$291), U$290, RV307), RV307))</f>
        <v>0</v>
      </c>
      <c r="RW307" s="21">
        <f t="shared" si="390"/>
        <v>0</v>
      </c>
      <c r="RX307" s="21">
        <f t="shared" si="390"/>
        <v>0</v>
      </c>
      <c r="RY307" s="21">
        <f t="shared" si="390"/>
        <v>0</v>
      </c>
      <c r="RZ307" s="21">
        <f t="shared" si="390"/>
        <v>0</v>
      </c>
      <c r="SA307" s="21">
        <f t="shared" si="390"/>
        <v>0</v>
      </c>
      <c r="SB307" s="21">
        <f t="shared" si="390"/>
        <v>0</v>
      </c>
      <c r="SC307" s="21">
        <f t="shared" si="390"/>
        <v>0</v>
      </c>
      <c r="SD307" s="21">
        <f t="shared" ref="SD307:SK307" si="391">IF($F$290, 0, IF($J$294, IF(AND(COLUMN($SD$307)-COLUMN($QH$303)=$Q$291,ROW($SD$307)-ROW($QH$303)=$K$291), U$290, SD307), SD307))</f>
        <v>0</v>
      </c>
      <c r="SE307" s="21">
        <f t="shared" si="391"/>
        <v>0</v>
      </c>
      <c r="SF307" s="21">
        <f t="shared" si="391"/>
        <v>0</v>
      </c>
      <c r="SG307" s="21">
        <f t="shared" si="391"/>
        <v>0</v>
      </c>
      <c r="SH307" s="21">
        <f t="shared" si="391"/>
        <v>0</v>
      </c>
      <c r="SI307" s="21">
        <f t="shared" si="391"/>
        <v>0</v>
      </c>
      <c r="SJ307" s="21">
        <f t="shared" si="391"/>
        <v>0</v>
      </c>
      <c r="SK307" s="21">
        <f t="shared" si="391"/>
        <v>0</v>
      </c>
      <c r="SL307" s="21">
        <f t="shared" ref="SL307:SS307" si="392">IF($F$290, 0, IF($J$294, IF(AND(COLUMN($SL$307)-COLUMN($QH$303)=$Q$291,ROW($SL$307)-ROW($QH$303)=$K$291), U$290, SL307), SL307))</f>
        <v>0</v>
      </c>
      <c r="SM307" s="21">
        <f t="shared" si="392"/>
        <v>0</v>
      </c>
      <c r="SN307" s="21">
        <f t="shared" si="392"/>
        <v>0</v>
      </c>
      <c r="SO307" s="21">
        <f t="shared" si="392"/>
        <v>0</v>
      </c>
      <c r="SP307" s="21">
        <f t="shared" si="392"/>
        <v>0</v>
      </c>
      <c r="SQ307" s="21">
        <f t="shared" si="392"/>
        <v>0</v>
      </c>
      <c r="SR307" s="21">
        <f t="shared" si="392"/>
        <v>0</v>
      </c>
      <c r="SS307" s="21">
        <f t="shared" si="392"/>
        <v>0</v>
      </c>
    </row>
    <row r="308" spans="2:513" ht="15" customHeight="1" x14ac:dyDescent="0.25">
      <c r="B308" s="21">
        <f t="shared" ref="B308:I308" si="393">IF($F$290, 0, IF($C$294, IF(AND(COLUMN($B$308)-COLUMN($B$303)=$Q$291,ROW($B$308)-ROW($B$303)=$K$291), U$290, B308), B308))</f>
        <v>0</v>
      </c>
      <c r="C308" s="21">
        <f t="shared" si="393"/>
        <v>0</v>
      </c>
      <c r="D308" s="21">
        <f t="shared" si="393"/>
        <v>0</v>
      </c>
      <c r="E308" s="21">
        <f t="shared" si="393"/>
        <v>0</v>
      </c>
      <c r="F308" s="21">
        <f t="shared" si="393"/>
        <v>0</v>
      </c>
      <c r="G308" s="21">
        <f t="shared" si="393"/>
        <v>0</v>
      </c>
      <c r="H308" s="21">
        <f t="shared" si="393"/>
        <v>0</v>
      </c>
      <c r="I308" s="21">
        <f t="shared" si="393"/>
        <v>0</v>
      </c>
      <c r="J308" s="21">
        <f t="shared" ref="J308:Q308" si="394">IF($F$290, 0, IF($C$294, IF(AND(COLUMN($J$308)-COLUMN($B$303)=$Q$291,ROW($J$308)-ROW($B$303)=$K$291), U$290, J308), J308))</f>
        <v>0</v>
      </c>
      <c r="K308" s="21">
        <f t="shared" si="394"/>
        <v>0</v>
      </c>
      <c r="L308" s="21">
        <f t="shared" si="394"/>
        <v>0</v>
      </c>
      <c r="M308" s="21">
        <f t="shared" si="394"/>
        <v>0</v>
      </c>
      <c r="N308" s="21">
        <f t="shared" si="394"/>
        <v>0</v>
      </c>
      <c r="O308" s="21">
        <f t="shared" si="394"/>
        <v>0</v>
      </c>
      <c r="P308" s="21">
        <f t="shared" si="394"/>
        <v>0</v>
      </c>
      <c r="Q308" s="21">
        <f t="shared" si="394"/>
        <v>0</v>
      </c>
      <c r="R308" s="21">
        <f>IF($F$290, 0, IF($C$294, IF(AND(COLUMN($R$308)-COLUMN($B$303)=$Q$291,ROW($R$308)-ROW($B$303)=$K$291), U$290, R308), R308))</f>
        <v>0</v>
      </c>
      <c r="S308" s="21">
        <f t="shared" ref="S308:Y308" si="395">IF($F$290, 0, IF($C$294, IF(AND(COLUMN($R$308)-COLUMN($B$303)=$Q$291,ROW($R$308)-ROW($B$303)=$K$291), V$290, S308), S308))</f>
        <v>0</v>
      </c>
      <c r="T308" s="21">
        <f t="shared" si="395"/>
        <v>0</v>
      </c>
      <c r="U308" s="21">
        <f t="shared" si="395"/>
        <v>0</v>
      </c>
      <c r="V308" s="21">
        <f t="shared" si="395"/>
        <v>0</v>
      </c>
      <c r="W308" s="21">
        <f t="shared" si="395"/>
        <v>0</v>
      </c>
      <c r="X308" s="21">
        <f t="shared" si="395"/>
        <v>0</v>
      </c>
      <c r="Y308" s="21">
        <f t="shared" si="395"/>
        <v>0</v>
      </c>
      <c r="Z308" s="21">
        <f t="shared" ref="Z308:AG308" si="396">IF($F$290, 0, IF($C$294, IF(AND(COLUMN($Z$308)-COLUMN($B$303)=$Q$291,ROW($Z$308)-ROW($B$303)=$K$291), U$290, Z308), Z308))</f>
        <v>0</v>
      </c>
      <c r="AA308" s="21">
        <f t="shared" si="396"/>
        <v>0</v>
      </c>
      <c r="AB308" s="21">
        <f t="shared" si="396"/>
        <v>0</v>
      </c>
      <c r="AC308" s="21">
        <f t="shared" si="396"/>
        <v>0</v>
      </c>
      <c r="AD308" s="21">
        <f t="shared" si="396"/>
        <v>0</v>
      </c>
      <c r="AE308" s="21">
        <f t="shared" si="396"/>
        <v>0</v>
      </c>
      <c r="AF308" s="21">
        <f t="shared" si="396"/>
        <v>0</v>
      </c>
      <c r="AG308" s="21">
        <f t="shared" si="396"/>
        <v>0</v>
      </c>
      <c r="AH308" s="21">
        <f t="shared" ref="AH308:AO308" si="397">IF($F$290, 0, IF($C$294, IF(AND(COLUMN($AH$308)-COLUMN($B$303)=$Q$291,ROW($AH$308)-ROW($B$303)=$K$291), U$290, AH308), AH308))</f>
        <v>0</v>
      </c>
      <c r="AI308" s="21">
        <f t="shared" si="397"/>
        <v>0</v>
      </c>
      <c r="AJ308" s="21">
        <f t="shared" si="397"/>
        <v>0</v>
      </c>
      <c r="AK308" s="21">
        <f t="shared" si="397"/>
        <v>0</v>
      </c>
      <c r="AL308" s="21">
        <f t="shared" si="397"/>
        <v>0</v>
      </c>
      <c r="AM308" s="21">
        <f t="shared" si="397"/>
        <v>0</v>
      </c>
      <c r="AN308" s="21">
        <f t="shared" si="397"/>
        <v>0</v>
      </c>
      <c r="AO308" s="21">
        <f t="shared" si="397"/>
        <v>0</v>
      </c>
      <c r="AP308" s="21">
        <f t="shared" ref="AP308:AW308" si="398">IF($F$290, 0, IF($C$294, IF(AND(COLUMN($AP$308)-COLUMN($B$303)=$Q$291,ROW($AP$308)-ROW($B$303)=$K$291), U$290, AP308), AP308))</f>
        <v>0</v>
      </c>
      <c r="AQ308" s="21">
        <f t="shared" si="398"/>
        <v>0</v>
      </c>
      <c r="AR308" s="21">
        <f t="shared" si="398"/>
        <v>0</v>
      </c>
      <c r="AS308" s="21">
        <f t="shared" si="398"/>
        <v>0</v>
      </c>
      <c r="AT308" s="21">
        <f t="shared" si="398"/>
        <v>0</v>
      </c>
      <c r="AU308" s="21">
        <f t="shared" si="398"/>
        <v>0</v>
      </c>
      <c r="AV308" s="21">
        <f t="shared" si="398"/>
        <v>0</v>
      </c>
      <c r="AW308" s="21">
        <f t="shared" si="398"/>
        <v>0</v>
      </c>
      <c r="AX308" s="21">
        <f t="shared" ref="AX308:BE308" si="399">IF($F$290, 0, IF($C$294, IF(AND(COLUMN($AX$308)-COLUMN($B$303)=$Q$291,ROW($AX$308)-ROW($B$303)=$K$291), U$290, AX308), AX308))</f>
        <v>0</v>
      </c>
      <c r="AY308" s="21">
        <f t="shared" si="399"/>
        <v>0</v>
      </c>
      <c r="AZ308" s="21">
        <f t="shared" si="399"/>
        <v>0</v>
      </c>
      <c r="BA308" s="21">
        <f t="shared" si="399"/>
        <v>0</v>
      </c>
      <c r="BB308" s="21">
        <f t="shared" si="399"/>
        <v>0</v>
      </c>
      <c r="BC308" s="21">
        <f t="shared" si="399"/>
        <v>0</v>
      </c>
      <c r="BD308" s="21">
        <f t="shared" si="399"/>
        <v>0</v>
      </c>
      <c r="BE308" s="21">
        <f t="shared" si="399"/>
        <v>0</v>
      </c>
      <c r="BF308" s="21">
        <f t="shared" ref="BF308:BM308" si="400">IF($F$290, 0, IF($C$294, IF(AND(COLUMN($BF$308)-COLUMN($B$303)=$Q$291,ROW($BF$308)-ROW($B$303)=$K$291), U$290, BF308), BF308))</f>
        <v>0</v>
      </c>
      <c r="BG308" s="21">
        <f t="shared" si="400"/>
        <v>0</v>
      </c>
      <c r="BH308" s="21">
        <f t="shared" si="400"/>
        <v>0</v>
      </c>
      <c r="BI308" s="21">
        <f t="shared" si="400"/>
        <v>0</v>
      </c>
      <c r="BJ308" s="21">
        <f t="shared" si="400"/>
        <v>0</v>
      </c>
      <c r="BK308" s="21">
        <f t="shared" si="400"/>
        <v>0</v>
      </c>
      <c r="BL308" s="21">
        <f t="shared" si="400"/>
        <v>0</v>
      </c>
      <c r="BM308" s="21">
        <f t="shared" si="400"/>
        <v>0</v>
      </c>
      <c r="BN308" s="21">
        <f t="shared" ref="BN308:BU308" si="401">IF($F$290, 0, IF($D$294, IF(AND(COLUMN($BN$308)-COLUMN($BN$303)=$Q$291,ROW($BN$308)-ROW($BN$303)=$K$291), U$290, BN308), BN308))</f>
        <v>0</v>
      </c>
      <c r="BO308" s="21">
        <f t="shared" si="401"/>
        <v>0</v>
      </c>
      <c r="BP308" s="21">
        <f t="shared" si="401"/>
        <v>0</v>
      </c>
      <c r="BQ308" s="21">
        <f t="shared" si="401"/>
        <v>0</v>
      </c>
      <c r="BR308" s="21">
        <f t="shared" si="401"/>
        <v>0</v>
      </c>
      <c r="BS308" s="21">
        <f t="shared" si="401"/>
        <v>0</v>
      </c>
      <c r="BT308" s="21">
        <f t="shared" si="401"/>
        <v>0</v>
      </c>
      <c r="BU308" s="21">
        <f t="shared" si="401"/>
        <v>0</v>
      </c>
      <c r="BV308" s="21">
        <f t="shared" ref="BV308:CC308" si="402">IF($F$290, 0, IF($D$294, IF(AND(COLUMN($BV$308)-COLUMN($BN$303)=$Q$291,ROW($BV$308)-ROW($BN$303)=$K$291), U$290, BV308), BV308))</f>
        <v>0</v>
      </c>
      <c r="BW308" s="21">
        <f t="shared" si="402"/>
        <v>0</v>
      </c>
      <c r="BX308" s="21">
        <f t="shared" si="402"/>
        <v>0</v>
      </c>
      <c r="BY308" s="21">
        <f t="shared" si="402"/>
        <v>0</v>
      </c>
      <c r="BZ308" s="21">
        <f t="shared" si="402"/>
        <v>0</v>
      </c>
      <c r="CA308" s="21">
        <f t="shared" si="402"/>
        <v>0</v>
      </c>
      <c r="CB308" s="21">
        <f t="shared" si="402"/>
        <v>0</v>
      </c>
      <c r="CC308" s="21">
        <f t="shared" si="402"/>
        <v>0</v>
      </c>
      <c r="CD308" s="21">
        <f t="shared" ref="CD308:CK308" si="403">IF($F$290, 0, IF($D$294, IF(AND(COLUMN($CD$308)-COLUMN($BN$303)=$Q$291,ROW($CD$308)-ROW($BN$303)=$K$291), U$290, CD308), CD308))</f>
        <v>0</v>
      </c>
      <c r="CE308" s="21">
        <f t="shared" si="403"/>
        <v>0</v>
      </c>
      <c r="CF308" s="21">
        <f t="shared" si="403"/>
        <v>0</v>
      </c>
      <c r="CG308" s="21">
        <f t="shared" si="403"/>
        <v>0</v>
      </c>
      <c r="CH308" s="21">
        <f t="shared" si="403"/>
        <v>0</v>
      </c>
      <c r="CI308" s="21">
        <f t="shared" si="403"/>
        <v>0</v>
      </c>
      <c r="CJ308" s="21">
        <f t="shared" si="403"/>
        <v>0</v>
      </c>
      <c r="CK308" s="21">
        <f t="shared" si="403"/>
        <v>0</v>
      </c>
      <c r="CL308" s="21">
        <f t="shared" ref="CL308:CS308" si="404">IF($F$290, 0, IF($D$294, IF(AND(COLUMN($CL$308)-COLUMN($BN$303)=$Q$291,ROW($CL$308)-ROW($BN$303)=$K$291), U$290, CL308), CL308))</f>
        <v>0</v>
      </c>
      <c r="CM308" s="21">
        <f t="shared" si="404"/>
        <v>0</v>
      </c>
      <c r="CN308" s="21">
        <f t="shared" si="404"/>
        <v>0</v>
      </c>
      <c r="CO308" s="21">
        <f t="shared" si="404"/>
        <v>0</v>
      </c>
      <c r="CP308" s="21">
        <f t="shared" si="404"/>
        <v>0</v>
      </c>
      <c r="CQ308" s="21">
        <f t="shared" si="404"/>
        <v>0</v>
      </c>
      <c r="CR308" s="21">
        <f t="shared" si="404"/>
        <v>0</v>
      </c>
      <c r="CS308" s="21">
        <f t="shared" si="404"/>
        <v>0</v>
      </c>
      <c r="CT308" s="21">
        <f t="shared" ref="CT308:DA308" si="405">IF($F$290, 0, IF($D$294, IF(AND(COLUMN($CT$308)-COLUMN($BN$303)=$Q$291,ROW($CT$308)-ROW($BN$303)=$K$291), U$290, CT308), CT308))</f>
        <v>0</v>
      </c>
      <c r="CU308" s="21">
        <f t="shared" si="405"/>
        <v>0</v>
      </c>
      <c r="CV308" s="21">
        <f t="shared" si="405"/>
        <v>0</v>
      </c>
      <c r="CW308" s="21">
        <f t="shared" si="405"/>
        <v>0</v>
      </c>
      <c r="CX308" s="21">
        <f t="shared" si="405"/>
        <v>0</v>
      </c>
      <c r="CY308" s="21">
        <f t="shared" si="405"/>
        <v>0</v>
      </c>
      <c r="CZ308" s="21">
        <f t="shared" si="405"/>
        <v>0</v>
      </c>
      <c r="DA308" s="21">
        <f t="shared" si="405"/>
        <v>0</v>
      </c>
      <c r="DB308" s="21">
        <f t="shared" ref="DB308:DI308" si="406">IF($F$290, 0, IF($D$294, IF(AND(COLUMN($DB$308)-COLUMN($BN$303)=$Q$291,ROW($DB$308)-ROW($BN$303)=$K$291), U$290, DB308), DB308))</f>
        <v>0</v>
      </c>
      <c r="DC308" s="21">
        <f t="shared" si="406"/>
        <v>0</v>
      </c>
      <c r="DD308" s="21">
        <f t="shared" si="406"/>
        <v>0</v>
      </c>
      <c r="DE308" s="21">
        <f t="shared" si="406"/>
        <v>0</v>
      </c>
      <c r="DF308" s="21">
        <f t="shared" si="406"/>
        <v>0</v>
      </c>
      <c r="DG308" s="21">
        <f t="shared" si="406"/>
        <v>0</v>
      </c>
      <c r="DH308" s="21">
        <f t="shared" si="406"/>
        <v>0</v>
      </c>
      <c r="DI308" s="21">
        <f t="shared" si="406"/>
        <v>0</v>
      </c>
      <c r="DJ308" s="21">
        <f t="shared" ref="DJ308:DQ308" si="407">IF($F$290, 0, IF($D$294, IF(AND(COLUMN($DJ$308)-COLUMN($BN$303)=$Q$291,ROW($DJ$308)-ROW($BN$303)=$K$291), U$290, DJ308), DJ308))</f>
        <v>0</v>
      </c>
      <c r="DK308" s="21">
        <f t="shared" si="407"/>
        <v>0</v>
      </c>
      <c r="DL308" s="21">
        <f t="shared" si="407"/>
        <v>0</v>
      </c>
      <c r="DM308" s="21">
        <f t="shared" si="407"/>
        <v>0</v>
      </c>
      <c r="DN308" s="21">
        <f t="shared" si="407"/>
        <v>0</v>
      </c>
      <c r="DO308" s="21">
        <f t="shared" si="407"/>
        <v>0</v>
      </c>
      <c r="DP308" s="21">
        <f t="shared" si="407"/>
        <v>0</v>
      </c>
      <c r="DQ308" s="21">
        <f t="shared" si="407"/>
        <v>0</v>
      </c>
      <c r="DR308" s="21">
        <f t="shared" ref="DR308:DY308" si="408">IF($F$290, 0, IF($D$294, IF(AND(COLUMN($DR$308)-COLUMN($BN$303)=$Q$291,ROW($DR$308)-ROW($BN$303)=$K$291), U$290, DR308), DR308))</f>
        <v>0</v>
      </c>
      <c r="DS308" s="21">
        <f t="shared" si="408"/>
        <v>0</v>
      </c>
      <c r="DT308" s="21">
        <f t="shared" si="408"/>
        <v>0</v>
      </c>
      <c r="DU308" s="21">
        <f t="shared" si="408"/>
        <v>0</v>
      </c>
      <c r="DV308" s="21">
        <f t="shared" si="408"/>
        <v>0</v>
      </c>
      <c r="DW308" s="21">
        <f t="shared" si="408"/>
        <v>0</v>
      </c>
      <c r="DX308" s="21">
        <f t="shared" si="408"/>
        <v>0</v>
      </c>
      <c r="DY308" s="21">
        <f t="shared" si="408"/>
        <v>0</v>
      </c>
      <c r="DZ308" s="21">
        <f t="shared" ref="DZ308:EG308" si="409">IF($F$290, 0, IF($E$294, IF(AND(COLUMN($DZ$308)-COLUMN($DZ$303)=$Q$291,ROW($DZ$308)-ROW($DZ$303)=$K$291), U$290, DZ308), DZ308))</f>
        <v>0</v>
      </c>
      <c r="EA308" s="21">
        <f t="shared" si="409"/>
        <v>0</v>
      </c>
      <c r="EB308" s="21">
        <f t="shared" si="409"/>
        <v>0</v>
      </c>
      <c r="EC308" s="21">
        <f t="shared" si="409"/>
        <v>0</v>
      </c>
      <c r="ED308" s="21">
        <f t="shared" si="409"/>
        <v>0</v>
      </c>
      <c r="EE308" s="21">
        <f t="shared" si="409"/>
        <v>0</v>
      </c>
      <c r="EF308" s="21">
        <f t="shared" si="409"/>
        <v>0</v>
      </c>
      <c r="EG308" s="21">
        <f t="shared" si="409"/>
        <v>0</v>
      </c>
      <c r="EH308" s="21">
        <f t="shared" ref="EH308:EO308" si="410">IF($F$290, 0, IF($E$294, IF(AND(COLUMN($EH$308)-COLUMN($DZ$303)=$Q$291,ROW($EH$308)-ROW($DZ$303)=$K$291), U$290, EH308), EH308))</f>
        <v>0</v>
      </c>
      <c r="EI308" s="21">
        <f t="shared" si="410"/>
        <v>0</v>
      </c>
      <c r="EJ308" s="21">
        <f t="shared" si="410"/>
        <v>0</v>
      </c>
      <c r="EK308" s="21">
        <f t="shared" si="410"/>
        <v>0</v>
      </c>
      <c r="EL308" s="21">
        <f t="shared" si="410"/>
        <v>0</v>
      </c>
      <c r="EM308" s="21">
        <f t="shared" si="410"/>
        <v>0</v>
      </c>
      <c r="EN308" s="21">
        <f t="shared" si="410"/>
        <v>0</v>
      </c>
      <c r="EO308" s="21">
        <f t="shared" si="410"/>
        <v>0</v>
      </c>
      <c r="EP308" s="21">
        <f t="shared" ref="EP308:EW308" si="411">IF($F$290, 0, IF($E$294, IF(AND(COLUMN($EP$308)-COLUMN($DZ$303)=$Q$291,ROW($EP$308)-ROW($DZ$303)=$K$291), U$290, EP308), EP308))</f>
        <v>0</v>
      </c>
      <c r="EQ308" s="21">
        <f t="shared" si="411"/>
        <v>0</v>
      </c>
      <c r="ER308" s="21">
        <f t="shared" si="411"/>
        <v>0</v>
      </c>
      <c r="ES308" s="21">
        <f t="shared" si="411"/>
        <v>0</v>
      </c>
      <c r="ET308" s="21">
        <f t="shared" si="411"/>
        <v>0</v>
      </c>
      <c r="EU308" s="21">
        <f t="shared" si="411"/>
        <v>0</v>
      </c>
      <c r="EV308" s="21">
        <f t="shared" si="411"/>
        <v>0</v>
      </c>
      <c r="EW308" s="21">
        <f t="shared" si="411"/>
        <v>0</v>
      </c>
      <c r="EX308" s="21">
        <f t="shared" ref="EX308:FE308" si="412">IF($F$290, 0, IF($E$294, IF(AND(COLUMN($EX$308)-COLUMN($DZ$303)=$Q$291,ROW($EX$308)-ROW($DZ$303)=$K$291), U$290, EX308), EX308))</f>
        <v>0</v>
      </c>
      <c r="EY308" s="21">
        <f t="shared" si="412"/>
        <v>0</v>
      </c>
      <c r="EZ308" s="21">
        <f t="shared" si="412"/>
        <v>0</v>
      </c>
      <c r="FA308" s="21">
        <f t="shared" si="412"/>
        <v>0</v>
      </c>
      <c r="FB308" s="21">
        <f t="shared" si="412"/>
        <v>0</v>
      </c>
      <c r="FC308" s="21">
        <f t="shared" si="412"/>
        <v>0</v>
      </c>
      <c r="FD308" s="21">
        <f t="shared" si="412"/>
        <v>0</v>
      </c>
      <c r="FE308" s="21">
        <f t="shared" si="412"/>
        <v>0</v>
      </c>
      <c r="FF308" s="21">
        <f t="shared" ref="FF308:FM308" si="413">IF($F$290, 0, IF($E$294, IF(AND(COLUMN($FF$308)-COLUMN($DZ$303)=$Q$291,ROW($FF$308)-ROW($DZ$303)=$K$291), U$290, FF308), FF308))</f>
        <v>0</v>
      </c>
      <c r="FG308" s="21">
        <f t="shared" si="413"/>
        <v>0</v>
      </c>
      <c r="FH308" s="21">
        <f t="shared" si="413"/>
        <v>0</v>
      </c>
      <c r="FI308" s="21">
        <f t="shared" si="413"/>
        <v>0</v>
      </c>
      <c r="FJ308" s="21">
        <f t="shared" si="413"/>
        <v>0</v>
      </c>
      <c r="FK308" s="21">
        <f t="shared" si="413"/>
        <v>0</v>
      </c>
      <c r="FL308" s="21">
        <f t="shared" si="413"/>
        <v>0</v>
      </c>
      <c r="FM308" s="21">
        <f t="shared" si="413"/>
        <v>0</v>
      </c>
      <c r="FN308" s="21">
        <f t="shared" ref="FN308:FU308" si="414">IF($F$290, 0, IF($E$294, IF(AND(COLUMN($FN$308)-COLUMN($DZ$303)=$Q$291,ROW($FN$308)-ROW($DZ$303)=$K$291), U$290, FN308), FN308))</f>
        <v>0</v>
      </c>
      <c r="FO308" s="21">
        <f t="shared" si="414"/>
        <v>0</v>
      </c>
      <c r="FP308" s="21">
        <f t="shared" si="414"/>
        <v>0</v>
      </c>
      <c r="FQ308" s="21">
        <f t="shared" si="414"/>
        <v>0</v>
      </c>
      <c r="FR308" s="21">
        <f t="shared" si="414"/>
        <v>0</v>
      </c>
      <c r="FS308" s="21">
        <f t="shared" si="414"/>
        <v>0</v>
      </c>
      <c r="FT308" s="21">
        <f t="shared" si="414"/>
        <v>0</v>
      </c>
      <c r="FU308" s="21">
        <f t="shared" si="414"/>
        <v>0</v>
      </c>
      <c r="FV308" s="21">
        <f t="shared" ref="FV308:GC308" si="415">IF($F$290, 0, IF($E$294, IF(AND(COLUMN($FV$308)-COLUMN($DZ$303)=$Q$291,ROW($FV$308)-ROW($DZ$303)=$K$291), U$290, FV308), FV308))</f>
        <v>0</v>
      </c>
      <c r="FW308" s="21">
        <f t="shared" si="415"/>
        <v>0</v>
      </c>
      <c r="FX308" s="21">
        <f t="shared" si="415"/>
        <v>0</v>
      </c>
      <c r="FY308" s="21">
        <f t="shared" si="415"/>
        <v>0</v>
      </c>
      <c r="FZ308" s="21">
        <f t="shared" si="415"/>
        <v>0</v>
      </c>
      <c r="GA308" s="21">
        <f t="shared" si="415"/>
        <v>0</v>
      </c>
      <c r="GB308" s="21">
        <f t="shared" si="415"/>
        <v>0</v>
      </c>
      <c r="GC308" s="21">
        <f t="shared" si="415"/>
        <v>0</v>
      </c>
      <c r="GD308" s="21">
        <f t="shared" ref="GD308:GK308" si="416">IF($F$290, 0, IF($E$294, IF(AND(COLUMN($GD$308)-COLUMN($DZ$303)=$Q$291,ROW($GD$308)-ROW($DZ$303)=$K$291), U$290, GD308), GD308))</f>
        <v>0</v>
      </c>
      <c r="GE308" s="21">
        <f t="shared" si="416"/>
        <v>0</v>
      </c>
      <c r="GF308" s="21">
        <f t="shared" si="416"/>
        <v>0</v>
      </c>
      <c r="GG308" s="21">
        <f t="shared" si="416"/>
        <v>0</v>
      </c>
      <c r="GH308" s="21">
        <f t="shared" si="416"/>
        <v>0</v>
      </c>
      <c r="GI308" s="21">
        <f t="shared" si="416"/>
        <v>0</v>
      </c>
      <c r="GJ308" s="21">
        <f t="shared" si="416"/>
        <v>0</v>
      </c>
      <c r="GK308" s="21">
        <f t="shared" si="416"/>
        <v>0</v>
      </c>
      <c r="GL308" s="21">
        <f t="shared" ref="GL308:GS308" si="417">IF($F$290, 0, IF($F$294, IF(AND(COLUMN($GL$308)-COLUMN($GL$303)=$Q$291,ROW($GL$308)-ROW($GL$303)=$K$291), U$290, GL308), GL308))</f>
        <v>0</v>
      </c>
      <c r="GM308" s="21">
        <f t="shared" si="417"/>
        <v>0</v>
      </c>
      <c r="GN308" s="21">
        <f t="shared" si="417"/>
        <v>0</v>
      </c>
      <c r="GO308" s="21">
        <f t="shared" si="417"/>
        <v>0</v>
      </c>
      <c r="GP308" s="21">
        <f t="shared" si="417"/>
        <v>0</v>
      </c>
      <c r="GQ308" s="21">
        <f t="shared" si="417"/>
        <v>0</v>
      </c>
      <c r="GR308" s="21">
        <f t="shared" si="417"/>
        <v>0</v>
      </c>
      <c r="GS308" s="21">
        <f t="shared" si="417"/>
        <v>0</v>
      </c>
      <c r="GT308" s="21">
        <f t="shared" ref="GT308:HA308" si="418">IF($F$290, 0, IF($F$294, IF(AND(COLUMN($GT$308)-COLUMN($GL$303)=$Q$291,ROW($GT$308)-ROW($GL$303)=$K$291), U$290, GT308), GT308))</f>
        <v>0</v>
      </c>
      <c r="GU308" s="21">
        <f t="shared" si="418"/>
        <v>0</v>
      </c>
      <c r="GV308" s="21">
        <f t="shared" si="418"/>
        <v>0</v>
      </c>
      <c r="GW308" s="21">
        <f t="shared" si="418"/>
        <v>0</v>
      </c>
      <c r="GX308" s="21">
        <f t="shared" si="418"/>
        <v>0</v>
      </c>
      <c r="GY308" s="21">
        <f t="shared" si="418"/>
        <v>0</v>
      </c>
      <c r="GZ308" s="21">
        <f t="shared" si="418"/>
        <v>0</v>
      </c>
      <c r="HA308" s="21">
        <f t="shared" si="418"/>
        <v>0</v>
      </c>
      <c r="HB308" s="21">
        <f t="shared" ref="HB308:HI308" si="419">IF($F$290, 0, IF($F$294, IF(AND(COLUMN($HB$308)-COLUMN($GL$303)=$Q$291,ROW($HB$308)-ROW($GL$303)=$K$291), U$290, HB308), HB308))</f>
        <v>0</v>
      </c>
      <c r="HC308" s="21">
        <f t="shared" si="419"/>
        <v>0</v>
      </c>
      <c r="HD308" s="21">
        <f t="shared" si="419"/>
        <v>0</v>
      </c>
      <c r="HE308" s="21">
        <f t="shared" si="419"/>
        <v>0</v>
      </c>
      <c r="HF308" s="21">
        <f t="shared" si="419"/>
        <v>0</v>
      </c>
      <c r="HG308" s="21">
        <f t="shared" si="419"/>
        <v>0</v>
      </c>
      <c r="HH308" s="21">
        <f t="shared" si="419"/>
        <v>0</v>
      </c>
      <c r="HI308" s="21">
        <f t="shared" si="419"/>
        <v>0</v>
      </c>
      <c r="HJ308" s="21">
        <f t="shared" ref="HJ308:HQ308" si="420">IF($F$290, 0, IF($F$294, IF(AND(COLUMN($HJ$308)-COLUMN($GL$303)=$Q$291,ROW($HJ$308)-ROW($GL$303)=$K$291), U$290, HJ308), HJ308))</f>
        <v>0</v>
      </c>
      <c r="HK308" s="21">
        <f t="shared" si="420"/>
        <v>0</v>
      </c>
      <c r="HL308" s="21">
        <f t="shared" si="420"/>
        <v>0</v>
      </c>
      <c r="HM308" s="21">
        <f t="shared" si="420"/>
        <v>0</v>
      </c>
      <c r="HN308" s="21">
        <f t="shared" si="420"/>
        <v>0</v>
      </c>
      <c r="HO308" s="21">
        <f t="shared" si="420"/>
        <v>0</v>
      </c>
      <c r="HP308" s="21">
        <f t="shared" si="420"/>
        <v>0</v>
      </c>
      <c r="HQ308" s="21">
        <f t="shared" si="420"/>
        <v>0</v>
      </c>
      <c r="HR308" s="21">
        <f t="shared" ref="HR308:HY308" si="421">IF($F$290, 0, IF($F$294, IF(AND(COLUMN($HR$308)-COLUMN($GL$303)=$Q$291,ROW($HR$308)-ROW($GL$303)=$K$291), U$290, HR308), HR308))</f>
        <v>0</v>
      </c>
      <c r="HS308" s="21">
        <f t="shared" si="421"/>
        <v>0</v>
      </c>
      <c r="HT308" s="21">
        <f t="shared" si="421"/>
        <v>0</v>
      </c>
      <c r="HU308" s="21">
        <f t="shared" si="421"/>
        <v>0</v>
      </c>
      <c r="HV308" s="21">
        <f t="shared" si="421"/>
        <v>0</v>
      </c>
      <c r="HW308" s="21">
        <f t="shared" si="421"/>
        <v>0</v>
      </c>
      <c r="HX308" s="21">
        <f t="shared" si="421"/>
        <v>0</v>
      </c>
      <c r="HY308" s="21">
        <f t="shared" si="421"/>
        <v>0</v>
      </c>
      <c r="HZ308" s="21">
        <f t="shared" ref="HZ308:IG308" si="422">IF($F$290, 0, IF($F$294, IF(AND(COLUMN($HZ$308)-COLUMN($GL$303)=$Q$291,ROW($HZ$308)-ROW($GL$303)=$K$291), U$290, HZ308), HZ308))</f>
        <v>0</v>
      </c>
      <c r="IA308" s="21">
        <f t="shared" si="422"/>
        <v>0</v>
      </c>
      <c r="IB308" s="21">
        <f t="shared" si="422"/>
        <v>0</v>
      </c>
      <c r="IC308" s="21">
        <f t="shared" si="422"/>
        <v>0</v>
      </c>
      <c r="ID308" s="21">
        <f t="shared" si="422"/>
        <v>0</v>
      </c>
      <c r="IE308" s="21">
        <f t="shared" si="422"/>
        <v>0</v>
      </c>
      <c r="IF308" s="21">
        <f t="shared" si="422"/>
        <v>0</v>
      </c>
      <c r="IG308" s="21">
        <f t="shared" si="422"/>
        <v>0</v>
      </c>
      <c r="IH308" s="21">
        <f t="shared" ref="IH308:IO308" si="423">IF($F$290, 0, IF($F$294, IF(AND(COLUMN($IH$308)-COLUMN($GL$303)=$Q$291,ROW($IH$308)-ROW($GL$303)=$K$291), U$290, IH308), IH308))</f>
        <v>0</v>
      </c>
      <c r="II308" s="21">
        <f t="shared" si="423"/>
        <v>0</v>
      </c>
      <c r="IJ308" s="21">
        <f t="shared" si="423"/>
        <v>0</v>
      </c>
      <c r="IK308" s="21">
        <f t="shared" si="423"/>
        <v>0</v>
      </c>
      <c r="IL308" s="21">
        <f t="shared" si="423"/>
        <v>0</v>
      </c>
      <c r="IM308" s="21">
        <f t="shared" si="423"/>
        <v>0</v>
      </c>
      <c r="IN308" s="21">
        <f t="shared" si="423"/>
        <v>0</v>
      </c>
      <c r="IO308" s="21">
        <f t="shared" si="423"/>
        <v>0</v>
      </c>
      <c r="IP308" s="21">
        <f t="shared" ref="IP308:IW308" si="424">IF($F$290, 0, IF($F$294, IF(AND(COLUMN($IP$308)-COLUMN($GL$303)=$Q$291,ROW($IP$308)-ROW($GL$303)=$K$291), U$290, IP308), IP308))</f>
        <v>0</v>
      </c>
      <c r="IQ308" s="21">
        <f t="shared" si="424"/>
        <v>0</v>
      </c>
      <c r="IR308" s="21">
        <f t="shared" si="424"/>
        <v>0</v>
      </c>
      <c r="IS308" s="21">
        <f t="shared" si="424"/>
        <v>0</v>
      </c>
      <c r="IT308" s="21">
        <f t="shared" si="424"/>
        <v>0</v>
      </c>
      <c r="IU308" s="21">
        <f t="shared" si="424"/>
        <v>0</v>
      </c>
      <c r="IV308" s="21">
        <f t="shared" si="424"/>
        <v>0</v>
      </c>
      <c r="IW308" s="21">
        <f t="shared" si="424"/>
        <v>0</v>
      </c>
      <c r="IX308" s="21">
        <f t="shared" ref="IX308:JE308" si="425">IF($F$290, 0, IF($G$294, IF(AND(COLUMN($IX$308)-COLUMN($IX$303)=$Q$291,ROW($IX$308)-ROW($IX$303)=$K$291), U$290, IX308), IX308))</f>
        <v>0</v>
      </c>
      <c r="IY308" s="21">
        <f t="shared" si="425"/>
        <v>0</v>
      </c>
      <c r="IZ308" s="21">
        <f t="shared" si="425"/>
        <v>0</v>
      </c>
      <c r="JA308" s="21">
        <f t="shared" si="425"/>
        <v>0</v>
      </c>
      <c r="JB308" s="21">
        <f t="shared" si="425"/>
        <v>0</v>
      </c>
      <c r="JC308" s="21">
        <f t="shared" si="425"/>
        <v>0</v>
      </c>
      <c r="JD308" s="21">
        <f t="shared" si="425"/>
        <v>0</v>
      </c>
      <c r="JE308" s="21">
        <f t="shared" si="425"/>
        <v>0</v>
      </c>
      <c r="JF308" s="21">
        <f t="shared" ref="JF308:JM308" si="426">IF($F$290, 0, IF($G$294, IF(AND(COLUMN($JF$308)-COLUMN($IX$303)=$Q$291,ROW($JF$308)-ROW($IX$303)=$K$291), U$290, JF308), JF308))</f>
        <v>0</v>
      </c>
      <c r="JG308" s="21">
        <f t="shared" si="426"/>
        <v>0</v>
      </c>
      <c r="JH308" s="21">
        <f t="shared" si="426"/>
        <v>0</v>
      </c>
      <c r="JI308" s="21">
        <f t="shared" si="426"/>
        <v>0</v>
      </c>
      <c r="JJ308" s="21">
        <f t="shared" si="426"/>
        <v>0</v>
      </c>
      <c r="JK308" s="21">
        <f t="shared" si="426"/>
        <v>0</v>
      </c>
      <c r="JL308" s="21">
        <f t="shared" si="426"/>
        <v>0</v>
      </c>
      <c r="JM308" s="21">
        <f t="shared" si="426"/>
        <v>0</v>
      </c>
      <c r="JN308" s="21">
        <f t="shared" ref="JN308:JU308" si="427">IF($F$290, 0, IF($G$294, IF(AND(COLUMN($JN$308)-COLUMN($IX$303)=$Q$291,ROW($JN$308)-ROW($IX$303)=$K$291), U$290, JN308), JN308))</f>
        <v>0</v>
      </c>
      <c r="JO308" s="21">
        <f t="shared" si="427"/>
        <v>0</v>
      </c>
      <c r="JP308" s="21">
        <f t="shared" si="427"/>
        <v>0</v>
      </c>
      <c r="JQ308" s="21">
        <f t="shared" si="427"/>
        <v>0</v>
      </c>
      <c r="JR308" s="21">
        <f t="shared" si="427"/>
        <v>0</v>
      </c>
      <c r="JS308" s="21">
        <f t="shared" si="427"/>
        <v>0</v>
      </c>
      <c r="JT308" s="21">
        <f t="shared" si="427"/>
        <v>0</v>
      </c>
      <c r="JU308" s="21">
        <f t="shared" si="427"/>
        <v>0</v>
      </c>
      <c r="JV308" s="21">
        <f t="shared" ref="JV308:KC308" si="428">IF($F$290, 0, IF($G$294, IF(AND(COLUMN($JV$308)-COLUMN($IX$303)=$Q$291,ROW($JV$308)-ROW($IX$303)=$K$291), U$290, JV308), JV308))</f>
        <v>0</v>
      </c>
      <c r="JW308" s="21">
        <f t="shared" si="428"/>
        <v>0</v>
      </c>
      <c r="JX308" s="21">
        <f t="shared" si="428"/>
        <v>0</v>
      </c>
      <c r="JY308" s="21">
        <f t="shared" si="428"/>
        <v>0</v>
      </c>
      <c r="JZ308" s="21">
        <f t="shared" si="428"/>
        <v>0</v>
      </c>
      <c r="KA308" s="21">
        <f t="shared" si="428"/>
        <v>0</v>
      </c>
      <c r="KB308" s="21">
        <f t="shared" si="428"/>
        <v>0</v>
      </c>
      <c r="KC308" s="21">
        <f t="shared" si="428"/>
        <v>0</v>
      </c>
      <c r="KD308" s="21">
        <f t="shared" ref="KD308:KK308" si="429">IF($F$290, 0, IF($G$294, IF(AND(COLUMN($KD$308)-COLUMN($IX$303)=$Q$291,ROW($KD$308)-ROW($IX$303)=$K$291), U$290, KD308), KD308))</f>
        <v>0</v>
      </c>
      <c r="KE308" s="21">
        <f t="shared" si="429"/>
        <v>0</v>
      </c>
      <c r="KF308" s="21">
        <f t="shared" si="429"/>
        <v>0</v>
      </c>
      <c r="KG308" s="21">
        <f t="shared" si="429"/>
        <v>0</v>
      </c>
      <c r="KH308" s="21">
        <f t="shared" si="429"/>
        <v>0</v>
      </c>
      <c r="KI308" s="21">
        <f t="shared" si="429"/>
        <v>0</v>
      </c>
      <c r="KJ308" s="21">
        <f t="shared" si="429"/>
        <v>0</v>
      </c>
      <c r="KK308" s="21">
        <f t="shared" si="429"/>
        <v>0</v>
      </c>
      <c r="KL308" s="21">
        <f t="shared" ref="KL308:KS308" si="430">IF($F$290, 0, IF($G$294, IF(AND(COLUMN($KL$308)-COLUMN($IX$303)=$Q$291,ROW($KL$308)-ROW($IX$303)=$K$291), U$290, KL308), KL308))</f>
        <v>0</v>
      </c>
      <c r="KM308" s="21">
        <f t="shared" si="430"/>
        <v>0</v>
      </c>
      <c r="KN308" s="21">
        <f t="shared" si="430"/>
        <v>0</v>
      </c>
      <c r="KO308" s="21">
        <f t="shared" si="430"/>
        <v>0</v>
      </c>
      <c r="KP308" s="21">
        <f t="shared" si="430"/>
        <v>0</v>
      </c>
      <c r="KQ308" s="21">
        <f t="shared" si="430"/>
        <v>0</v>
      </c>
      <c r="KR308" s="21">
        <f t="shared" si="430"/>
        <v>0</v>
      </c>
      <c r="KS308" s="21">
        <f t="shared" si="430"/>
        <v>0</v>
      </c>
      <c r="KT308" s="21">
        <f t="shared" ref="KT308:LA308" si="431">IF($F$290, 0, IF($G$294, IF(AND(COLUMN($KT$308)-COLUMN($IX$303)=$Q$291,ROW($KT$308)-ROW($IX$303)=$K$291), U$290, KT308), KT308))</f>
        <v>0</v>
      </c>
      <c r="KU308" s="21">
        <f t="shared" si="431"/>
        <v>0</v>
      </c>
      <c r="KV308" s="21">
        <f t="shared" si="431"/>
        <v>0</v>
      </c>
      <c r="KW308" s="21">
        <f t="shared" si="431"/>
        <v>0</v>
      </c>
      <c r="KX308" s="21">
        <f t="shared" si="431"/>
        <v>0</v>
      </c>
      <c r="KY308" s="21">
        <f t="shared" si="431"/>
        <v>0</v>
      </c>
      <c r="KZ308" s="21">
        <f t="shared" si="431"/>
        <v>0</v>
      </c>
      <c r="LA308" s="21">
        <f t="shared" si="431"/>
        <v>0</v>
      </c>
      <c r="LB308" s="21">
        <f t="shared" ref="LB308:LI308" si="432">IF($F$290, 0, IF($G$294, IF(AND(COLUMN($LB$308)-COLUMN($IX$303)=$Q$291,ROW($LB$308)-ROW($IX$303)=$K$291), U$290, LB308), LB308))</f>
        <v>0</v>
      </c>
      <c r="LC308" s="21">
        <f t="shared" si="432"/>
        <v>0</v>
      </c>
      <c r="LD308" s="21">
        <f t="shared" si="432"/>
        <v>0</v>
      </c>
      <c r="LE308" s="21">
        <f t="shared" si="432"/>
        <v>0</v>
      </c>
      <c r="LF308" s="21">
        <f t="shared" si="432"/>
        <v>0</v>
      </c>
      <c r="LG308" s="21">
        <f t="shared" si="432"/>
        <v>0</v>
      </c>
      <c r="LH308" s="21">
        <f t="shared" si="432"/>
        <v>0</v>
      </c>
      <c r="LI308" s="21">
        <f t="shared" si="432"/>
        <v>0</v>
      </c>
      <c r="LJ308" s="21">
        <f t="shared" ref="LJ308:LQ308" si="433">IF($F$290, 0, IF($H$294, IF(AND(COLUMN($LJ$308)-COLUMN($LJ$303)=$Q$291,ROW($LJ$308)-ROW($LJ$303)=$K$291), U$290, LJ308), LJ308))</f>
        <v>0</v>
      </c>
      <c r="LK308" s="21">
        <f t="shared" si="433"/>
        <v>0</v>
      </c>
      <c r="LL308" s="21">
        <f t="shared" si="433"/>
        <v>0</v>
      </c>
      <c r="LM308" s="21">
        <f t="shared" si="433"/>
        <v>0</v>
      </c>
      <c r="LN308" s="21">
        <f t="shared" si="433"/>
        <v>0</v>
      </c>
      <c r="LO308" s="21">
        <f t="shared" si="433"/>
        <v>0</v>
      </c>
      <c r="LP308" s="21">
        <f t="shared" si="433"/>
        <v>0</v>
      </c>
      <c r="LQ308" s="21">
        <f t="shared" si="433"/>
        <v>0</v>
      </c>
      <c r="LR308" s="21">
        <f t="shared" ref="LR308:LY308" si="434">IF($F$290, 0, IF($H$294, IF(AND(COLUMN($LR$308)-COLUMN($LJ$303)=$Q$291,ROW($LR$308)-ROW($LJ$303)=$K$291), U$290, LR308), LR308))</f>
        <v>0</v>
      </c>
      <c r="LS308" s="21">
        <f t="shared" si="434"/>
        <v>0</v>
      </c>
      <c r="LT308" s="21">
        <f t="shared" si="434"/>
        <v>0</v>
      </c>
      <c r="LU308" s="21">
        <f t="shared" si="434"/>
        <v>0</v>
      </c>
      <c r="LV308" s="21">
        <f t="shared" si="434"/>
        <v>0</v>
      </c>
      <c r="LW308" s="21">
        <f t="shared" si="434"/>
        <v>0</v>
      </c>
      <c r="LX308" s="21">
        <f t="shared" si="434"/>
        <v>0</v>
      </c>
      <c r="LY308" s="21">
        <f t="shared" si="434"/>
        <v>0</v>
      </c>
      <c r="LZ308" s="21">
        <f t="shared" ref="LZ308:MG308" si="435">IF($F$290, 0, IF($H$294, IF(AND(COLUMN($LZ$308)-COLUMN($LJ$303)=$Q$291,ROW($LZ$308)-ROW($LJ$303)=$K$291), U$290, LZ308), LZ308))</f>
        <v>0</v>
      </c>
      <c r="MA308" s="21">
        <f t="shared" si="435"/>
        <v>0</v>
      </c>
      <c r="MB308" s="21">
        <f t="shared" si="435"/>
        <v>0</v>
      </c>
      <c r="MC308" s="21">
        <f t="shared" si="435"/>
        <v>0</v>
      </c>
      <c r="MD308" s="21">
        <f t="shared" si="435"/>
        <v>0</v>
      </c>
      <c r="ME308" s="21">
        <f t="shared" si="435"/>
        <v>0</v>
      </c>
      <c r="MF308" s="21">
        <f t="shared" si="435"/>
        <v>0</v>
      </c>
      <c r="MG308" s="21">
        <f t="shared" si="435"/>
        <v>0</v>
      </c>
      <c r="MH308" s="21">
        <f t="shared" ref="MH308:MO308" si="436">IF($F$290, 0, IF($H$294, IF(AND(COLUMN($MH$308)-COLUMN($LJ$303)=$Q$291,ROW($MH$308)-ROW($LJ$303)=$K$291), U$290, MH308), MH308))</f>
        <v>0</v>
      </c>
      <c r="MI308" s="21">
        <f t="shared" si="436"/>
        <v>0</v>
      </c>
      <c r="MJ308" s="21">
        <f t="shared" si="436"/>
        <v>0</v>
      </c>
      <c r="MK308" s="21">
        <f t="shared" si="436"/>
        <v>0</v>
      </c>
      <c r="ML308" s="21">
        <f t="shared" si="436"/>
        <v>0</v>
      </c>
      <c r="MM308" s="21">
        <f t="shared" si="436"/>
        <v>0</v>
      </c>
      <c r="MN308" s="21">
        <f t="shared" si="436"/>
        <v>0</v>
      </c>
      <c r="MO308" s="21">
        <f t="shared" si="436"/>
        <v>0</v>
      </c>
      <c r="MP308" s="21">
        <f t="shared" ref="MP308:MW308" si="437">IF($F$290, 0, IF($H$294, IF(AND(COLUMN($MP$308)-COLUMN($LJ$303)=$Q$291,ROW($MP$308)-ROW($LJ$303)=$K$291), U$290, MP308), MP308))</f>
        <v>0</v>
      </c>
      <c r="MQ308" s="21">
        <f t="shared" si="437"/>
        <v>0</v>
      </c>
      <c r="MR308" s="21">
        <f t="shared" si="437"/>
        <v>0</v>
      </c>
      <c r="MS308" s="21">
        <f t="shared" si="437"/>
        <v>0</v>
      </c>
      <c r="MT308" s="21">
        <f t="shared" si="437"/>
        <v>0</v>
      </c>
      <c r="MU308" s="21">
        <f t="shared" si="437"/>
        <v>0</v>
      </c>
      <c r="MV308" s="21">
        <f t="shared" si="437"/>
        <v>0</v>
      </c>
      <c r="MW308" s="21">
        <f t="shared" si="437"/>
        <v>0</v>
      </c>
      <c r="MX308" s="21">
        <f t="shared" ref="MX308:NE308" si="438">IF($F$290, 0, IF($H$294, IF(AND(COLUMN($MX$308)-COLUMN($LJ$303)=$Q$291,ROW($MX$308)-ROW($LJ$303)=$K$291), U$290, MX308), MX308))</f>
        <v>0</v>
      </c>
      <c r="MY308" s="21">
        <f t="shared" si="438"/>
        <v>0</v>
      </c>
      <c r="MZ308" s="21">
        <f t="shared" si="438"/>
        <v>0</v>
      </c>
      <c r="NA308" s="21">
        <f t="shared" si="438"/>
        <v>0</v>
      </c>
      <c r="NB308" s="21">
        <f t="shared" si="438"/>
        <v>0</v>
      </c>
      <c r="NC308" s="21">
        <f t="shared" si="438"/>
        <v>0</v>
      </c>
      <c r="ND308" s="21">
        <f t="shared" si="438"/>
        <v>0</v>
      </c>
      <c r="NE308" s="21">
        <f t="shared" si="438"/>
        <v>0</v>
      </c>
      <c r="NF308" s="21">
        <f t="shared" ref="NF308:NM308" si="439">IF($F$290, 0, IF($H$294, IF(AND(COLUMN($NF$308)-COLUMN($LJ$303)=$Q$291,ROW($NF$308)-ROW($LJ$303)=$K$291), U$290, NF308), NF308))</f>
        <v>0</v>
      </c>
      <c r="NG308" s="21">
        <f t="shared" si="439"/>
        <v>0</v>
      </c>
      <c r="NH308" s="21">
        <f t="shared" si="439"/>
        <v>0</v>
      </c>
      <c r="NI308" s="21">
        <f t="shared" si="439"/>
        <v>0</v>
      </c>
      <c r="NJ308" s="21">
        <f t="shared" si="439"/>
        <v>0</v>
      </c>
      <c r="NK308" s="21">
        <f t="shared" si="439"/>
        <v>0</v>
      </c>
      <c r="NL308" s="21">
        <f t="shared" si="439"/>
        <v>0</v>
      </c>
      <c r="NM308" s="21">
        <f t="shared" si="439"/>
        <v>0</v>
      </c>
      <c r="NN308" s="21">
        <f t="shared" ref="NN308:NU308" si="440">IF($F$290, 0, IF($H$294, IF(AND(COLUMN($NN$308)-COLUMN($LJ$303)=$Q$291,ROW($NN$308)-ROW($LJ$303)=$K$291), U$290, NN308), NN308))</f>
        <v>0</v>
      </c>
      <c r="NO308" s="21">
        <f t="shared" si="440"/>
        <v>0</v>
      </c>
      <c r="NP308" s="21">
        <f t="shared" si="440"/>
        <v>0</v>
      </c>
      <c r="NQ308" s="21">
        <f t="shared" si="440"/>
        <v>0</v>
      </c>
      <c r="NR308" s="21">
        <f t="shared" si="440"/>
        <v>0</v>
      </c>
      <c r="NS308" s="21">
        <f t="shared" si="440"/>
        <v>0</v>
      </c>
      <c r="NT308" s="21">
        <f t="shared" si="440"/>
        <v>0</v>
      </c>
      <c r="NU308" s="21">
        <f t="shared" si="440"/>
        <v>0</v>
      </c>
      <c r="NV308" s="21">
        <f t="shared" ref="NV308:OC308" si="441">IF($F$290, 0, IF($I$294, IF(AND(COLUMN($NV$308)-COLUMN($NV$303)=$Q$291,ROW($NV$308)-ROW($NV$303)=$K$291), U$290, NV308), NV308))</f>
        <v>0</v>
      </c>
      <c r="NW308" s="21">
        <f t="shared" si="441"/>
        <v>0</v>
      </c>
      <c r="NX308" s="21">
        <f t="shared" si="441"/>
        <v>0</v>
      </c>
      <c r="NY308" s="21">
        <f t="shared" si="441"/>
        <v>0</v>
      </c>
      <c r="NZ308" s="21">
        <f t="shared" si="441"/>
        <v>0</v>
      </c>
      <c r="OA308" s="21">
        <f t="shared" si="441"/>
        <v>0</v>
      </c>
      <c r="OB308" s="21">
        <f t="shared" si="441"/>
        <v>0</v>
      </c>
      <c r="OC308" s="21">
        <f t="shared" si="441"/>
        <v>0</v>
      </c>
      <c r="OD308" s="21">
        <f t="shared" ref="OD308:OK308" si="442">IF($F$290, 0, IF($I$294, IF(AND(COLUMN($OD$308)-COLUMN($NV$303)=$Q$291,ROW($OD$308)-ROW($NV$303)=$K$291), U$290, OD308), OD308))</f>
        <v>0</v>
      </c>
      <c r="OE308" s="21">
        <f t="shared" si="442"/>
        <v>0</v>
      </c>
      <c r="OF308" s="21">
        <f t="shared" si="442"/>
        <v>0</v>
      </c>
      <c r="OG308" s="21">
        <f t="shared" si="442"/>
        <v>0</v>
      </c>
      <c r="OH308" s="21">
        <f t="shared" si="442"/>
        <v>0</v>
      </c>
      <c r="OI308" s="21">
        <f t="shared" si="442"/>
        <v>0</v>
      </c>
      <c r="OJ308" s="21">
        <f t="shared" si="442"/>
        <v>0</v>
      </c>
      <c r="OK308" s="21">
        <f t="shared" si="442"/>
        <v>0</v>
      </c>
      <c r="OL308" s="21">
        <f t="shared" ref="OL308:OS308" si="443">IF($F$290, 0, IF($I$294, IF(AND(COLUMN($OL$308)-COLUMN($NV$303)=$Q$291,ROW($OL$308)-ROW($NV$303)=$K$291), U$290, OL308), OL308))</f>
        <v>0</v>
      </c>
      <c r="OM308" s="21">
        <f t="shared" si="443"/>
        <v>0</v>
      </c>
      <c r="ON308" s="21">
        <f t="shared" si="443"/>
        <v>0</v>
      </c>
      <c r="OO308" s="21">
        <f t="shared" si="443"/>
        <v>0</v>
      </c>
      <c r="OP308" s="21">
        <f t="shared" si="443"/>
        <v>0</v>
      </c>
      <c r="OQ308" s="21">
        <f t="shared" si="443"/>
        <v>0</v>
      </c>
      <c r="OR308" s="21">
        <f t="shared" si="443"/>
        <v>0</v>
      </c>
      <c r="OS308" s="21">
        <f t="shared" si="443"/>
        <v>0</v>
      </c>
      <c r="OT308" s="21">
        <f t="shared" ref="OT308:PA308" si="444">IF($F$290, 0, IF($I$294, IF(AND(COLUMN($OT$308)-COLUMN($NV$303)=$Q$291,ROW($OT$308)-ROW($NV$303)=$K$291), U$290, OT308), OT308))</f>
        <v>0</v>
      </c>
      <c r="OU308" s="21">
        <f t="shared" si="444"/>
        <v>0</v>
      </c>
      <c r="OV308" s="21">
        <f t="shared" si="444"/>
        <v>0</v>
      </c>
      <c r="OW308" s="21">
        <f t="shared" si="444"/>
        <v>0</v>
      </c>
      <c r="OX308" s="21">
        <f t="shared" si="444"/>
        <v>0</v>
      </c>
      <c r="OY308" s="21">
        <f t="shared" si="444"/>
        <v>0</v>
      </c>
      <c r="OZ308" s="21">
        <f t="shared" si="444"/>
        <v>0</v>
      </c>
      <c r="PA308" s="21">
        <f t="shared" si="444"/>
        <v>0</v>
      </c>
      <c r="PB308" s="21">
        <f t="shared" ref="PB308:PI308" si="445">IF($F$290, 0, IF($I$294, IF(AND(COLUMN($PB$308)-COLUMN($NV$303)=$Q$291,ROW($PB$308)-ROW($NV$303)=$K$291), U$290, PB308), PB308))</f>
        <v>0</v>
      </c>
      <c r="PC308" s="21">
        <f t="shared" si="445"/>
        <v>0</v>
      </c>
      <c r="PD308" s="21">
        <f t="shared" si="445"/>
        <v>0</v>
      </c>
      <c r="PE308" s="21">
        <f t="shared" si="445"/>
        <v>0</v>
      </c>
      <c r="PF308" s="21">
        <f t="shared" si="445"/>
        <v>0</v>
      </c>
      <c r="PG308" s="21">
        <f t="shared" si="445"/>
        <v>0</v>
      </c>
      <c r="PH308" s="21">
        <f t="shared" si="445"/>
        <v>0</v>
      </c>
      <c r="PI308" s="21">
        <f t="shared" si="445"/>
        <v>0</v>
      </c>
      <c r="PJ308" s="21">
        <f t="shared" ref="PJ308:PQ308" si="446">IF($F$290, 0, IF($I$294, IF(AND(COLUMN($PJ$308)-COLUMN($NV$303)=$Q$291,ROW($PJ$308)-ROW($NV$303)=$K$291), U$290, PJ308), PJ308))</f>
        <v>0</v>
      </c>
      <c r="PK308" s="21">
        <f t="shared" si="446"/>
        <v>0</v>
      </c>
      <c r="PL308" s="21">
        <f t="shared" si="446"/>
        <v>0</v>
      </c>
      <c r="PM308" s="21">
        <f t="shared" si="446"/>
        <v>0</v>
      </c>
      <c r="PN308" s="21">
        <f t="shared" si="446"/>
        <v>0</v>
      </c>
      <c r="PO308" s="21">
        <f t="shared" si="446"/>
        <v>0</v>
      </c>
      <c r="PP308" s="21">
        <f t="shared" si="446"/>
        <v>0</v>
      </c>
      <c r="PQ308" s="21">
        <f t="shared" si="446"/>
        <v>0</v>
      </c>
      <c r="PR308" s="21">
        <f t="shared" ref="PR308:PY308" si="447">IF($F$290, 0, IF($I$294, IF(AND(COLUMN($PR$308)-COLUMN($NV$303)=$Q$291,ROW($PR$308)-ROW($NV$303)=$K$291), U$290, PR308), PR308))</f>
        <v>0</v>
      </c>
      <c r="PS308" s="21">
        <f t="shared" si="447"/>
        <v>0</v>
      </c>
      <c r="PT308" s="21">
        <f t="shared" si="447"/>
        <v>0</v>
      </c>
      <c r="PU308" s="21">
        <f t="shared" si="447"/>
        <v>0</v>
      </c>
      <c r="PV308" s="21">
        <f t="shared" si="447"/>
        <v>0</v>
      </c>
      <c r="PW308" s="21">
        <f t="shared" si="447"/>
        <v>0</v>
      </c>
      <c r="PX308" s="21">
        <f t="shared" si="447"/>
        <v>0</v>
      </c>
      <c r="PY308" s="21">
        <f t="shared" si="447"/>
        <v>0</v>
      </c>
      <c r="PZ308" s="21">
        <f t="shared" ref="PZ308:QG308" si="448">IF($F$290, 0, IF($I$294, IF(AND(COLUMN($PZ$308)-COLUMN($NV$303)=$Q$291,ROW($PZ$308)-ROW($NV$303)=$K$291), U$290, PZ308), PZ308))</f>
        <v>0</v>
      </c>
      <c r="QA308" s="21">
        <f t="shared" si="448"/>
        <v>0</v>
      </c>
      <c r="QB308" s="21">
        <f t="shared" si="448"/>
        <v>0</v>
      </c>
      <c r="QC308" s="21">
        <f t="shared" si="448"/>
        <v>0</v>
      </c>
      <c r="QD308" s="21">
        <f t="shared" si="448"/>
        <v>0</v>
      </c>
      <c r="QE308" s="21">
        <f t="shared" si="448"/>
        <v>0</v>
      </c>
      <c r="QF308" s="21">
        <f t="shared" si="448"/>
        <v>0</v>
      </c>
      <c r="QG308" s="21">
        <f t="shared" si="448"/>
        <v>0</v>
      </c>
      <c r="QH308" s="21">
        <f t="shared" ref="QH308:QO308" si="449">IF($F$290, 0, IF($J$294, IF(AND(COLUMN($QH$308)-COLUMN($QH$303)=$Q$291,ROW($QH$308)-ROW($QH$303)=$K$291), U$290, QH308), QH308))</f>
        <v>0</v>
      </c>
      <c r="QI308" s="21">
        <f t="shared" si="449"/>
        <v>0</v>
      </c>
      <c r="QJ308" s="21">
        <f t="shared" si="449"/>
        <v>0</v>
      </c>
      <c r="QK308" s="21">
        <f t="shared" si="449"/>
        <v>0</v>
      </c>
      <c r="QL308" s="21">
        <f t="shared" si="449"/>
        <v>0</v>
      </c>
      <c r="QM308" s="21">
        <f t="shared" si="449"/>
        <v>0</v>
      </c>
      <c r="QN308" s="21">
        <f t="shared" si="449"/>
        <v>0</v>
      </c>
      <c r="QO308" s="21">
        <f t="shared" si="449"/>
        <v>0</v>
      </c>
      <c r="QP308" s="21">
        <f t="shared" ref="QP308:QW308" si="450">IF($F$290, 0, IF($J$294, IF(AND(COLUMN($QP$308)-COLUMN($QH$303)=$Q$291,ROW($QP$308)-ROW($QH$303)=$K$291), U$290, QP308), QP308))</f>
        <v>0</v>
      </c>
      <c r="QQ308" s="21">
        <f t="shared" si="450"/>
        <v>0</v>
      </c>
      <c r="QR308" s="21">
        <f t="shared" si="450"/>
        <v>0</v>
      </c>
      <c r="QS308" s="21">
        <f t="shared" si="450"/>
        <v>0</v>
      </c>
      <c r="QT308" s="21">
        <f t="shared" si="450"/>
        <v>0</v>
      </c>
      <c r="QU308" s="21">
        <f t="shared" si="450"/>
        <v>0</v>
      </c>
      <c r="QV308" s="21">
        <f t="shared" si="450"/>
        <v>0</v>
      </c>
      <c r="QW308" s="21">
        <f t="shared" si="450"/>
        <v>0</v>
      </c>
      <c r="QX308" s="21">
        <f t="shared" ref="QX308:RE308" si="451">IF($F$290, 0, IF($J$294, IF(AND(COLUMN($QX$308)-COLUMN($QH$303)=$Q$291,ROW($QX$308)-ROW($QH$303)=$K$291), U$290, QX308), QX308))</f>
        <v>0</v>
      </c>
      <c r="QY308" s="21">
        <f t="shared" si="451"/>
        <v>0</v>
      </c>
      <c r="QZ308" s="21">
        <f t="shared" si="451"/>
        <v>0</v>
      </c>
      <c r="RA308" s="21">
        <f t="shared" si="451"/>
        <v>0</v>
      </c>
      <c r="RB308" s="21">
        <f t="shared" si="451"/>
        <v>0</v>
      </c>
      <c r="RC308" s="21">
        <f t="shared" si="451"/>
        <v>0</v>
      </c>
      <c r="RD308" s="21">
        <f t="shared" si="451"/>
        <v>0</v>
      </c>
      <c r="RE308" s="21">
        <f t="shared" si="451"/>
        <v>0</v>
      </c>
      <c r="RF308" s="21">
        <f t="shared" ref="RF308:RM308" si="452">IF($F$290, 0, IF($J$294, IF(AND(COLUMN($RF$308)-COLUMN($QH$303)=$Q$291,ROW($RF$308)-ROW($QH$303)=$K$291), U$290, RF308), RF308))</f>
        <v>0</v>
      </c>
      <c r="RG308" s="21">
        <f t="shared" si="452"/>
        <v>0</v>
      </c>
      <c r="RH308" s="21">
        <f t="shared" si="452"/>
        <v>0</v>
      </c>
      <c r="RI308" s="21">
        <f t="shared" si="452"/>
        <v>0</v>
      </c>
      <c r="RJ308" s="21">
        <f t="shared" si="452"/>
        <v>0</v>
      </c>
      <c r="RK308" s="21">
        <f t="shared" si="452"/>
        <v>0</v>
      </c>
      <c r="RL308" s="21">
        <f t="shared" si="452"/>
        <v>0</v>
      </c>
      <c r="RM308" s="21">
        <f t="shared" si="452"/>
        <v>0</v>
      </c>
      <c r="RN308" s="21">
        <f t="shared" ref="RN308:RU308" si="453">IF($F$290, 0, IF($J$294, IF(AND(COLUMN($RN$308)-COLUMN($QH$303)=$Q$291,ROW($RN$308)-ROW($QH$303)=$K$291), U$290, RN308), RN308))</f>
        <v>0</v>
      </c>
      <c r="RO308" s="21">
        <f t="shared" si="453"/>
        <v>0</v>
      </c>
      <c r="RP308" s="21">
        <f t="shared" si="453"/>
        <v>0</v>
      </c>
      <c r="RQ308" s="21">
        <f t="shared" si="453"/>
        <v>0</v>
      </c>
      <c r="RR308" s="21">
        <f t="shared" si="453"/>
        <v>0</v>
      </c>
      <c r="RS308" s="21">
        <f t="shared" si="453"/>
        <v>0</v>
      </c>
      <c r="RT308" s="21">
        <f t="shared" si="453"/>
        <v>0</v>
      </c>
      <c r="RU308" s="21">
        <f t="shared" si="453"/>
        <v>0</v>
      </c>
      <c r="RV308" s="21">
        <f t="shared" ref="RV308:SC308" si="454">IF($F$290, 0, IF($J$294, IF(AND(COLUMN($RV$308)-COLUMN($QH$303)=$Q$291,ROW($RV$308)-ROW($QH$303)=$K$291), U$290, RV308), RV308))</f>
        <v>0</v>
      </c>
      <c r="RW308" s="21">
        <f t="shared" si="454"/>
        <v>0</v>
      </c>
      <c r="RX308" s="21">
        <f t="shared" si="454"/>
        <v>0</v>
      </c>
      <c r="RY308" s="21">
        <f t="shared" si="454"/>
        <v>0</v>
      </c>
      <c r="RZ308" s="21">
        <f t="shared" si="454"/>
        <v>0</v>
      </c>
      <c r="SA308" s="21">
        <f t="shared" si="454"/>
        <v>0</v>
      </c>
      <c r="SB308" s="21">
        <f t="shared" si="454"/>
        <v>0</v>
      </c>
      <c r="SC308" s="21">
        <f t="shared" si="454"/>
        <v>0</v>
      </c>
      <c r="SD308" s="21">
        <f t="shared" ref="SD308:SK308" si="455">IF($F$290, 0, IF($J$294, IF(AND(COLUMN($SD$308)-COLUMN($QH$303)=$Q$291,ROW($SD$308)-ROW($QH$303)=$K$291), U$290, SD308), SD308))</f>
        <v>0</v>
      </c>
      <c r="SE308" s="21">
        <f t="shared" si="455"/>
        <v>0</v>
      </c>
      <c r="SF308" s="21">
        <f t="shared" si="455"/>
        <v>0</v>
      </c>
      <c r="SG308" s="21">
        <f t="shared" si="455"/>
        <v>0</v>
      </c>
      <c r="SH308" s="21">
        <f t="shared" si="455"/>
        <v>0</v>
      </c>
      <c r="SI308" s="21">
        <f t="shared" si="455"/>
        <v>0</v>
      </c>
      <c r="SJ308" s="21">
        <f t="shared" si="455"/>
        <v>0</v>
      </c>
      <c r="SK308" s="21">
        <f t="shared" si="455"/>
        <v>0</v>
      </c>
      <c r="SL308" s="21">
        <f t="shared" ref="SL308:SS308" si="456">IF($F$290, 0, IF($J$294, IF(AND(COLUMN($SL$308)-COLUMN($QH$303)=$Q$291,ROW($SL$308)-ROW($QH$303)=$K$291), U$290, SL308), SL308))</f>
        <v>0</v>
      </c>
      <c r="SM308" s="21">
        <f t="shared" si="456"/>
        <v>0</v>
      </c>
      <c r="SN308" s="21">
        <f t="shared" si="456"/>
        <v>0</v>
      </c>
      <c r="SO308" s="21">
        <f t="shared" si="456"/>
        <v>0</v>
      </c>
      <c r="SP308" s="21">
        <f t="shared" si="456"/>
        <v>0</v>
      </c>
      <c r="SQ308" s="21">
        <f t="shared" si="456"/>
        <v>0</v>
      </c>
      <c r="SR308" s="21">
        <f t="shared" si="456"/>
        <v>0</v>
      </c>
      <c r="SS308" s="21">
        <f t="shared" si="456"/>
        <v>0</v>
      </c>
    </row>
    <row r="309" spans="2:513" ht="15" customHeight="1" x14ac:dyDescent="0.25">
      <c r="B309" s="21">
        <f t="shared" ref="B309:I309" si="457">IF($F$290, 0, IF($C$294, IF(AND(COLUMN($B$309)-COLUMN($B$303)=$Q$291,ROW($B$309)-ROW($B$303)=$K$291), U$290, B309), B309))</f>
        <v>0</v>
      </c>
      <c r="C309" s="21">
        <f t="shared" si="457"/>
        <v>0</v>
      </c>
      <c r="D309" s="21">
        <f t="shared" si="457"/>
        <v>0</v>
      </c>
      <c r="E309" s="21">
        <f t="shared" si="457"/>
        <v>0</v>
      </c>
      <c r="F309" s="21">
        <f t="shared" si="457"/>
        <v>0</v>
      </c>
      <c r="G309" s="21">
        <f t="shared" si="457"/>
        <v>0</v>
      </c>
      <c r="H309" s="21">
        <f t="shared" si="457"/>
        <v>0</v>
      </c>
      <c r="I309" s="21">
        <f t="shared" si="457"/>
        <v>0</v>
      </c>
      <c r="J309" s="21">
        <f t="shared" ref="J309:Q309" si="458">IF($F$290, 0, IF($C$294, IF(AND(COLUMN($J$309)-COLUMN($B$303)=$Q$291,ROW($J$309)-ROW($B$303)=$K$291), U$290, J309), J309))</f>
        <v>0</v>
      </c>
      <c r="K309" s="21">
        <f t="shared" si="458"/>
        <v>0</v>
      </c>
      <c r="L309" s="21">
        <f t="shared" si="458"/>
        <v>0</v>
      </c>
      <c r="M309" s="21">
        <f t="shared" si="458"/>
        <v>0</v>
      </c>
      <c r="N309" s="21">
        <f t="shared" si="458"/>
        <v>0</v>
      </c>
      <c r="O309" s="21">
        <f t="shared" si="458"/>
        <v>0</v>
      </c>
      <c r="P309" s="21">
        <f t="shared" si="458"/>
        <v>0</v>
      </c>
      <c r="Q309" s="21">
        <f t="shared" si="458"/>
        <v>0</v>
      </c>
      <c r="R309" s="21">
        <f>IF($F$290, 0, IF($C$294, IF(AND(COLUMN($R$309)-COLUMN($B$303)=$Q$291,ROW($R$309)-ROW($B$303)=$K$291), U$290, R309), R309))</f>
        <v>0</v>
      </c>
      <c r="S309" s="21">
        <f t="shared" ref="S309:Y309" si="459">IF($F$290, 0, IF($C$294, IF(AND(COLUMN($R$309)-COLUMN($B$303)=$Q$291,ROW($R$309)-ROW($B$303)=$K$291), V$290, S309), S309))</f>
        <v>0</v>
      </c>
      <c r="T309" s="21">
        <f t="shared" si="459"/>
        <v>0</v>
      </c>
      <c r="U309" s="21">
        <f t="shared" si="459"/>
        <v>0</v>
      </c>
      <c r="V309" s="21">
        <f t="shared" si="459"/>
        <v>0</v>
      </c>
      <c r="W309" s="21">
        <f t="shared" si="459"/>
        <v>0</v>
      </c>
      <c r="X309" s="21">
        <f t="shared" si="459"/>
        <v>0</v>
      </c>
      <c r="Y309" s="21">
        <f t="shared" si="459"/>
        <v>0</v>
      </c>
      <c r="Z309" s="21">
        <f t="shared" ref="Z309:AG309" si="460">IF($F$290, 0, IF($C$294, IF(AND(COLUMN($Z$309)-COLUMN($B$303)=$Q$291,ROW($Z$309)-ROW($B$303)=$K$291), U$290, Z309), Z309))</f>
        <v>0</v>
      </c>
      <c r="AA309" s="21">
        <f t="shared" si="460"/>
        <v>0</v>
      </c>
      <c r="AB309" s="21">
        <f t="shared" si="460"/>
        <v>0</v>
      </c>
      <c r="AC309" s="21">
        <f t="shared" si="460"/>
        <v>0</v>
      </c>
      <c r="AD309" s="21">
        <f t="shared" si="460"/>
        <v>0</v>
      </c>
      <c r="AE309" s="21">
        <f t="shared" si="460"/>
        <v>0</v>
      </c>
      <c r="AF309" s="21">
        <f t="shared" si="460"/>
        <v>0</v>
      </c>
      <c r="AG309" s="21">
        <f t="shared" si="460"/>
        <v>0</v>
      </c>
      <c r="AH309" s="21">
        <f t="shared" ref="AH309:AO309" si="461">IF($F$290, 0, IF($C$294, IF(AND(COLUMN($AH$309)-COLUMN($B$303)=$Q$291,ROW($AH$309)-ROW($B$303)=$K$291), U$290, AH309), AH309))</f>
        <v>0</v>
      </c>
      <c r="AI309" s="21">
        <f t="shared" si="461"/>
        <v>0</v>
      </c>
      <c r="AJ309" s="21">
        <f t="shared" si="461"/>
        <v>0</v>
      </c>
      <c r="AK309" s="21">
        <f t="shared" si="461"/>
        <v>0</v>
      </c>
      <c r="AL309" s="21">
        <f t="shared" si="461"/>
        <v>0</v>
      </c>
      <c r="AM309" s="21">
        <f t="shared" si="461"/>
        <v>0</v>
      </c>
      <c r="AN309" s="21">
        <f t="shared" si="461"/>
        <v>0</v>
      </c>
      <c r="AO309" s="21">
        <f t="shared" si="461"/>
        <v>0</v>
      </c>
      <c r="AP309" s="21">
        <f t="shared" ref="AP309:AW309" si="462">IF($F$290, 0, IF($C$294, IF(AND(COLUMN($AP$309)-COLUMN($B$303)=$Q$291,ROW($AP$309)-ROW($B$303)=$K$291), U$290, AP309), AP309))</f>
        <v>0</v>
      </c>
      <c r="AQ309" s="21">
        <f t="shared" si="462"/>
        <v>0</v>
      </c>
      <c r="AR309" s="21">
        <f t="shared" si="462"/>
        <v>0</v>
      </c>
      <c r="AS309" s="21">
        <f t="shared" si="462"/>
        <v>0</v>
      </c>
      <c r="AT309" s="21">
        <f t="shared" si="462"/>
        <v>0</v>
      </c>
      <c r="AU309" s="21">
        <f t="shared" si="462"/>
        <v>0</v>
      </c>
      <c r="AV309" s="21">
        <f t="shared" si="462"/>
        <v>0</v>
      </c>
      <c r="AW309" s="21">
        <f t="shared" si="462"/>
        <v>0</v>
      </c>
      <c r="AX309" s="21">
        <f t="shared" ref="AX309:BE309" si="463">IF($F$290, 0, IF($C$294, IF(AND(COLUMN($AX$309)-COLUMN($B$303)=$Q$291,ROW($AX$309)-ROW($B$303)=$K$291), U$290, AX309), AX309))</f>
        <v>0</v>
      </c>
      <c r="AY309" s="21">
        <f t="shared" si="463"/>
        <v>0</v>
      </c>
      <c r="AZ309" s="21">
        <f t="shared" si="463"/>
        <v>0</v>
      </c>
      <c r="BA309" s="21">
        <f t="shared" si="463"/>
        <v>0</v>
      </c>
      <c r="BB309" s="21">
        <f t="shared" si="463"/>
        <v>0</v>
      </c>
      <c r="BC309" s="21">
        <f t="shared" si="463"/>
        <v>0</v>
      </c>
      <c r="BD309" s="21">
        <f t="shared" si="463"/>
        <v>0</v>
      </c>
      <c r="BE309" s="21">
        <f t="shared" si="463"/>
        <v>0</v>
      </c>
      <c r="BF309" s="21">
        <f t="shared" ref="BF309:BM309" si="464">IF($F$290, 0, IF($C$294, IF(AND(COLUMN($BF$309)-COLUMN($B$303)=$Q$291,ROW($BF$309)-ROW($B$303)=$K$291), U$290, BF309), BF309))</f>
        <v>0</v>
      </c>
      <c r="BG309" s="21">
        <f t="shared" si="464"/>
        <v>0</v>
      </c>
      <c r="BH309" s="21">
        <f t="shared" si="464"/>
        <v>0</v>
      </c>
      <c r="BI309" s="21">
        <f t="shared" si="464"/>
        <v>0</v>
      </c>
      <c r="BJ309" s="21">
        <f t="shared" si="464"/>
        <v>0</v>
      </c>
      <c r="BK309" s="21">
        <f t="shared" si="464"/>
        <v>0</v>
      </c>
      <c r="BL309" s="21">
        <f t="shared" si="464"/>
        <v>0</v>
      </c>
      <c r="BM309" s="21">
        <f t="shared" si="464"/>
        <v>0</v>
      </c>
      <c r="BN309" s="21">
        <f t="shared" ref="BN309:BU309" si="465">IF($F$290, 0, IF($D$294, IF(AND(COLUMN($BN$309)-COLUMN($BN$303)=$Q$291,ROW($BN$309)-ROW($BN$303)=$K$291), U$290, BN309), BN309))</f>
        <v>0</v>
      </c>
      <c r="BO309" s="21">
        <f t="shared" si="465"/>
        <v>0</v>
      </c>
      <c r="BP309" s="21">
        <f t="shared" si="465"/>
        <v>0</v>
      </c>
      <c r="BQ309" s="21">
        <f t="shared" si="465"/>
        <v>0</v>
      </c>
      <c r="BR309" s="21">
        <f t="shared" si="465"/>
        <v>0</v>
      </c>
      <c r="BS309" s="21">
        <f t="shared" si="465"/>
        <v>0</v>
      </c>
      <c r="BT309" s="21">
        <f t="shared" si="465"/>
        <v>0</v>
      </c>
      <c r="BU309" s="21">
        <f t="shared" si="465"/>
        <v>0</v>
      </c>
      <c r="BV309" s="21">
        <f t="shared" ref="BV309:CC309" si="466">IF($F$290, 0, IF($D$294, IF(AND(COLUMN($BV$309)-COLUMN($BN$303)=$Q$291,ROW($BV$309)-ROW($BN$303)=$K$291), U$290, BV309), BV309))</f>
        <v>0</v>
      </c>
      <c r="BW309" s="21">
        <f t="shared" si="466"/>
        <v>0</v>
      </c>
      <c r="BX309" s="21">
        <f t="shared" si="466"/>
        <v>0</v>
      </c>
      <c r="BY309" s="21">
        <f t="shared" si="466"/>
        <v>0</v>
      </c>
      <c r="BZ309" s="21">
        <f t="shared" si="466"/>
        <v>0</v>
      </c>
      <c r="CA309" s="21">
        <f t="shared" si="466"/>
        <v>0</v>
      </c>
      <c r="CB309" s="21">
        <f t="shared" si="466"/>
        <v>0</v>
      </c>
      <c r="CC309" s="21">
        <f t="shared" si="466"/>
        <v>0</v>
      </c>
      <c r="CD309" s="21">
        <f t="shared" ref="CD309:CK309" si="467">IF($F$290, 0, IF($D$294, IF(AND(COLUMN($CD$309)-COLUMN($BN$303)=$Q$291,ROW($CD$309)-ROW($BN$303)=$K$291), U$290, CD309), CD309))</f>
        <v>0</v>
      </c>
      <c r="CE309" s="21">
        <f t="shared" si="467"/>
        <v>0</v>
      </c>
      <c r="CF309" s="21">
        <f t="shared" si="467"/>
        <v>0</v>
      </c>
      <c r="CG309" s="21">
        <f t="shared" si="467"/>
        <v>0</v>
      </c>
      <c r="CH309" s="21">
        <f t="shared" si="467"/>
        <v>0</v>
      </c>
      <c r="CI309" s="21">
        <f t="shared" si="467"/>
        <v>0</v>
      </c>
      <c r="CJ309" s="21">
        <f t="shared" si="467"/>
        <v>0</v>
      </c>
      <c r="CK309" s="21">
        <f t="shared" si="467"/>
        <v>0</v>
      </c>
      <c r="CL309" s="21">
        <f t="shared" ref="CL309:CS309" si="468">IF($F$290, 0, IF($D$294, IF(AND(COLUMN($CL$309)-COLUMN($BN$303)=$Q$291,ROW($CL$309)-ROW($BN$303)=$K$291), U$290, CL309), CL309))</f>
        <v>0</v>
      </c>
      <c r="CM309" s="21">
        <f t="shared" si="468"/>
        <v>0</v>
      </c>
      <c r="CN309" s="21">
        <f t="shared" si="468"/>
        <v>0</v>
      </c>
      <c r="CO309" s="21">
        <f t="shared" si="468"/>
        <v>0</v>
      </c>
      <c r="CP309" s="21">
        <f t="shared" si="468"/>
        <v>0</v>
      </c>
      <c r="CQ309" s="21">
        <f t="shared" si="468"/>
        <v>0</v>
      </c>
      <c r="CR309" s="21">
        <f t="shared" si="468"/>
        <v>0</v>
      </c>
      <c r="CS309" s="21">
        <f t="shared" si="468"/>
        <v>0</v>
      </c>
      <c r="CT309" s="21">
        <f t="shared" ref="CT309:DA309" si="469">IF($F$290, 0, IF($D$294, IF(AND(COLUMN($CT$309)-COLUMN($BN$303)=$Q$291,ROW($CT$309)-ROW($BN$303)=$K$291), U$290, CT309), CT309))</f>
        <v>0</v>
      </c>
      <c r="CU309" s="21">
        <f t="shared" si="469"/>
        <v>0</v>
      </c>
      <c r="CV309" s="21">
        <f t="shared" si="469"/>
        <v>0</v>
      </c>
      <c r="CW309" s="21">
        <f t="shared" si="469"/>
        <v>0</v>
      </c>
      <c r="CX309" s="21">
        <f t="shared" si="469"/>
        <v>0</v>
      </c>
      <c r="CY309" s="21">
        <f t="shared" si="469"/>
        <v>0</v>
      </c>
      <c r="CZ309" s="21">
        <f t="shared" si="469"/>
        <v>0</v>
      </c>
      <c r="DA309" s="21">
        <f t="shared" si="469"/>
        <v>0</v>
      </c>
      <c r="DB309" s="21">
        <f t="shared" ref="DB309:DI309" si="470">IF($F$290, 0, IF($D$294, IF(AND(COLUMN($DB$309)-COLUMN($BN$303)=$Q$291,ROW($DB$309)-ROW($BN$303)=$K$291), U$290, DB309), DB309))</f>
        <v>0</v>
      </c>
      <c r="DC309" s="21">
        <f t="shared" si="470"/>
        <v>0</v>
      </c>
      <c r="DD309" s="21">
        <f t="shared" si="470"/>
        <v>0</v>
      </c>
      <c r="DE309" s="21">
        <f t="shared" si="470"/>
        <v>0</v>
      </c>
      <c r="DF309" s="21">
        <f t="shared" si="470"/>
        <v>0</v>
      </c>
      <c r="DG309" s="21">
        <f t="shared" si="470"/>
        <v>0</v>
      </c>
      <c r="DH309" s="21">
        <f t="shared" si="470"/>
        <v>0</v>
      </c>
      <c r="DI309" s="21">
        <f t="shared" si="470"/>
        <v>0</v>
      </c>
      <c r="DJ309" s="21">
        <f t="shared" ref="DJ309:DQ309" si="471">IF($F$290, 0, IF($D$294, IF(AND(COLUMN($DJ$309)-COLUMN($BN$303)=$Q$291,ROW($DJ$309)-ROW($BN$303)=$K$291), U$290, DJ309), DJ309))</f>
        <v>0</v>
      </c>
      <c r="DK309" s="21">
        <f t="shared" si="471"/>
        <v>0</v>
      </c>
      <c r="DL309" s="21">
        <f t="shared" si="471"/>
        <v>0</v>
      </c>
      <c r="DM309" s="21">
        <f t="shared" si="471"/>
        <v>0</v>
      </c>
      <c r="DN309" s="21">
        <f t="shared" si="471"/>
        <v>0</v>
      </c>
      <c r="DO309" s="21">
        <f t="shared" si="471"/>
        <v>0</v>
      </c>
      <c r="DP309" s="21">
        <f t="shared" si="471"/>
        <v>0</v>
      </c>
      <c r="DQ309" s="21">
        <f t="shared" si="471"/>
        <v>0</v>
      </c>
      <c r="DR309" s="21">
        <f t="shared" ref="DR309:DY309" si="472">IF($F$290, 0, IF($D$294, IF(AND(COLUMN($DR$309)-COLUMN($BN$303)=$Q$291,ROW($DR$309)-ROW($BN$303)=$K$291), U$290, DR309), DR309))</f>
        <v>0</v>
      </c>
      <c r="DS309" s="21">
        <f t="shared" si="472"/>
        <v>0</v>
      </c>
      <c r="DT309" s="21">
        <f t="shared" si="472"/>
        <v>0</v>
      </c>
      <c r="DU309" s="21">
        <f t="shared" si="472"/>
        <v>0</v>
      </c>
      <c r="DV309" s="21">
        <f t="shared" si="472"/>
        <v>0</v>
      </c>
      <c r="DW309" s="21">
        <f t="shared" si="472"/>
        <v>0</v>
      </c>
      <c r="DX309" s="21">
        <f t="shared" si="472"/>
        <v>0</v>
      </c>
      <c r="DY309" s="21">
        <f t="shared" si="472"/>
        <v>0</v>
      </c>
      <c r="DZ309" s="21">
        <f t="shared" ref="DZ309:EG309" si="473">IF($F$290, 0, IF($E$294, IF(AND(COLUMN($DZ$309)-COLUMN($DZ$303)=$Q$291,ROW($DZ$309)-ROW($DZ$303)=$K$291), U$290, DZ309), DZ309))</f>
        <v>0</v>
      </c>
      <c r="EA309" s="21">
        <f t="shared" si="473"/>
        <v>0</v>
      </c>
      <c r="EB309" s="21">
        <f t="shared" si="473"/>
        <v>0</v>
      </c>
      <c r="EC309" s="21">
        <f t="shared" si="473"/>
        <v>0</v>
      </c>
      <c r="ED309" s="21">
        <f t="shared" si="473"/>
        <v>0</v>
      </c>
      <c r="EE309" s="21">
        <f t="shared" si="473"/>
        <v>0</v>
      </c>
      <c r="EF309" s="21">
        <f t="shared" si="473"/>
        <v>0</v>
      </c>
      <c r="EG309" s="21">
        <f t="shared" si="473"/>
        <v>0</v>
      </c>
      <c r="EH309" s="21">
        <f t="shared" ref="EH309:EO309" si="474">IF($F$290, 0, IF($E$294, IF(AND(COLUMN($EH$309)-COLUMN($DZ$303)=$Q$291,ROW($EH$309)-ROW($DZ$303)=$K$291), U$290, EH309), EH309))</f>
        <v>0</v>
      </c>
      <c r="EI309" s="21">
        <f t="shared" si="474"/>
        <v>0</v>
      </c>
      <c r="EJ309" s="21">
        <f t="shared" si="474"/>
        <v>0</v>
      </c>
      <c r="EK309" s="21">
        <f t="shared" si="474"/>
        <v>0</v>
      </c>
      <c r="EL309" s="21">
        <f t="shared" si="474"/>
        <v>0</v>
      </c>
      <c r="EM309" s="21">
        <f t="shared" si="474"/>
        <v>0</v>
      </c>
      <c r="EN309" s="21">
        <f t="shared" si="474"/>
        <v>0</v>
      </c>
      <c r="EO309" s="21">
        <f t="shared" si="474"/>
        <v>0</v>
      </c>
      <c r="EP309" s="21">
        <f t="shared" ref="EP309:EW309" si="475">IF($F$290, 0, IF($E$294, IF(AND(COLUMN($EP$309)-COLUMN($DZ$303)=$Q$291,ROW($EP$309)-ROW($DZ$303)=$K$291), U$290, EP309), EP309))</f>
        <v>0</v>
      </c>
      <c r="EQ309" s="21">
        <f t="shared" si="475"/>
        <v>0</v>
      </c>
      <c r="ER309" s="21">
        <f t="shared" si="475"/>
        <v>0</v>
      </c>
      <c r="ES309" s="21">
        <f t="shared" si="475"/>
        <v>0</v>
      </c>
      <c r="ET309" s="21">
        <f t="shared" si="475"/>
        <v>0</v>
      </c>
      <c r="EU309" s="21">
        <f t="shared" si="475"/>
        <v>0</v>
      </c>
      <c r="EV309" s="21">
        <f t="shared" si="475"/>
        <v>0</v>
      </c>
      <c r="EW309" s="21">
        <f t="shared" si="475"/>
        <v>0</v>
      </c>
      <c r="EX309" s="21">
        <f t="shared" ref="EX309:FE309" si="476">IF($F$290, 0, IF($E$294, IF(AND(COLUMN($EX$309)-COLUMN($DZ$303)=$Q$291,ROW($EX$309)-ROW($DZ$303)=$K$291), U$290, EX309), EX309))</f>
        <v>0</v>
      </c>
      <c r="EY309" s="21">
        <f t="shared" si="476"/>
        <v>0</v>
      </c>
      <c r="EZ309" s="21">
        <f t="shared" si="476"/>
        <v>0</v>
      </c>
      <c r="FA309" s="21">
        <f t="shared" si="476"/>
        <v>0</v>
      </c>
      <c r="FB309" s="21">
        <f t="shared" si="476"/>
        <v>0</v>
      </c>
      <c r="FC309" s="21">
        <f t="shared" si="476"/>
        <v>0</v>
      </c>
      <c r="FD309" s="21">
        <f t="shared" si="476"/>
        <v>0</v>
      </c>
      <c r="FE309" s="21">
        <f t="shared" si="476"/>
        <v>0</v>
      </c>
      <c r="FF309" s="21">
        <f t="shared" ref="FF309:FM309" si="477">IF($F$290, 0, IF($E$294, IF(AND(COLUMN($FF$309)-COLUMN($DZ$303)=$Q$291,ROW($FF$309)-ROW($DZ$303)=$K$291), U$290, FF309), FF309))</f>
        <v>0</v>
      </c>
      <c r="FG309" s="21">
        <f t="shared" si="477"/>
        <v>0</v>
      </c>
      <c r="FH309" s="21">
        <f t="shared" si="477"/>
        <v>0</v>
      </c>
      <c r="FI309" s="21">
        <f t="shared" si="477"/>
        <v>0</v>
      </c>
      <c r="FJ309" s="21">
        <f t="shared" si="477"/>
        <v>0</v>
      </c>
      <c r="FK309" s="21">
        <f t="shared" si="477"/>
        <v>0</v>
      </c>
      <c r="FL309" s="21">
        <f t="shared" si="477"/>
        <v>0</v>
      </c>
      <c r="FM309" s="21">
        <f t="shared" si="477"/>
        <v>0</v>
      </c>
      <c r="FN309" s="21">
        <f t="shared" ref="FN309:FU309" si="478">IF($F$290, 0, IF($E$294, IF(AND(COLUMN($FN$309)-COLUMN($DZ$303)=$Q$291,ROW($FN$309)-ROW($DZ$303)=$K$291), U$290, FN309), FN309))</f>
        <v>0</v>
      </c>
      <c r="FO309" s="21">
        <f t="shared" si="478"/>
        <v>0</v>
      </c>
      <c r="FP309" s="21">
        <f t="shared" si="478"/>
        <v>0</v>
      </c>
      <c r="FQ309" s="21">
        <f t="shared" si="478"/>
        <v>0</v>
      </c>
      <c r="FR309" s="21">
        <f t="shared" si="478"/>
        <v>0</v>
      </c>
      <c r="FS309" s="21">
        <f t="shared" si="478"/>
        <v>0</v>
      </c>
      <c r="FT309" s="21">
        <f t="shared" si="478"/>
        <v>0</v>
      </c>
      <c r="FU309" s="21">
        <f t="shared" si="478"/>
        <v>0</v>
      </c>
      <c r="FV309" s="21">
        <f t="shared" ref="FV309:GC309" si="479">IF($F$290, 0, IF($E$294, IF(AND(COLUMN($FV$309)-COLUMN($DZ$303)=$Q$291,ROW($FV$309)-ROW($DZ$303)=$K$291), U$290, FV309), FV309))</f>
        <v>0</v>
      </c>
      <c r="FW309" s="21">
        <f t="shared" si="479"/>
        <v>0</v>
      </c>
      <c r="FX309" s="21">
        <f t="shared" si="479"/>
        <v>0</v>
      </c>
      <c r="FY309" s="21">
        <f t="shared" si="479"/>
        <v>0</v>
      </c>
      <c r="FZ309" s="21">
        <f t="shared" si="479"/>
        <v>0</v>
      </c>
      <c r="GA309" s="21">
        <f t="shared" si="479"/>
        <v>0</v>
      </c>
      <c r="GB309" s="21">
        <f t="shared" si="479"/>
        <v>0</v>
      </c>
      <c r="GC309" s="21">
        <f t="shared" si="479"/>
        <v>0</v>
      </c>
      <c r="GD309" s="21">
        <f t="shared" ref="GD309:GK309" si="480">IF($F$290, 0, IF($E$294, IF(AND(COLUMN($GD$309)-COLUMN($DZ$303)=$Q$291,ROW($GD$309)-ROW($DZ$303)=$K$291), U$290, GD309), GD309))</f>
        <v>0</v>
      </c>
      <c r="GE309" s="21">
        <f t="shared" si="480"/>
        <v>0</v>
      </c>
      <c r="GF309" s="21">
        <f t="shared" si="480"/>
        <v>0</v>
      </c>
      <c r="GG309" s="21">
        <f t="shared" si="480"/>
        <v>0</v>
      </c>
      <c r="GH309" s="21">
        <f t="shared" si="480"/>
        <v>0</v>
      </c>
      <c r="GI309" s="21">
        <f t="shared" si="480"/>
        <v>0</v>
      </c>
      <c r="GJ309" s="21">
        <f t="shared" si="480"/>
        <v>0</v>
      </c>
      <c r="GK309" s="21">
        <f t="shared" si="480"/>
        <v>0</v>
      </c>
      <c r="GL309" s="21">
        <f t="shared" ref="GL309:GS309" si="481">IF($F$290, 0, IF($F$294, IF(AND(COLUMN($GL$309)-COLUMN($GL$303)=$Q$291,ROW($GL$309)-ROW($GL$303)=$K$291), U$290, GL309), GL309))</f>
        <v>0</v>
      </c>
      <c r="GM309" s="21">
        <f t="shared" si="481"/>
        <v>0</v>
      </c>
      <c r="GN309" s="21">
        <f t="shared" si="481"/>
        <v>0</v>
      </c>
      <c r="GO309" s="21">
        <f t="shared" si="481"/>
        <v>0</v>
      </c>
      <c r="GP309" s="21">
        <f t="shared" si="481"/>
        <v>0</v>
      </c>
      <c r="GQ309" s="21">
        <f t="shared" si="481"/>
        <v>0</v>
      </c>
      <c r="GR309" s="21">
        <f t="shared" si="481"/>
        <v>0</v>
      </c>
      <c r="GS309" s="21">
        <f t="shared" si="481"/>
        <v>0</v>
      </c>
      <c r="GT309" s="21">
        <f t="shared" ref="GT309:HA309" si="482">IF($F$290, 0, IF($F$294, IF(AND(COLUMN($GT$309)-COLUMN($GL$303)=$Q$291,ROW($GT$309)-ROW($GL$303)=$K$291), U$290, GT309), GT309))</f>
        <v>0</v>
      </c>
      <c r="GU309" s="21">
        <f t="shared" si="482"/>
        <v>0</v>
      </c>
      <c r="GV309" s="21">
        <f t="shared" si="482"/>
        <v>0</v>
      </c>
      <c r="GW309" s="21">
        <f t="shared" si="482"/>
        <v>0</v>
      </c>
      <c r="GX309" s="21">
        <f t="shared" si="482"/>
        <v>0</v>
      </c>
      <c r="GY309" s="21">
        <f t="shared" si="482"/>
        <v>0</v>
      </c>
      <c r="GZ309" s="21">
        <f t="shared" si="482"/>
        <v>0</v>
      </c>
      <c r="HA309" s="21">
        <f t="shared" si="482"/>
        <v>0</v>
      </c>
      <c r="HB309" s="21">
        <f t="shared" ref="HB309:HI309" si="483">IF($F$290, 0, IF($F$294, IF(AND(COLUMN($HB$309)-COLUMN($GL$303)=$Q$291,ROW($HB$309)-ROW($GL$303)=$K$291), U$290, HB309), HB309))</f>
        <v>0</v>
      </c>
      <c r="HC309" s="21">
        <f t="shared" si="483"/>
        <v>0</v>
      </c>
      <c r="HD309" s="21">
        <f t="shared" si="483"/>
        <v>0</v>
      </c>
      <c r="HE309" s="21">
        <f t="shared" si="483"/>
        <v>0</v>
      </c>
      <c r="HF309" s="21">
        <f t="shared" si="483"/>
        <v>0</v>
      </c>
      <c r="HG309" s="21">
        <f t="shared" si="483"/>
        <v>0</v>
      </c>
      <c r="HH309" s="21">
        <f t="shared" si="483"/>
        <v>0</v>
      </c>
      <c r="HI309" s="21">
        <f t="shared" si="483"/>
        <v>0</v>
      </c>
      <c r="HJ309" s="21">
        <f t="shared" ref="HJ309:HQ309" si="484">IF($F$290, 0, IF($F$294, IF(AND(COLUMN($HJ$309)-COLUMN($GL$303)=$Q$291,ROW($HJ$309)-ROW($GL$303)=$K$291), U$290, HJ309), HJ309))</f>
        <v>0</v>
      </c>
      <c r="HK309" s="21">
        <f t="shared" si="484"/>
        <v>0</v>
      </c>
      <c r="HL309" s="21">
        <f t="shared" si="484"/>
        <v>0</v>
      </c>
      <c r="HM309" s="21">
        <f t="shared" si="484"/>
        <v>0</v>
      </c>
      <c r="HN309" s="21">
        <f t="shared" si="484"/>
        <v>0</v>
      </c>
      <c r="HO309" s="21">
        <f t="shared" si="484"/>
        <v>0</v>
      </c>
      <c r="HP309" s="21">
        <f t="shared" si="484"/>
        <v>0</v>
      </c>
      <c r="HQ309" s="21">
        <f t="shared" si="484"/>
        <v>0</v>
      </c>
      <c r="HR309" s="21">
        <f t="shared" ref="HR309:HY309" si="485">IF($F$290, 0, IF($F$294, IF(AND(COLUMN($HR$309)-COLUMN($GL$303)=$Q$291,ROW($HR$309)-ROW($GL$303)=$K$291), U$290, HR309), HR309))</f>
        <v>0</v>
      </c>
      <c r="HS309" s="21">
        <f t="shared" si="485"/>
        <v>0</v>
      </c>
      <c r="HT309" s="21">
        <f t="shared" si="485"/>
        <v>0</v>
      </c>
      <c r="HU309" s="21">
        <f t="shared" si="485"/>
        <v>0</v>
      </c>
      <c r="HV309" s="21">
        <f t="shared" si="485"/>
        <v>0</v>
      </c>
      <c r="HW309" s="21">
        <f t="shared" si="485"/>
        <v>0</v>
      </c>
      <c r="HX309" s="21">
        <f t="shared" si="485"/>
        <v>0</v>
      </c>
      <c r="HY309" s="21">
        <f t="shared" si="485"/>
        <v>0</v>
      </c>
      <c r="HZ309" s="21">
        <f t="shared" ref="HZ309:IG309" si="486">IF($F$290, 0, IF($F$294, IF(AND(COLUMN($HZ$309)-COLUMN($GL$303)=$Q$291,ROW($HZ$309)-ROW($GL$303)=$K$291), U$290, HZ309), HZ309))</f>
        <v>0</v>
      </c>
      <c r="IA309" s="21">
        <f t="shared" si="486"/>
        <v>0</v>
      </c>
      <c r="IB309" s="21">
        <f t="shared" si="486"/>
        <v>0</v>
      </c>
      <c r="IC309" s="21">
        <f t="shared" si="486"/>
        <v>0</v>
      </c>
      <c r="ID309" s="21">
        <f t="shared" si="486"/>
        <v>0</v>
      </c>
      <c r="IE309" s="21">
        <f t="shared" si="486"/>
        <v>0</v>
      </c>
      <c r="IF309" s="21">
        <f t="shared" si="486"/>
        <v>0</v>
      </c>
      <c r="IG309" s="21">
        <f t="shared" si="486"/>
        <v>0</v>
      </c>
      <c r="IH309" s="21">
        <f t="shared" ref="IH309:IO309" si="487">IF($F$290, 0, IF($F$294, IF(AND(COLUMN($IH$309)-COLUMN($GL$303)=$Q$291,ROW($IH$309)-ROW($GL$303)=$K$291), U$290, IH309), IH309))</f>
        <v>0</v>
      </c>
      <c r="II309" s="21">
        <f t="shared" si="487"/>
        <v>0</v>
      </c>
      <c r="IJ309" s="21">
        <f t="shared" si="487"/>
        <v>0</v>
      </c>
      <c r="IK309" s="21">
        <f t="shared" si="487"/>
        <v>0</v>
      </c>
      <c r="IL309" s="21">
        <f t="shared" si="487"/>
        <v>0</v>
      </c>
      <c r="IM309" s="21">
        <f t="shared" si="487"/>
        <v>0</v>
      </c>
      <c r="IN309" s="21">
        <f t="shared" si="487"/>
        <v>0</v>
      </c>
      <c r="IO309" s="21">
        <f t="shared" si="487"/>
        <v>0</v>
      </c>
      <c r="IP309" s="21">
        <f t="shared" ref="IP309:IW309" si="488">IF($F$290, 0, IF($F$294, IF(AND(COLUMN($IP$309)-COLUMN($GL$303)=$Q$291,ROW($IP$309)-ROW($GL$303)=$K$291), U$290, IP309), IP309))</f>
        <v>0</v>
      </c>
      <c r="IQ309" s="21">
        <f t="shared" si="488"/>
        <v>0</v>
      </c>
      <c r="IR309" s="21">
        <f t="shared" si="488"/>
        <v>0</v>
      </c>
      <c r="IS309" s="21">
        <f t="shared" si="488"/>
        <v>0</v>
      </c>
      <c r="IT309" s="21">
        <f t="shared" si="488"/>
        <v>0</v>
      </c>
      <c r="IU309" s="21">
        <f t="shared" si="488"/>
        <v>0</v>
      </c>
      <c r="IV309" s="21">
        <f t="shared" si="488"/>
        <v>0</v>
      </c>
      <c r="IW309" s="21">
        <f t="shared" si="488"/>
        <v>0</v>
      </c>
      <c r="IX309" s="21">
        <f t="shared" ref="IX309:JE309" si="489">IF($F$290, 0, IF($G$294, IF(AND(COLUMN($IX$309)-COLUMN($IX$303)=$Q$291,ROW($IX$309)-ROW($IX$303)=$K$291), U$290, IX309), IX309))</f>
        <v>0</v>
      </c>
      <c r="IY309" s="21">
        <f t="shared" si="489"/>
        <v>0</v>
      </c>
      <c r="IZ309" s="21">
        <f t="shared" si="489"/>
        <v>0</v>
      </c>
      <c r="JA309" s="21">
        <f t="shared" si="489"/>
        <v>0</v>
      </c>
      <c r="JB309" s="21">
        <f t="shared" si="489"/>
        <v>0</v>
      </c>
      <c r="JC309" s="21">
        <f t="shared" si="489"/>
        <v>0</v>
      </c>
      <c r="JD309" s="21">
        <f t="shared" si="489"/>
        <v>0</v>
      </c>
      <c r="JE309" s="21">
        <f t="shared" si="489"/>
        <v>0</v>
      </c>
      <c r="JF309" s="21">
        <f t="shared" ref="JF309:JM309" si="490">IF($F$290, 0, IF($G$294, IF(AND(COLUMN($JF$309)-COLUMN($IX$303)=$Q$291,ROW($JF$309)-ROW($IX$303)=$K$291), U$290, JF309), JF309))</f>
        <v>0</v>
      </c>
      <c r="JG309" s="21">
        <f t="shared" si="490"/>
        <v>0</v>
      </c>
      <c r="JH309" s="21">
        <f t="shared" si="490"/>
        <v>0</v>
      </c>
      <c r="JI309" s="21">
        <f t="shared" si="490"/>
        <v>0</v>
      </c>
      <c r="JJ309" s="21">
        <f t="shared" si="490"/>
        <v>0</v>
      </c>
      <c r="JK309" s="21">
        <f t="shared" si="490"/>
        <v>0</v>
      </c>
      <c r="JL309" s="21">
        <f t="shared" si="490"/>
        <v>0</v>
      </c>
      <c r="JM309" s="21">
        <f t="shared" si="490"/>
        <v>0</v>
      </c>
      <c r="JN309" s="21">
        <f t="shared" ref="JN309:JU309" si="491">IF($F$290, 0, IF($G$294, IF(AND(COLUMN($JN$309)-COLUMN($IX$303)=$Q$291,ROW($JN$309)-ROW($IX$303)=$K$291), U$290, JN309), JN309))</f>
        <v>0</v>
      </c>
      <c r="JO309" s="21">
        <f t="shared" si="491"/>
        <v>0</v>
      </c>
      <c r="JP309" s="21">
        <f t="shared" si="491"/>
        <v>0</v>
      </c>
      <c r="JQ309" s="21">
        <f t="shared" si="491"/>
        <v>0</v>
      </c>
      <c r="JR309" s="21">
        <f t="shared" si="491"/>
        <v>0</v>
      </c>
      <c r="JS309" s="21">
        <f t="shared" si="491"/>
        <v>0</v>
      </c>
      <c r="JT309" s="21">
        <f t="shared" si="491"/>
        <v>0</v>
      </c>
      <c r="JU309" s="21">
        <f t="shared" si="491"/>
        <v>0</v>
      </c>
      <c r="JV309" s="21">
        <f t="shared" ref="JV309:KC309" si="492">IF($F$290, 0, IF($G$294, IF(AND(COLUMN($JV$309)-COLUMN($IX$303)=$Q$291,ROW($JV$309)-ROW($IX$303)=$K$291), U$290, JV309), JV309))</f>
        <v>0</v>
      </c>
      <c r="JW309" s="21">
        <f t="shared" si="492"/>
        <v>0</v>
      </c>
      <c r="JX309" s="21">
        <f t="shared" si="492"/>
        <v>0</v>
      </c>
      <c r="JY309" s="21">
        <f t="shared" si="492"/>
        <v>0</v>
      </c>
      <c r="JZ309" s="21">
        <f t="shared" si="492"/>
        <v>0</v>
      </c>
      <c r="KA309" s="21">
        <f t="shared" si="492"/>
        <v>0</v>
      </c>
      <c r="KB309" s="21">
        <f t="shared" si="492"/>
        <v>0</v>
      </c>
      <c r="KC309" s="21">
        <f t="shared" si="492"/>
        <v>0</v>
      </c>
      <c r="KD309" s="21">
        <f t="shared" ref="KD309:KK309" si="493">IF($F$290, 0, IF($G$294, IF(AND(COLUMN($KD$309)-COLUMN($IX$303)=$Q$291,ROW($KD$309)-ROW($IX$303)=$K$291), U$290, KD309), KD309))</f>
        <v>0</v>
      </c>
      <c r="KE309" s="21">
        <f t="shared" si="493"/>
        <v>0</v>
      </c>
      <c r="KF309" s="21">
        <f t="shared" si="493"/>
        <v>0</v>
      </c>
      <c r="KG309" s="21">
        <f t="shared" si="493"/>
        <v>0</v>
      </c>
      <c r="KH309" s="21">
        <f t="shared" si="493"/>
        <v>0</v>
      </c>
      <c r="KI309" s="21">
        <f t="shared" si="493"/>
        <v>0</v>
      </c>
      <c r="KJ309" s="21">
        <f t="shared" si="493"/>
        <v>0</v>
      </c>
      <c r="KK309" s="21">
        <f t="shared" si="493"/>
        <v>0</v>
      </c>
      <c r="KL309" s="21">
        <f t="shared" ref="KL309:KS309" si="494">IF($F$290, 0, IF($G$294, IF(AND(COLUMN($KL$309)-COLUMN($IX$303)=$Q$291,ROW($KL$309)-ROW($IX$303)=$K$291), U$290, KL309), KL309))</f>
        <v>0</v>
      </c>
      <c r="KM309" s="21">
        <f t="shared" si="494"/>
        <v>0</v>
      </c>
      <c r="KN309" s="21">
        <f t="shared" si="494"/>
        <v>0</v>
      </c>
      <c r="KO309" s="21">
        <f t="shared" si="494"/>
        <v>0</v>
      </c>
      <c r="KP309" s="21">
        <f t="shared" si="494"/>
        <v>0</v>
      </c>
      <c r="KQ309" s="21">
        <f t="shared" si="494"/>
        <v>0</v>
      </c>
      <c r="KR309" s="21">
        <f t="shared" si="494"/>
        <v>0</v>
      </c>
      <c r="KS309" s="21">
        <f t="shared" si="494"/>
        <v>0</v>
      </c>
      <c r="KT309" s="21">
        <f t="shared" ref="KT309:LA309" si="495">IF($F$290, 0, IF($G$294, IF(AND(COLUMN($KT$309)-COLUMN($IX$303)=$Q$291,ROW($KT$309)-ROW($IX$303)=$K$291), U$290, KT309), KT309))</f>
        <v>0</v>
      </c>
      <c r="KU309" s="21">
        <f t="shared" si="495"/>
        <v>0</v>
      </c>
      <c r="KV309" s="21">
        <f t="shared" si="495"/>
        <v>0</v>
      </c>
      <c r="KW309" s="21">
        <f t="shared" si="495"/>
        <v>0</v>
      </c>
      <c r="KX309" s="21">
        <f t="shared" si="495"/>
        <v>0</v>
      </c>
      <c r="KY309" s="21">
        <f t="shared" si="495"/>
        <v>0</v>
      </c>
      <c r="KZ309" s="21">
        <f t="shared" si="495"/>
        <v>0</v>
      </c>
      <c r="LA309" s="21">
        <f t="shared" si="495"/>
        <v>0</v>
      </c>
      <c r="LB309" s="21">
        <f t="shared" ref="LB309:LI309" si="496">IF($F$290, 0, IF($G$294, IF(AND(COLUMN($LB$309)-COLUMN($IX$303)=$Q$291,ROW($LB$309)-ROW($IX$303)=$K$291), U$290, LB309), LB309))</f>
        <v>0</v>
      </c>
      <c r="LC309" s="21">
        <f t="shared" si="496"/>
        <v>0</v>
      </c>
      <c r="LD309" s="21">
        <f t="shared" si="496"/>
        <v>0</v>
      </c>
      <c r="LE309" s="21">
        <f t="shared" si="496"/>
        <v>0</v>
      </c>
      <c r="LF309" s="21">
        <f t="shared" si="496"/>
        <v>0</v>
      </c>
      <c r="LG309" s="21">
        <f t="shared" si="496"/>
        <v>0</v>
      </c>
      <c r="LH309" s="21">
        <f t="shared" si="496"/>
        <v>0</v>
      </c>
      <c r="LI309" s="21">
        <f t="shared" si="496"/>
        <v>0</v>
      </c>
      <c r="LJ309" s="21">
        <f t="shared" ref="LJ309:LQ309" si="497">IF($F$290, 0, IF($H$294, IF(AND(COLUMN($LJ$309)-COLUMN($LJ$303)=$Q$291,ROW($LJ$309)-ROW($LJ$303)=$K$291), U$290, LJ309), LJ309))</f>
        <v>0</v>
      </c>
      <c r="LK309" s="21">
        <f t="shared" si="497"/>
        <v>0</v>
      </c>
      <c r="LL309" s="21">
        <f t="shared" si="497"/>
        <v>0</v>
      </c>
      <c r="LM309" s="21">
        <f t="shared" si="497"/>
        <v>0</v>
      </c>
      <c r="LN309" s="21">
        <f t="shared" si="497"/>
        <v>0</v>
      </c>
      <c r="LO309" s="21">
        <f t="shared" si="497"/>
        <v>0</v>
      </c>
      <c r="LP309" s="21">
        <f t="shared" si="497"/>
        <v>0</v>
      </c>
      <c r="LQ309" s="21">
        <f t="shared" si="497"/>
        <v>0</v>
      </c>
      <c r="LR309" s="21">
        <f t="shared" ref="LR309:LY309" si="498">IF($F$290, 0, IF($H$294, IF(AND(COLUMN($LR$309)-COLUMN($LJ$303)=$Q$291,ROW($LR$309)-ROW($LJ$303)=$K$291), U$290, LR309), LR309))</f>
        <v>0</v>
      </c>
      <c r="LS309" s="21">
        <f t="shared" si="498"/>
        <v>0</v>
      </c>
      <c r="LT309" s="21">
        <f t="shared" si="498"/>
        <v>0</v>
      </c>
      <c r="LU309" s="21">
        <f t="shared" si="498"/>
        <v>0</v>
      </c>
      <c r="LV309" s="21">
        <f t="shared" si="498"/>
        <v>0</v>
      </c>
      <c r="LW309" s="21">
        <f t="shared" si="498"/>
        <v>0</v>
      </c>
      <c r="LX309" s="21">
        <f t="shared" si="498"/>
        <v>0</v>
      </c>
      <c r="LY309" s="21">
        <f t="shared" si="498"/>
        <v>0</v>
      </c>
      <c r="LZ309" s="21">
        <f t="shared" ref="LZ309:MG309" si="499">IF($F$290, 0, IF($H$294, IF(AND(COLUMN($LZ$309)-COLUMN($LJ$303)=$Q$291,ROW($LZ$309)-ROW($LJ$303)=$K$291), U$290, LZ309), LZ309))</f>
        <v>0</v>
      </c>
      <c r="MA309" s="21">
        <f t="shared" si="499"/>
        <v>0</v>
      </c>
      <c r="MB309" s="21">
        <f t="shared" si="499"/>
        <v>0</v>
      </c>
      <c r="MC309" s="21">
        <f t="shared" si="499"/>
        <v>0</v>
      </c>
      <c r="MD309" s="21">
        <f t="shared" si="499"/>
        <v>0</v>
      </c>
      <c r="ME309" s="21">
        <f t="shared" si="499"/>
        <v>0</v>
      </c>
      <c r="MF309" s="21">
        <f t="shared" si="499"/>
        <v>0</v>
      </c>
      <c r="MG309" s="21">
        <f t="shared" si="499"/>
        <v>0</v>
      </c>
      <c r="MH309" s="21">
        <f t="shared" ref="MH309:MO309" si="500">IF($F$290, 0, IF($H$294, IF(AND(COLUMN($MH$309)-COLUMN($LJ$303)=$Q$291,ROW($MH$309)-ROW($LJ$303)=$K$291), U$290, MH309), MH309))</f>
        <v>0</v>
      </c>
      <c r="MI309" s="21">
        <f t="shared" si="500"/>
        <v>0</v>
      </c>
      <c r="MJ309" s="21">
        <f t="shared" si="500"/>
        <v>0</v>
      </c>
      <c r="MK309" s="21">
        <f t="shared" si="500"/>
        <v>0</v>
      </c>
      <c r="ML309" s="21">
        <f t="shared" si="500"/>
        <v>0</v>
      </c>
      <c r="MM309" s="21">
        <f t="shared" si="500"/>
        <v>0</v>
      </c>
      <c r="MN309" s="21">
        <f t="shared" si="500"/>
        <v>0</v>
      </c>
      <c r="MO309" s="21">
        <f t="shared" si="500"/>
        <v>0</v>
      </c>
      <c r="MP309" s="21">
        <f t="shared" ref="MP309:MW309" si="501">IF($F$290, 0, IF($H$294, IF(AND(COLUMN($MP$309)-COLUMN($LJ$303)=$Q$291,ROW($MP$309)-ROW($LJ$303)=$K$291), U$290, MP309), MP309))</f>
        <v>0</v>
      </c>
      <c r="MQ309" s="21">
        <f t="shared" si="501"/>
        <v>0</v>
      </c>
      <c r="MR309" s="21">
        <f t="shared" si="501"/>
        <v>0</v>
      </c>
      <c r="MS309" s="21">
        <f t="shared" si="501"/>
        <v>0</v>
      </c>
      <c r="MT309" s="21">
        <f t="shared" si="501"/>
        <v>0</v>
      </c>
      <c r="MU309" s="21">
        <f t="shared" si="501"/>
        <v>0</v>
      </c>
      <c r="MV309" s="21">
        <f t="shared" si="501"/>
        <v>0</v>
      </c>
      <c r="MW309" s="21">
        <f t="shared" si="501"/>
        <v>0</v>
      </c>
      <c r="MX309" s="21">
        <f t="shared" ref="MX309:NE309" si="502">IF($F$290, 0, IF($H$294, IF(AND(COLUMN($MX$309)-COLUMN($LJ$303)=$Q$291,ROW($MX$309)-ROW($LJ$303)=$K$291), U$290, MX309), MX309))</f>
        <v>0</v>
      </c>
      <c r="MY309" s="21">
        <f t="shared" si="502"/>
        <v>0</v>
      </c>
      <c r="MZ309" s="21">
        <f t="shared" si="502"/>
        <v>0</v>
      </c>
      <c r="NA309" s="21">
        <f t="shared" si="502"/>
        <v>0</v>
      </c>
      <c r="NB309" s="21">
        <f t="shared" si="502"/>
        <v>0</v>
      </c>
      <c r="NC309" s="21">
        <f t="shared" si="502"/>
        <v>0</v>
      </c>
      <c r="ND309" s="21">
        <f t="shared" si="502"/>
        <v>0</v>
      </c>
      <c r="NE309" s="21">
        <f t="shared" si="502"/>
        <v>0</v>
      </c>
      <c r="NF309" s="21">
        <f t="shared" ref="NF309:NM309" si="503">IF($F$290, 0, IF($H$294, IF(AND(COLUMN($NF$309)-COLUMN($LJ$303)=$Q$291,ROW($NF$309)-ROW($LJ$303)=$K$291), U$290, NF309), NF309))</f>
        <v>0</v>
      </c>
      <c r="NG309" s="21">
        <f t="shared" si="503"/>
        <v>0</v>
      </c>
      <c r="NH309" s="21">
        <f t="shared" si="503"/>
        <v>0</v>
      </c>
      <c r="NI309" s="21">
        <f t="shared" si="503"/>
        <v>0</v>
      </c>
      <c r="NJ309" s="21">
        <f t="shared" si="503"/>
        <v>0</v>
      </c>
      <c r="NK309" s="21">
        <f t="shared" si="503"/>
        <v>0</v>
      </c>
      <c r="NL309" s="21">
        <f t="shared" si="503"/>
        <v>0</v>
      </c>
      <c r="NM309" s="21">
        <f t="shared" si="503"/>
        <v>0</v>
      </c>
      <c r="NN309" s="21">
        <f t="shared" ref="NN309:NU309" si="504">IF($F$290, 0, IF($H$294, IF(AND(COLUMN($NN$309)-COLUMN($LJ$303)=$Q$291,ROW($NN$309)-ROW($LJ$303)=$K$291), U$290, NN309), NN309))</f>
        <v>0</v>
      </c>
      <c r="NO309" s="21">
        <f t="shared" si="504"/>
        <v>0</v>
      </c>
      <c r="NP309" s="21">
        <f t="shared" si="504"/>
        <v>0</v>
      </c>
      <c r="NQ309" s="21">
        <f t="shared" si="504"/>
        <v>0</v>
      </c>
      <c r="NR309" s="21">
        <f t="shared" si="504"/>
        <v>0</v>
      </c>
      <c r="NS309" s="21">
        <f t="shared" si="504"/>
        <v>0</v>
      </c>
      <c r="NT309" s="21">
        <f t="shared" si="504"/>
        <v>0</v>
      </c>
      <c r="NU309" s="21">
        <f t="shared" si="504"/>
        <v>0</v>
      </c>
      <c r="NV309" s="21">
        <f t="shared" ref="NV309:OC309" si="505">IF($F$290, 0, IF($I$294, IF(AND(COLUMN($NV$309)-COLUMN($NV$303)=$Q$291,ROW($NV$309)-ROW($NV$303)=$K$291), U$290, NV309), NV309))</f>
        <v>0</v>
      </c>
      <c r="NW309" s="21">
        <f t="shared" si="505"/>
        <v>0</v>
      </c>
      <c r="NX309" s="21">
        <f t="shared" si="505"/>
        <v>0</v>
      </c>
      <c r="NY309" s="21">
        <f t="shared" si="505"/>
        <v>0</v>
      </c>
      <c r="NZ309" s="21">
        <f t="shared" si="505"/>
        <v>0</v>
      </c>
      <c r="OA309" s="21">
        <f t="shared" si="505"/>
        <v>0</v>
      </c>
      <c r="OB309" s="21">
        <f t="shared" si="505"/>
        <v>0</v>
      </c>
      <c r="OC309" s="21">
        <f t="shared" si="505"/>
        <v>0</v>
      </c>
      <c r="OD309" s="21">
        <f t="shared" ref="OD309:OK309" si="506">IF($F$290, 0, IF($I$294, IF(AND(COLUMN($OD$309)-COLUMN($NV$303)=$Q$291,ROW($OD$309)-ROW($NV$303)=$K$291), U$290, OD309), OD309))</f>
        <v>0</v>
      </c>
      <c r="OE309" s="21">
        <f t="shared" si="506"/>
        <v>0</v>
      </c>
      <c r="OF309" s="21">
        <f t="shared" si="506"/>
        <v>0</v>
      </c>
      <c r="OG309" s="21">
        <f t="shared" si="506"/>
        <v>0</v>
      </c>
      <c r="OH309" s="21">
        <f t="shared" si="506"/>
        <v>0</v>
      </c>
      <c r="OI309" s="21">
        <f t="shared" si="506"/>
        <v>0</v>
      </c>
      <c r="OJ309" s="21">
        <f t="shared" si="506"/>
        <v>0</v>
      </c>
      <c r="OK309" s="21">
        <f t="shared" si="506"/>
        <v>0</v>
      </c>
      <c r="OL309" s="21">
        <f t="shared" ref="OL309:OS309" si="507">IF($F$290, 0, IF($I$294, IF(AND(COLUMN($OL$309)-COLUMN($NV$303)=$Q$291,ROW($OL$309)-ROW($NV$303)=$K$291), U$290, OL309), OL309))</f>
        <v>0</v>
      </c>
      <c r="OM309" s="21">
        <f t="shared" si="507"/>
        <v>0</v>
      </c>
      <c r="ON309" s="21">
        <f t="shared" si="507"/>
        <v>0</v>
      </c>
      <c r="OO309" s="21">
        <f t="shared" si="507"/>
        <v>0</v>
      </c>
      <c r="OP309" s="21">
        <f t="shared" si="507"/>
        <v>0</v>
      </c>
      <c r="OQ309" s="21">
        <f t="shared" si="507"/>
        <v>0</v>
      </c>
      <c r="OR309" s="21">
        <f t="shared" si="507"/>
        <v>0</v>
      </c>
      <c r="OS309" s="21">
        <f t="shared" si="507"/>
        <v>0</v>
      </c>
      <c r="OT309" s="21">
        <f t="shared" ref="OT309:PA309" si="508">IF($F$290, 0, IF($I$294, IF(AND(COLUMN($OT$309)-COLUMN($NV$303)=$Q$291,ROW($OT$309)-ROW($NV$303)=$K$291), U$290, OT309), OT309))</f>
        <v>0</v>
      </c>
      <c r="OU309" s="21">
        <f t="shared" si="508"/>
        <v>0</v>
      </c>
      <c r="OV309" s="21">
        <f t="shared" si="508"/>
        <v>0</v>
      </c>
      <c r="OW309" s="21">
        <f t="shared" si="508"/>
        <v>0</v>
      </c>
      <c r="OX309" s="21">
        <f t="shared" si="508"/>
        <v>0</v>
      </c>
      <c r="OY309" s="21">
        <f t="shared" si="508"/>
        <v>0</v>
      </c>
      <c r="OZ309" s="21">
        <f t="shared" si="508"/>
        <v>0</v>
      </c>
      <c r="PA309" s="21">
        <f t="shared" si="508"/>
        <v>0</v>
      </c>
      <c r="PB309" s="21">
        <f t="shared" ref="PB309:PI309" si="509">IF($F$290, 0, IF($I$294, IF(AND(COLUMN($PB$309)-COLUMN($NV$303)=$Q$291,ROW($PB$309)-ROW($NV$303)=$K$291), U$290, PB309), PB309))</f>
        <v>0</v>
      </c>
      <c r="PC309" s="21">
        <f t="shared" si="509"/>
        <v>0</v>
      </c>
      <c r="PD309" s="21">
        <f t="shared" si="509"/>
        <v>0</v>
      </c>
      <c r="PE309" s="21">
        <f t="shared" si="509"/>
        <v>0</v>
      </c>
      <c r="PF309" s="21">
        <f t="shared" si="509"/>
        <v>0</v>
      </c>
      <c r="PG309" s="21">
        <f t="shared" si="509"/>
        <v>0</v>
      </c>
      <c r="PH309" s="21">
        <f t="shared" si="509"/>
        <v>0</v>
      </c>
      <c r="PI309" s="21">
        <f t="shared" si="509"/>
        <v>0</v>
      </c>
      <c r="PJ309" s="21">
        <f t="shared" ref="PJ309:PQ309" si="510">IF($F$290, 0, IF($I$294, IF(AND(COLUMN($PJ$309)-COLUMN($NV$303)=$Q$291,ROW($PJ$309)-ROW($NV$303)=$K$291), U$290, PJ309), PJ309))</f>
        <v>0</v>
      </c>
      <c r="PK309" s="21">
        <f t="shared" si="510"/>
        <v>0</v>
      </c>
      <c r="PL309" s="21">
        <f t="shared" si="510"/>
        <v>0</v>
      </c>
      <c r="PM309" s="21">
        <f t="shared" si="510"/>
        <v>0</v>
      </c>
      <c r="PN309" s="21">
        <f t="shared" si="510"/>
        <v>0</v>
      </c>
      <c r="PO309" s="21">
        <f t="shared" si="510"/>
        <v>0</v>
      </c>
      <c r="PP309" s="21">
        <f t="shared" si="510"/>
        <v>0</v>
      </c>
      <c r="PQ309" s="21">
        <f t="shared" si="510"/>
        <v>0</v>
      </c>
      <c r="PR309" s="21">
        <f t="shared" ref="PR309:PY309" si="511">IF($F$290, 0, IF($I$294, IF(AND(COLUMN($PR$309)-COLUMN($NV$303)=$Q$291,ROW($PR$309)-ROW($NV$303)=$K$291), U$290, PR309), PR309))</f>
        <v>0</v>
      </c>
      <c r="PS309" s="21">
        <f t="shared" si="511"/>
        <v>0</v>
      </c>
      <c r="PT309" s="21">
        <f t="shared" si="511"/>
        <v>0</v>
      </c>
      <c r="PU309" s="21">
        <f t="shared" si="511"/>
        <v>0</v>
      </c>
      <c r="PV309" s="21">
        <f t="shared" si="511"/>
        <v>0</v>
      </c>
      <c r="PW309" s="21">
        <f t="shared" si="511"/>
        <v>0</v>
      </c>
      <c r="PX309" s="21">
        <f t="shared" si="511"/>
        <v>0</v>
      </c>
      <c r="PY309" s="21">
        <f t="shared" si="511"/>
        <v>0</v>
      </c>
      <c r="PZ309" s="21">
        <f t="shared" ref="PZ309:QG309" si="512">IF($F$290, 0, IF($I$294, IF(AND(COLUMN($PZ$309)-COLUMN($NV$303)=$Q$291,ROW($PZ$309)-ROW($NV$303)=$K$291), U$290, PZ309), PZ309))</f>
        <v>0</v>
      </c>
      <c r="QA309" s="21">
        <f t="shared" si="512"/>
        <v>0</v>
      </c>
      <c r="QB309" s="21">
        <f t="shared" si="512"/>
        <v>0</v>
      </c>
      <c r="QC309" s="21">
        <f t="shared" si="512"/>
        <v>0</v>
      </c>
      <c r="QD309" s="21">
        <f t="shared" si="512"/>
        <v>0</v>
      </c>
      <c r="QE309" s="21">
        <f t="shared" si="512"/>
        <v>0</v>
      </c>
      <c r="QF309" s="21">
        <f t="shared" si="512"/>
        <v>0</v>
      </c>
      <c r="QG309" s="21">
        <f t="shared" si="512"/>
        <v>0</v>
      </c>
      <c r="QH309" s="21">
        <f t="shared" ref="QH309:QO309" si="513">IF($F$290, 0, IF($J$294, IF(AND(COLUMN($QH$309)-COLUMN($QH$303)=$Q$291,ROW($QH$309)-ROW($QH$303)=$K$291), U$290, QH309), QH309))</f>
        <v>0</v>
      </c>
      <c r="QI309" s="21">
        <f t="shared" si="513"/>
        <v>0</v>
      </c>
      <c r="QJ309" s="21">
        <f t="shared" si="513"/>
        <v>0</v>
      </c>
      <c r="QK309" s="21">
        <f t="shared" si="513"/>
        <v>0</v>
      </c>
      <c r="QL309" s="21">
        <f t="shared" si="513"/>
        <v>0</v>
      </c>
      <c r="QM309" s="21">
        <f t="shared" si="513"/>
        <v>0</v>
      </c>
      <c r="QN309" s="21">
        <f t="shared" si="513"/>
        <v>0</v>
      </c>
      <c r="QO309" s="21">
        <f t="shared" si="513"/>
        <v>0</v>
      </c>
      <c r="QP309" s="21">
        <f t="shared" ref="QP309:QW309" si="514">IF($F$290, 0, IF($J$294, IF(AND(COLUMN($QP$309)-COLUMN($QH$303)=$Q$291,ROW($QP$309)-ROW($QH$303)=$K$291), U$290, QP309), QP309))</f>
        <v>0</v>
      </c>
      <c r="QQ309" s="21">
        <f t="shared" si="514"/>
        <v>0</v>
      </c>
      <c r="QR309" s="21">
        <f t="shared" si="514"/>
        <v>0</v>
      </c>
      <c r="QS309" s="21">
        <f t="shared" si="514"/>
        <v>0</v>
      </c>
      <c r="QT309" s="21">
        <f t="shared" si="514"/>
        <v>0</v>
      </c>
      <c r="QU309" s="21">
        <f t="shared" si="514"/>
        <v>0</v>
      </c>
      <c r="QV309" s="21">
        <f t="shared" si="514"/>
        <v>0</v>
      </c>
      <c r="QW309" s="21">
        <f t="shared" si="514"/>
        <v>0</v>
      </c>
      <c r="QX309" s="21">
        <f t="shared" ref="QX309:RE309" si="515">IF($F$290, 0, IF($J$294, IF(AND(COLUMN($QX$309)-COLUMN($QH$303)=$Q$291,ROW($QX$309)-ROW($QH$303)=$K$291), U$290, QX309), QX309))</f>
        <v>0</v>
      </c>
      <c r="QY309" s="21">
        <f t="shared" si="515"/>
        <v>0</v>
      </c>
      <c r="QZ309" s="21">
        <f t="shared" si="515"/>
        <v>0</v>
      </c>
      <c r="RA309" s="21">
        <f t="shared" si="515"/>
        <v>0</v>
      </c>
      <c r="RB309" s="21">
        <f t="shared" si="515"/>
        <v>0</v>
      </c>
      <c r="RC309" s="21">
        <f t="shared" si="515"/>
        <v>0</v>
      </c>
      <c r="RD309" s="21">
        <f t="shared" si="515"/>
        <v>0</v>
      </c>
      <c r="RE309" s="21">
        <f t="shared" si="515"/>
        <v>0</v>
      </c>
      <c r="RF309" s="21">
        <f t="shared" ref="RF309:RM309" si="516">IF($F$290, 0, IF($J$294, IF(AND(COLUMN($RF$309)-COLUMN($QH$303)=$Q$291,ROW($RF$309)-ROW($QH$303)=$K$291), U$290, RF309), RF309))</f>
        <v>0</v>
      </c>
      <c r="RG309" s="21">
        <f t="shared" si="516"/>
        <v>0</v>
      </c>
      <c r="RH309" s="21">
        <f t="shared" si="516"/>
        <v>0</v>
      </c>
      <c r="RI309" s="21">
        <f t="shared" si="516"/>
        <v>0</v>
      </c>
      <c r="RJ309" s="21">
        <f t="shared" si="516"/>
        <v>0</v>
      </c>
      <c r="RK309" s="21">
        <f t="shared" si="516"/>
        <v>0</v>
      </c>
      <c r="RL309" s="21">
        <f t="shared" si="516"/>
        <v>0</v>
      </c>
      <c r="RM309" s="21">
        <f t="shared" si="516"/>
        <v>0</v>
      </c>
      <c r="RN309" s="21">
        <f t="shared" ref="RN309:RU309" si="517">IF($F$290, 0, IF($J$294, IF(AND(COLUMN($RN$309)-COLUMN($QH$303)=$Q$291,ROW($RN$309)-ROW($QH$303)=$K$291), U$290, RN309), RN309))</f>
        <v>0</v>
      </c>
      <c r="RO309" s="21">
        <f t="shared" si="517"/>
        <v>0</v>
      </c>
      <c r="RP309" s="21">
        <f t="shared" si="517"/>
        <v>0</v>
      </c>
      <c r="RQ309" s="21">
        <f t="shared" si="517"/>
        <v>0</v>
      </c>
      <c r="RR309" s="21">
        <f t="shared" si="517"/>
        <v>0</v>
      </c>
      <c r="RS309" s="21">
        <f t="shared" si="517"/>
        <v>0</v>
      </c>
      <c r="RT309" s="21">
        <f t="shared" si="517"/>
        <v>0</v>
      </c>
      <c r="RU309" s="21">
        <f t="shared" si="517"/>
        <v>0</v>
      </c>
      <c r="RV309" s="21">
        <f t="shared" ref="RV309:SC309" si="518">IF($F$290, 0, IF($J$294, IF(AND(COLUMN($RV$309)-COLUMN($QH$303)=$Q$291,ROW($RV$309)-ROW($QH$303)=$K$291), U$290, RV309), RV309))</f>
        <v>0</v>
      </c>
      <c r="RW309" s="21">
        <f t="shared" si="518"/>
        <v>0</v>
      </c>
      <c r="RX309" s="21">
        <f t="shared" si="518"/>
        <v>0</v>
      </c>
      <c r="RY309" s="21">
        <f t="shared" si="518"/>
        <v>0</v>
      </c>
      <c r="RZ309" s="21">
        <f t="shared" si="518"/>
        <v>0</v>
      </c>
      <c r="SA309" s="21">
        <f t="shared" si="518"/>
        <v>0</v>
      </c>
      <c r="SB309" s="21">
        <f t="shared" si="518"/>
        <v>0</v>
      </c>
      <c r="SC309" s="21">
        <f t="shared" si="518"/>
        <v>0</v>
      </c>
      <c r="SD309" s="21">
        <f t="shared" ref="SD309:SK309" si="519">IF($F$290, 0, IF($J$294, IF(AND(COLUMN($SD$309)-COLUMN($QH$303)=$Q$291,ROW($SD$309)-ROW($QH$303)=$K$291), U$290, SD309), SD309))</f>
        <v>0</v>
      </c>
      <c r="SE309" s="21">
        <f t="shared" si="519"/>
        <v>0</v>
      </c>
      <c r="SF309" s="21">
        <f t="shared" si="519"/>
        <v>0</v>
      </c>
      <c r="SG309" s="21">
        <f t="shared" si="519"/>
        <v>0</v>
      </c>
      <c r="SH309" s="21">
        <f t="shared" si="519"/>
        <v>0</v>
      </c>
      <c r="SI309" s="21">
        <f t="shared" si="519"/>
        <v>0</v>
      </c>
      <c r="SJ309" s="21">
        <f t="shared" si="519"/>
        <v>0</v>
      </c>
      <c r="SK309" s="21">
        <f t="shared" si="519"/>
        <v>0</v>
      </c>
      <c r="SL309" s="21">
        <f t="shared" ref="SL309:SS309" si="520">IF($F$290, 0, IF($J$294, IF(AND(COLUMN($SL$309)-COLUMN($QH$303)=$Q$291,ROW($SL$309)-ROW($QH$303)=$K$291), U$290, SL309), SL309))</f>
        <v>0</v>
      </c>
      <c r="SM309" s="21">
        <f t="shared" si="520"/>
        <v>0</v>
      </c>
      <c r="SN309" s="21">
        <f t="shared" si="520"/>
        <v>0</v>
      </c>
      <c r="SO309" s="21">
        <f t="shared" si="520"/>
        <v>0</v>
      </c>
      <c r="SP309" s="21">
        <f t="shared" si="520"/>
        <v>0</v>
      </c>
      <c r="SQ309" s="21">
        <f t="shared" si="520"/>
        <v>0</v>
      </c>
      <c r="SR309" s="21">
        <f t="shared" si="520"/>
        <v>0</v>
      </c>
      <c r="SS309" s="21">
        <f t="shared" si="520"/>
        <v>0</v>
      </c>
    </row>
    <row r="310" spans="2:513" ht="15" customHeight="1" x14ac:dyDescent="0.25">
      <c r="B310" s="21">
        <f t="shared" ref="B310:I310" si="521">IF($F$290, 0, IF($C$294, IF(AND(COLUMN($B$310)-COLUMN($B$303)=$Q$291,ROW($B$310)-ROW($B$303)=$K$291), U$290, B310), B310))</f>
        <v>0</v>
      </c>
      <c r="C310" s="21">
        <f t="shared" si="521"/>
        <v>0</v>
      </c>
      <c r="D310" s="21">
        <f t="shared" si="521"/>
        <v>0</v>
      </c>
      <c r="E310" s="21">
        <f t="shared" si="521"/>
        <v>0</v>
      </c>
      <c r="F310" s="21">
        <f t="shared" si="521"/>
        <v>0</v>
      </c>
      <c r="G310" s="21">
        <f t="shared" si="521"/>
        <v>0</v>
      </c>
      <c r="H310" s="21">
        <f t="shared" si="521"/>
        <v>0</v>
      </c>
      <c r="I310" s="21">
        <f t="shared" si="521"/>
        <v>0</v>
      </c>
      <c r="J310" s="21">
        <f t="shared" ref="J310:Q310" si="522">IF($F$290, 0, IF($C$294, IF(AND(COLUMN($J$310)-COLUMN($B$303)=$Q$291,ROW($J$310)-ROW($B$303)=$K$291), U$290, J310), J310))</f>
        <v>0</v>
      </c>
      <c r="K310" s="21">
        <f t="shared" si="522"/>
        <v>0</v>
      </c>
      <c r="L310" s="21">
        <f t="shared" si="522"/>
        <v>0</v>
      </c>
      <c r="M310" s="21">
        <f t="shared" si="522"/>
        <v>0</v>
      </c>
      <c r="N310" s="21">
        <f t="shared" si="522"/>
        <v>0</v>
      </c>
      <c r="O310" s="21">
        <f t="shared" si="522"/>
        <v>0</v>
      </c>
      <c r="P310" s="21">
        <f t="shared" si="522"/>
        <v>0</v>
      </c>
      <c r="Q310" s="21">
        <f t="shared" si="522"/>
        <v>0</v>
      </c>
      <c r="R310" s="21">
        <f>IF($F$290, 0, IF($C$294, IF(AND(COLUMN($R$310)-COLUMN($B$303)=$Q$291,ROW($R$310)-ROW($B$303)=$K$291), U$290, R310), R310))</f>
        <v>0</v>
      </c>
      <c r="S310" s="21">
        <f t="shared" ref="S310:Y310" si="523">IF($F$290, 0, IF($C$294, IF(AND(COLUMN($R$310)-COLUMN($B$303)=$Q$291,ROW($R$310)-ROW($B$303)=$K$291), V$290, S310), S310))</f>
        <v>0</v>
      </c>
      <c r="T310" s="21">
        <f t="shared" si="523"/>
        <v>0</v>
      </c>
      <c r="U310" s="21">
        <f t="shared" si="523"/>
        <v>0</v>
      </c>
      <c r="V310" s="21">
        <f t="shared" si="523"/>
        <v>0</v>
      </c>
      <c r="W310" s="21">
        <f t="shared" si="523"/>
        <v>0</v>
      </c>
      <c r="X310" s="21">
        <f t="shared" si="523"/>
        <v>0</v>
      </c>
      <c r="Y310" s="21">
        <f t="shared" si="523"/>
        <v>0</v>
      </c>
      <c r="Z310" s="21">
        <f t="shared" ref="Z310:AG310" si="524">IF($F$290, 0, IF($C$294, IF(AND(COLUMN($Z$310)-COLUMN($B$303)=$Q$291,ROW($Z$310)-ROW($B$303)=$K$291), U$290, Z310), Z310))</f>
        <v>0</v>
      </c>
      <c r="AA310" s="21">
        <f t="shared" si="524"/>
        <v>0</v>
      </c>
      <c r="AB310" s="21">
        <f t="shared" si="524"/>
        <v>0</v>
      </c>
      <c r="AC310" s="21">
        <f t="shared" si="524"/>
        <v>0</v>
      </c>
      <c r="AD310" s="21">
        <f t="shared" si="524"/>
        <v>0</v>
      </c>
      <c r="AE310" s="21">
        <f t="shared" si="524"/>
        <v>0</v>
      </c>
      <c r="AF310" s="21">
        <f t="shared" si="524"/>
        <v>0</v>
      </c>
      <c r="AG310" s="21">
        <f t="shared" si="524"/>
        <v>0</v>
      </c>
      <c r="AH310" s="21">
        <f t="shared" ref="AH310:AO310" si="525">IF($F$290, 0, IF($C$294, IF(AND(COLUMN($AH$310)-COLUMN($B$303)=$Q$291,ROW($AH$310)-ROW($B$303)=$K$291), U$290, AH310), AH310))</f>
        <v>0</v>
      </c>
      <c r="AI310" s="21">
        <f t="shared" si="525"/>
        <v>0</v>
      </c>
      <c r="AJ310" s="21">
        <f t="shared" si="525"/>
        <v>0</v>
      </c>
      <c r="AK310" s="21">
        <f t="shared" si="525"/>
        <v>0</v>
      </c>
      <c r="AL310" s="21">
        <f t="shared" si="525"/>
        <v>0</v>
      </c>
      <c r="AM310" s="21">
        <f t="shared" si="525"/>
        <v>0</v>
      </c>
      <c r="AN310" s="21">
        <f t="shared" si="525"/>
        <v>0</v>
      </c>
      <c r="AO310" s="21">
        <f t="shared" si="525"/>
        <v>0</v>
      </c>
      <c r="AP310" s="21">
        <f t="shared" ref="AP310:AW310" si="526">IF($F$290, 0, IF($C$294, IF(AND(COLUMN($AP$310)-COLUMN($B$303)=$Q$291,ROW($AP$310)-ROW($B$303)=$K$291), U$290, AP310), AP310))</f>
        <v>0</v>
      </c>
      <c r="AQ310" s="21">
        <f t="shared" si="526"/>
        <v>0</v>
      </c>
      <c r="AR310" s="21">
        <f t="shared" si="526"/>
        <v>0</v>
      </c>
      <c r="AS310" s="21">
        <f t="shared" si="526"/>
        <v>0</v>
      </c>
      <c r="AT310" s="21">
        <f t="shared" si="526"/>
        <v>0</v>
      </c>
      <c r="AU310" s="21">
        <f t="shared" si="526"/>
        <v>0</v>
      </c>
      <c r="AV310" s="21">
        <f t="shared" si="526"/>
        <v>0</v>
      </c>
      <c r="AW310" s="21">
        <f t="shared" si="526"/>
        <v>0</v>
      </c>
      <c r="AX310" s="21">
        <f t="shared" ref="AX310:BE310" si="527">IF($F$290, 0, IF($C$294, IF(AND(COLUMN($AX$310)-COLUMN($B$303)=$Q$291,ROW($AX$310)-ROW($B$303)=$K$291), U$290, AX310), AX310))</f>
        <v>0</v>
      </c>
      <c r="AY310" s="21">
        <f t="shared" si="527"/>
        <v>0</v>
      </c>
      <c r="AZ310" s="21">
        <f t="shared" si="527"/>
        <v>0</v>
      </c>
      <c r="BA310" s="21">
        <f t="shared" si="527"/>
        <v>0</v>
      </c>
      <c r="BB310" s="21">
        <f t="shared" si="527"/>
        <v>0</v>
      </c>
      <c r="BC310" s="21">
        <f t="shared" si="527"/>
        <v>0</v>
      </c>
      <c r="BD310" s="21">
        <f t="shared" si="527"/>
        <v>0</v>
      </c>
      <c r="BE310" s="21">
        <f t="shared" si="527"/>
        <v>0</v>
      </c>
      <c r="BF310" s="21">
        <f t="shared" ref="BF310:BM310" si="528">IF($F$290, 0, IF($C$294, IF(AND(COLUMN($BF$310)-COLUMN($B$303)=$Q$291,ROW($BF$310)-ROW($B$303)=$K$291), U$290, BF310), BF310))</f>
        <v>0</v>
      </c>
      <c r="BG310" s="21">
        <f t="shared" si="528"/>
        <v>0</v>
      </c>
      <c r="BH310" s="21">
        <f t="shared" si="528"/>
        <v>0</v>
      </c>
      <c r="BI310" s="21">
        <f t="shared" si="528"/>
        <v>0</v>
      </c>
      <c r="BJ310" s="21">
        <f t="shared" si="528"/>
        <v>0</v>
      </c>
      <c r="BK310" s="21">
        <f t="shared" si="528"/>
        <v>0</v>
      </c>
      <c r="BL310" s="21">
        <f t="shared" si="528"/>
        <v>0</v>
      </c>
      <c r="BM310" s="21">
        <f t="shared" si="528"/>
        <v>0</v>
      </c>
      <c r="BN310" s="21">
        <f t="shared" ref="BN310:BU310" si="529">IF($F$290, 0, IF($D$294, IF(AND(COLUMN($BN$310)-COLUMN($BN$303)=$Q$291,ROW($BN$310)-ROW($BN$303)=$K$291), U$290, BN310), BN310))</f>
        <v>0</v>
      </c>
      <c r="BO310" s="21">
        <f t="shared" si="529"/>
        <v>0</v>
      </c>
      <c r="BP310" s="21">
        <f t="shared" si="529"/>
        <v>0</v>
      </c>
      <c r="BQ310" s="21">
        <f t="shared" si="529"/>
        <v>0</v>
      </c>
      <c r="BR310" s="21">
        <f t="shared" si="529"/>
        <v>0</v>
      </c>
      <c r="BS310" s="21">
        <f t="shared" si="529"/>
        <v>0</v>
      </c>
      <c r="BT310" s="21">
        <f t="shared" si="529"/>
        <v>0</v>
      </c>
      <c r="BU310" s="21">
        <f t="shared" si="529"/>
        <v>0</v>
      </c>
      <c r="BV310" s="21">
        <f t="shared" ref="BV310:CC310" si="530">IF($F$290, 0, IF($D$294, IF(AND(COLUMN($BV$310)-COLUMN($BN$303)=$Q$291,ROW($BV$310)-ROW($BN$303)=$K$291), U$290, BV310), BV310))</f>
        <v>0</v>
      </c>
      <c r="BW310" s="21">
        <f t="shared" si="530"/>
        <v>0</v>
      </c>
      <c r="BX310" s="21">
        <f t="shared" si="530"/>
        <v>0</v>
      </c>
      <c r="BY310" s="21">
        <f t="shared" si="530"/>
        <v>0</v>
      </c>
      <c r="BZ310" s="21">
        <f t="shared" si="530"/>
        <v>0</v>
      </c>
      <c r="CA310" s="21">
        <f t="shared" si="530"/>
        <v>0</v>
      </c>
      <c r="CB310" s="21">
        <f t="shared" si="530"/>
        <v>0</v>
      </c>
      <c r="CC310" s="21">
        <f t="shared" si="530"/>
        <v>0</v>
      </c>
      <c r="CD310" s="21">
        <f t="shared" ref="CD310:CK310" si="531">IF($F$290, 0, IF($D$294, IF(AND(COLUMN($CD$310)-COLUMN($BN$303)=$Q$291,ROW($CD$310)-ROW($BN$303)=$K$291), U$290, CD310), CD310))</f>
        <v>0</v>
      </c>
      <c r="CE310" s="21">
        <f t="shared" si="531"/>
        <v>0</v>
      </c>
      <c r="CF310" s="21">
        <f t="shared" si="531"/>
        <v>0</v>
      </c>
      <c r="CG310" s="21">
        <f t="shared" si="531"/>
        <v>0</v>
      </c>
      <c r="CH310" s="21">
        <f t="shared" si="531"/>
        <v>0</v>
      </c>
      <c r="CI310" s="21">
        <f t="shared" si="531"/>
        <v>0</v>
      </c>
      <c r="CJ310" s="21">
        <f t="shared" si="531"/>
        <v>0</v>
      </c>
      <c r="CK310" s="21">
        <f t="shared" si="531"/>
        <v>0</v>
      </c>
      <c r="CL310" s="21">
        <f t="shared" ref="CL310:CS310" si="532">IF($F$290, 0, IF($D$294, IF(AND(COLUMN($CL$310)-COLUMN($BN$303)=$Q$291,ROW($CL$310)-ROW($BN$303)=$K$291), U$290, CL310), CL310))</f>
        <v>0</v>
      </c>
      <c r="CM310" s="21">
        <f t="shared" si="532"/>
        <v>0</v>
      </c>
      <c r="CN310" s="21">
        <f t="shared" si="532"/>
        <v>0</v>
      </c>
      <c r="CO310" s="21">
        <f t="shared" si="532"/>
        <v>0</v>
      </c>
      <c r="CP310" s="21">
        <f t="shared" si="532"/>
        <v>0</v>
      </c>
      <c r="CQ310" s="21">
        <f t="shared" si="532"/>
        <v>0</v>
      </c>
      <c r="CR310" s="21">
        <f t="shared" si="532"/>
        <v>0</v>
      </c>
      <c r="CS310" s="21">
        <f t="shared" si="532"/>
        <v>0</v>
      </c>
      <c r="CT310" s="21">
        <f t="shared" ref="CT310:DA310" si="533">IF($F$290, 0, IF($D$294, IF(AND(COLUMN($CT$310)-COLUMN($BN$303)=$Q$291,ROW($CT$310)-ROW($BN$303)=$K$291), U$290, CT310), CT310))</f>
        <v>0</v>
      </c>
      <c r="CU310" s="21">
        <f t="shared" si="533"/>
        <v>0</v>
      </c>
      <c r="CV310" s="21">
        <f t="shared" si="533"/>
        <v>0</v>
      </c>
      <c r="CW310" s="21">
        <f t="shared" si="533"/>
        <v>0</v>
      </c>
      <c r="CX310" s="21">
        <f t="shared" si="533"/>
        <v>0</v>
      </c>
      <c r="CY310" s="21">
        <f t="shared" si="533"/>
        <v>0</v>
      </c>
      <c r="CZ310" s="21">
        <f t="shared" si="533"/>
        <v>0</v>
      </c>
      <c r="DA310" s="21">
        <f t="shared" si="533"/>
        <v>0</v>
      </c>
      <c r="DB310" s="21">
        <f t="shared" ref="DB310:DI310" si="534">IF($F$290, 0, IF($D$294, IF(AND(COLUMN($DB$310)-COLUMN($BN$303)=$Q$291,ROW($DB$310)-ROW($BN$303)=$K$291), U$290, DB310), DB310))</f>
        <v>0</v>
      </c>
      <c r="DC310" s="21">
        <f t="shared" si="534"/>
        <v>0</v>
      </c>
      <c r="DD310" s="21">
        <f t="shared" si="534"/>
        <v>0</v>
      </c>
      <c r="DE310" s="21">
        <f t="shared" si="534"/>
        <v>0</v>
      </c>
      <c r="DF310" s="21">
        <f t="shared" si="534"/>
        <v>0</v>
      </c>
      <c r="DG310" s="21">
        <f t="shared" si="534"/>
        <v>0</v>
      </c>
      <c r="DH310" s="21">
        <f t="shared" si="534"/>
        <v>0</v>
      </c>
      <c r="DI310" s="21">
        <f t="shared" si="534"/>
        <v>0</v>
      </c>
      <c r="DJ310" s="21">
        <f t="shared" ref="DJ310:DQ310" si="535">IF($F$290, 0, IF($D$294, IF(AND(COLUMN($DJ$310)-COLUMN($BN$303)=$Q$291,ROW($DJ$310)-ROW($BN$303)=$K$291), U$290, DJ310), DJ310))</f>
        <v>0</v>
      </c>
      <c r="DK310" s="21">
        <f t="shared" si="535"/>
        <v>0</v>
      </c>
      <c r="DL310" s="21">
        <f t="shared" si="535"/>
        <v>0</v>
      </c>
      <c r="DM310" s="21">
        <f t="shared" si="535"/>
        <v>0</v>
      </c>
      <c r="DN310" s="21">
        <f t="shared" si="535"/>
        <v>0</v>
      </c>
      <c r="DO310" s="21">
        <f t="shared" si="535"/>
        <v>0</v>
      </c>
      <c r="DP310" s="21">
        <f t="shared" si="535"/>
        <v>0</v>
      </c>
      <c r="DQ310" s="21">
        <f t="shared" si="535"/>
        <v>0</v>
      </c>
      <c r="DR310" s="21">
        <f t="shared" ref="DR310:DY310" si="536">IF($F$290, 0, IF($D$294, IF(AND(COLUMN($DR$310)-COLUMN($BN$303)=$Q$291,ROW($DR$310)-ROW($BN$303)=$K$291), U$290, DR310), DR310))</f>
        <v>0</v>
      </c>
      <c r="DS310" s="21">
        <f t="shared" si="536"/>
        <v>0</v>
      </c>
      <c r="DT310" s="21">
        <f t="shared" si="536"/>
        <v>0</v>
      </c>
      <c r="DU310" s="21">
        <f t="shared" si="536"/>
        <v>0</v>
      </c>
      <c r="DV310" s="21">
        <f t="shared" si="536"/>
        <v>0</v>
      </c>
      <c r="DW310" s="21">
        <f t="shared" si="536"/>
        <v>0</v>
      </c>
      <c r="DX310" s="21">
        <f t="shared" si="536"/>
        <v>0</v>
      </c>
      <c r="DY310" s="21">
        <f t="shared" si="536"/>
        <v>0</v>
      </c>
      <c r="DZ310" s="21">
        <f t="shared" ref="DZ310:EG310" si="537">IF($F$290, 0, IF($E$294, IF(AND(COLUMN($DZ$310)-COLUMN($DZ$303)=$Q$291,ROW($DZ$310)-ROW($DZ$303)=$K$291), U$290, DZ310), DZ310))</f>
        <v>0</v>
      </c>
      <c r="EA310" s="21">
        <f t="shared" si="537"/>
        <v>0</v>
      </c>
      <c r="EB310" s="21">
        <f t="shared" si="537"/>
        <v>0</v>
      </c>
      <c r="EC310" s="21">
        <f t="shared" si="537"/>
        <v>0</v>
      </c>
      <c r="ED310" s="21">
        <f t="shared" si="537"/>
        <v>0</v>
      </c>
      <c r="EE310" s="21">
        <f t="shared" si="537"/>
        <v>0</v>
      </c>
      <c r="EF310" s="21">
        <f t="shared" si="537"/>
        <v>0</v>
      </c>
      <c r="EG310" s="21">
        <f t="shared" si="537"/>
        <v>0</v>
      </c>
      <c r="EH310" s="21">
        <f t="shared" ref="EH310:EO310" si="538">IF($F$290, 0, IF($E$294, IF(AND(COLUMN($EH$310)-COLUMN($DZ$303)=$Q$291,ROW($EH$310)-ROW($DZ$303)=$K$291), U$290, EH310), EH310))</f>
        <v>0</v>
      </c>
      <c r="EI310" s="21">
        <f t="shared" si="538"/>
        <v>0</v>
      </c>
      <c r="EJ310" s="21">
        <f t="shared" si="538"/>
        <v>0</v>
      </c>
      <c r="EK310" s="21">
        <f t="shared" si="538"/>
        <v>0</v>
      </c>
      <c r="EL310" s="21">
        <f t="shared" si="538"/>
        <v>0</v>
      </c>
      <c r="EM310" s="21">
        <f t="shared" si="538"/>
        <v>0</v>
      </c>
      <c r="EN310" s="21">
        <f t="shared" si="538"/>
        <v>0</v>
      </c>
      <c r="EO310" s="21">
        <f t="shared" si="538"/>
        <v>0</v>
      </c>
      <c r="EP310" s="21">
        <f t="shared" ref="EP310:EW310" si="539">IF($F$290, 0, IF($E$294, IF(AND(COLUMN($EP$310)-COLUMN($DZ$303)=$Q$291,ROW($EP$310)-ROW($DZ$303)=$K$291), U$290, EP310), EP310))</f>
        <v>0</v>
      </c>
      <c r="EQ310" s="21">
        <f t="shared" si="539"/>
        <v>0</v>
      </c>
      <c r="ER310" s="21">
        <f t="shared" si="539"/>
        <v>0</v>
      </c>
      <c r="ES310" s="21">
        <f t="shared" si="539"/>
        <v>0</v>
      </c>
      <c r="ET310" s="21">
        <f t="shared" si="539"/>
        <v>0</v>
      </c>
      <c r="EU310" s="21">
        <f t="shared" si="539"/>
        <v>0</v>
      </c>
      <c r="EV310" s="21">
        <f t="shared" si="539"/>
        <v>0</v>
      </c>
      <c r="EW310" s="21">
        <f t="shared" si="539"/>
        <v>0</v>
      </c>
      <c r="EX310" s="21">
        <f t="shared" ref="EX310:FE310" si="540">IF($F$290, 0, IF($E$294, IF(AND(COLUMN($EX$310)-COLUMN($DZ$303)=$Q$291,ROW($EX$310)-ROW($DZ$303)=$K$291), U$290, EX310), EX310))</f>
        <v>0</v>
      </c>
      <c r="EY310" s="21">
        <f t="shared" si="540"/>
        <v>0</v>
      </c>
      <c r="EZ310" s="21">
        <f t="shared" si="540"/>
        <v>0</v>
      </c>
      <c r="FA310" s="21">
        <f t="shared" si="540"/>
        <v>0</v>
      </c>
      <c r="FB310" s="21">
        <f t="shared" si="540"/>
        <v>0</v>
      </c>
      <c r="FC310" s="21">
        <f t="shared" si="540"/>
        <v>0</v>
      </c>
      <c r="FD310" s="21">
        <f t="shared" si="540"/>
        <v>0</v>
      </c>
      <c r="FE310" s="21">
        <f t="shared" si="540"/>
        <v>0</v>
      </c>
      <c r="FF310" s="21">
        <f t="shared" ref="FF310:FM310" si="541">IF($F$290, 0, IF($E$294, IF(AND(COLUMN($FF$310)-COLUMN($DZ$303)=$Q$291,ROW($FF$310)-ROW($DZ$303)=$K$291), U$290, FF310), FF310))</f>
        <v>0</v>
      </c>
      <c r="FG310" s="21">
        <f t="shared" si="541"/>
        <v>0</v>
      </c>
      <c r="FH310" s="21">
        <f t="shared" si="541"/>
        <v>0</v>
      </c>
      <c r="FI310" s="21">
        <f t="shared" si="541"/>
        <v>0</v>
      </c>
      <c r="FJ310" s="21">
        <f t="shared" si="541"/>
        <v>0</v>
      </c>
      <c r="FK310" s="21">
        <f t="shared" si="541"/>
        <v>0</v>
      </c>
      <c r="FL310" s="21">
        <f t="shared" si="541"/>
        <v>0</v>
      </c>
      <c r="FM310" s="21">
        <f t="shared" si="541"/>
        <v>0</v>
      </c>
      <c r="FN310" s="21">
        <f t="shared" ref="FN310:FU310" si="542">IF($F$290, 0, IF($E$294, IF(AND(COLUMN($FN$310)-COLUMN($DZ$303)=$Q$291,ROW($FN$310)-ROW($DZ$303)=$K$291), U$290, FN310), FN310))</f>
        <v>0</v>
      </c>
      <c r="FO310" s="21">
        <f t="shared" si="542"/>
        <v>0</v>
      </c>
      <c r="FP310" s="21">
        <f t="shared" si="542"/>
        <v>0</v>
      </c>
      <c r="FQ310" s="21">
        <f t="shared" si="542"/>
        <v>0</v>
      </c>
      <c r="FR310" s="21">
        <f t="shared" si="542"/>
        <v>0</v>
      </c>
      <c r="FS310" s="21">
        <f t="shared" si="542"/>
        <v>0</v>
      </c>
      <c r="FT310" s="21">
        <f t="shared" si="542"/>
        <v>0</v>
      </c>
      <c r="FU310" s="21">
        <f t="shared" si="542"/>
        <v>0</v>
      </c>
      <c r="FV310" s="21">
        <f t="shared" ref="FV310:GC310" si="543">IF($F$290, 0, IF($E$294, IF(AND(COLUMN($FV$310)-COLUMN($DZ$303)=$Q$291,ROW($FV$310)-ROW($DZ$303)=$K$291), U$290, FV310), FV310))</f>
        <v>0</v>
      </c>
      <c r="FW310" s="21">
        <f t="shared" si="543"/>
        <v>0</v>
      </c>
      <c r="FX310" s="21">
        <f t="shared" si="543"/>
        <v>0</v>
      </c>
      <c r="FY310" s="21">
        <f t="shared" si="543"/>
        <v>0</v>
      </c>
      <c r="FZ310" s="21">
        <f t="shared" si="543"/>
        <v>0</v>
      </c>
      <c r="GA310" s="21">
        <f t="shared" si="543"/>
        <v>0</v>
      </c>
      <c r="GB310" s="21">
        <f t="shared" si="543"/>
        <v>0</v>
      </c>
      <c r="GC310" s="21">
        <f t="shared" si="543"/>
        <v>0</v>
      </c>
      <c r="GD310" s="21">
        <f t="shared" ref="GD310:GK310" si="544">IF($F$290, 0, IF($E$294, IF(AND(COLUMN($GD$310)-COLUMN($DZ$303)=$Q$291,ROW($GD$310)-ROW($DZ$303)=$K$291), U$290, GD310), GD310))</f>
        <v>0</v>
      </c>
      <c r="GE310" s="21">
        <f t="shared" si="544"/>
        <v>0</v>
      </c>
      <c r="GF310" s="21">
        <f t="shared" si="544"/>
        <v>0</v>
      </c>
      <c r="GG310" s="21">
        <f t="shared" si="544"/>
        <v>0</v>
      </c>
      <c r="GH310" s="21">
        <f t="shared" si="544"/>
        <v>0</v>
      </c>
      <c r="GI310" s="21">
        <f t="shared" si="544"/>
        <v>0</v>
      </c>
      <c r="GJ310" s="21">
        <f t="shared" si="544"/>
        <v>0</v>
      </c>
      <c r="GK310" s="21">
        <f t="shared" si="544"/>
        <v>0</v>
      </c>
      <c r="GL310" s="21">
        <f t="shared" ref="GL310:GS310" si="545">IF($F$290, 0, IF($F$294, IF(AND(COLUMN($GL$310)-COLUMN($GL$303)=$Q$291,ROW($GL$310)-ROW($GL$303)=$K$291), U$290, GL310), GL310))</f>
        <v>0</v>
      </c>
      <c r="GM310" s="21">
        <f t="shared" si="545"/>
        <v>0</v>
      </c>
      <c r="GN310" s="21">
        <f t="shared" si="545"/>
        <v>0</v>
      </c>
      <c r="GO310" s="21">
        <f t="shared" si="545"/>
        <v>0</v>
      </c>
      <c r="GP310" s="21">
        <f t="shared" si="545"/>
        <v>0</v>
      </c>
      <c r="GQ310" s="21">
        <f t="shared" si="545"/>
        <v>0</v>
      </c>
      <c r="GR310" s="21">
        <f t="shared" si="545"/>
        <v>0</v>
      </c>
      <c r="GS310" s="21">
        <f t="shared" si="545"/>
        <v>0</v>
      </c>
      <c r="GT310" s="21">
        <f t="shared" ref="GT310:HA310" si="546">IF($F$290, 0, IF($F$294, IF(AND(COLUMN($GT$310)-COLUMN($GL$303)=$Q$291,ROW($GT$310)-ROW($GL$303)=$K$291), U$290, GT310), GT310))</f>
        <v>0</v>
      </c>
      <c r="GU310" s="21">
        <f t="shared" si="546"/>
        <v>0</v>
      </c>
      <c r="GV310" s="21">
        <f t="shared" si="546"/>
        <v>0</v>
      </c>
      <c r="GW310" s="21">
        <f t="shared" si="546"/>
        <v>0</v>
      </c>
      <c r="GX310" s="21">
        <f t="shared" si="546"/>
        <v>0</v>
      </c>
      <c r="GY310" s="21">
        <f t="shared" si="546"/>
        <v>0</v>
      </c>
      <c r="GZ310" s="21">
        <f t="shared" si="546"/>
        <v>0</v>
      </c>
      <c r="HA310" s="21">
        <f t="shared" si="546"/>
        <v>0</v>
      </c>
      <c r="HB310" s="21">
        <f t="shared" ref="HB310:HI310" si="547">IF($F$290, 0, IF($F$294, IF(AND(COLUMN($HB$310)-COLUMN($GL$303)=$Q$291,ROW($HB$310)-ROW($GL$303)=$K$291), U$290, HB310), HB310))</f>
        <v>0</v>
      </c>
      <c r="HC310" s="21">
        <f t="shared" si="547"/>
        <v>0</v>
      </c>
      <c r="HD310" s="21">
        <f t="shared" si="547"/>
        <v>0</v>
      </c>
      <c r="HE310" s="21">
        <f t="shared" si="547"/>
        <v>0</v>
      </c>
      <c r="HF310" s="21">
        <f t="shared" si="547"/>
        <v>0</v>
      </c>
      <c r="HG310" s="21">
        <f t="shared" si="547"/>
        <v>0</v>
      </c>
      <c r="HH310" s="21">
        <f t="shared" si="547"/>
        <v>0</v>
      </c>
      <c r="HI310" s="21">
        <f t="shared" si="547"/>
        <v>0</v>
      </c>
      <c r="HJ310" s="21">
        <f t="shared" ref="HJ310:HQ310" si="548">IF($F$290, 0, IF($F$294, IF(AND(COLUMN($HJ$310)-COLUMN($GL$303)=$Q$291,ROW($HJ$310)-ROW($GL$303)=$K$291), U$290, HJ310), HJ310))</f>
        <v>0</v>
      </c>
      <c r="HK310" s="21">
        <f t="shared" si="548"/>
        <v>0</v>
      </c>
      <c r="HL310" s="21">
        <f t="shared" si="548"/>
        <v>0</v>
      </c>
      <c r="HM310" s="21">
        <f t="shared" si="548"/>
        <v>0</v>
      </c>
      <c r="HN310" s="21">
        <f t="shared" si="548"/>
        <v>0</v>
      </c>
      <c r="HO310" s="21">
        <f t="shared" si="548"/>
        <v>0</v>
      </c>
      <c r="HP310" s="21">
        <f t="shared" si="548"/>
        <v>0</v>
      </c>
      <c r="HQ310" s="21">
        <f t="shared" si="548"/>
        <v>0</v>
      </c>
      <c r="HR310" s="21">
        <f t="shared" ref="HR310:HY310" si="549">IF($F$290, 0, IF($F$294, IF(AND(COLUMN($HR$310)-COLUMN($GL$303)=$Q$291,ROW($HR$310)-ROW($GL$303)=$K$291), U$290, HR310), HR310))</f>
        <v>0</v>
      </c>
      <c r="HS310" s="21">
        <f t="shared" si="549"/>
        <v>0</v>
      </c>
      <c r="HT310" s="21">
        <f t="shared" si="549"/>
        <v>0</v>
      </c>
      <c r="HU310" s="21">
        <f t="shared" si="549"/>
        <v>0</v>
      </c>
      <c r="HV310" s="21">
        <f t="shared" si="549"/>
        <v>0</v>
      </c>
      <c r="HW310" s="21">
        <f t="shared" si="549"/>
        <v>0</v>
      </c>
      <c r="HX310" s="21">
        <f t="shared" si="549"/>
        <v>0</v>
      </c>
      <c r="HY310" s="21">
        <f t="shared" si="549"/>
        <v>0</v>
      </c>
      <c r="HZ310" s="21">
        <f t="shared" ref="HZ310:IG310" si="550">IF($F$290, 0, IF($F$294, IF(AND(COLUMN($HZ$310)-COLUMN($GL$303)=$Q$291,ROW($HZ$310)-ROW($GL$303)=$K$291), U$290, HZ310), HZ310))</f>
        <v>0</v>
      </c>
      <c r="IA310" s="21">
        <f t="shared" si="550"/>
        <v>0</v>
      </c>
      <c r="IB310" s="21">
        <f t="shared" si="550"/>
        <v>0</v>
      </c>
      <c r="IC310" s="21">
        <f t="shared" si="550"/>
        <v>0</v>
      </c>
      <c r="ID310" s="21">
        <f t="shared" si="550"/>
        <v>0</v>
      </c>
      <c r="IE310" s="21">
        <f t="shared" si="550"/>
        <v>0</v>
      </c>
      <c r="IF310" s="21">
        <f t="shared" si="550"/>
        <v>0</v>
      </c>
      <c r="IG310" s="21">
        <f t="shared" si="550"/>
        <v>0</v>
      </c>
      <c r="IH310" s="21">
        <f t="shared" ref="IH310:IO310" si="551">IF($F$290, 0, IF($F$294, IF(AND(COLUMN($IH$310)-COLUMN($GL$303)=$Q$291,ROW($IH$310)-ROW($GL$303)=$K$291), U$290, IH310), IH310))</f>
        <v>0</v>
      </c>
      <c r="II310" s="21">
        <f t="shared" si="551"/>
        <v>0</v>
      </c>
      <c r="IJ310" s="21">
        <f t="shared" si="551"/>
        <v>0</v>
      </c>
      <c r="IK310" s="21">
        <f t="shared" si="551"/>
        <v>0</v>
      </c>
      <c r="IL310" s="21">
        <f t="shared" si="551"/>
        <v>0</v>
      </c>
      <c r="IM310" s="21">
        <f t="shared" si="551"/>
        <v>0</v>
      </c>
      <c r="IN310" s="21">
        <f t="shared" si="551"/>
        <v>0</v>
      </c>
      <c r="IO310" s="21">
        <f t="shared" si="551"/>
        <v>0</v>
      </c>
      <c r="IP310" s="21">
        <f t="shared" ref="IP310:IW310" si="552">IF($F$290, 0, IF($F$294, IF(AND(COLUMN($IP$310)-COLUMN($GL$303)=$Q$291,ROW($IP$310)-ROW($GL$303)=$K$291), U$290, IP310), IP310))</f>
        <v>0</v>
      </c>
      <c r="IQ310" s="21">
        <f t="shared" si="552"/>
        <v>0</v>
      </c>
      <c r="IR310" s="21">
        <f t="shared" si="552"/>
        <v>0</v>
      </c>
      <c r="IS310" s="21">
        <f t="shared" si="552"/>
        <v>0</v>
      </c>
      <c r="IT310" s="21">
        <f t="shared" si="552"/>
        <v>0</v>
      </c>
      <c r="IU310" s="21">
        <f t="shared" si="552"/>
        <v>0</v>
      </c>
      <c r="IV310" s="21">
        <f t="shared" si="552"/>
        <v>0</v>
      </c>
      <c r="IW310" s="21">
        <f t="shared" si="552"/>
        <v>0</v>
      </c>
      <c r="IX310" s="21">
        <f t="shared" ref="IX310:JE310" si="553">IF($F$290, 0, IF($G$294, IF(AND(COLUMN($IX$310)-COLUMN($IX$303)=$Q$291,ROW($IX$310)-ROW($IX$303)=$K$291), U$290, IX310), IX310))</f>
        <v>0</v>
      </c>
      <c r="IY310" s="21">
        <f t="shared" si="553"/>
        <v>0</v>
      </c>
      <c r="IZ310" s="21">
        <f t="shared" si="553"/>
        <v>0</v>
      </c>
      <c r="JA310" s="21">
        <f t="shared" si="553"/>
        <v>0</v>
      </c>
      <c r="JB310" s="21">
        <f t="shared" si="553"/>
        <v>0</v>
      </c>
      <c r="JC310" s="21">
        <f t="shared" si="553"/>
        <v>0</v>
      </c>
      <c r="JD310" s="21">
        <f t="shared" si="553"/>
        <v>0</v>
      </c>
      <c r="JE310" s="21">
        <f t="shared" si="553"/>
        <v>0</v>
      </c>
      <c r="JF310" s="21">
        <f t="shared" ref="JF310:JM310" si="554">IF($F$290, 0, IF($G$294, IF(AND(COLUMN($JF$310)-COLUMN($IX$303)=$Q$291,ROW($JF$310)-ROW($IX$303)=$K$291), U$290, JF310), JF310))</f>
        <v>0</v>
      </c>
      <c r="JG310" s="21">
        <f t="shared" si="554"/>
        <v>0</v>
      </c>
      <c r="JH310" s="21">
        <f t="shared" si="554"/>
        <v>0</v>
      </c>
      <c r="JI310" s="21">
        <f t="shared" si="554"/>
        <v>0</v>
      </c>
      <c r="JJ310" s="21">
        <f t="shared" si="554"/>
        <v>0</v>
      </c>
      <c r="JK310" s="21">
        <f t="shared" si="554"/>
        <v>0</v>
      </c>
      <c r="JL310" s="21">
        <f t="shared" si="554"/>
        <v>0</v>
      </c>
      <c r="JM310" s="21">
        <f t="shared" si="554"/>
        <v>0</v>
      </c>
      <c r="JN310" s="21">
        <f t="shared" ref="JN310:JU310" si="555">IF($F$290, 0, IF($G$294, IF(AND(COLUMN($JN$310)-COLUMN($IX$303)=$Q$291,ROW($JN$310)-ROW($IX$303)=$K$291), U$290, JN310), JN310))</f>
        <v>0</v>
      </c>
      <c r="JO310" s="21">
        <f t="shared" si="555"/>
        <v>0</v>
      </c>
      <c r="JP310" s="21">
        <f t="shared" si="555"/>
        <v>0</v>
      </c>
      <c r="JQ310" s="21">
        <f t="shared" si="555"/>
        <v>0</v>
      </c>
      <c r="JR310" s="21">
        <f t="shared" si="555"/>
        <v>0</v>
      </c>
      <c r="JS310" s="21">
        <f t="shared" si="555"/>
        <v>0</v>
      </c>
      <c r="JT310" s="21">
        <f t="shared" si="555"/>
        <v>0</v>
      </c>
      <c r="JU310" s="21">
        <f t="shared" si="555"/>
        <v>0</v>
      </c>
      <c r="JV310" s="21">
        <f t="shared" ref="JV310:KC310" si="556">IF($F$290, 0, IF($G$294, IF(AND(COLUMN($JV$310)-COLUMN($IX$303)=$Q$291,ROW($JV$310)-ROW($IX$303)=$K$291), U$290, JV310), JV310))</f>
        <v>0</v>
      </c>
      <c r="JW310" s="21">
        <f t="shared" si="556"/>
        <v>0</v>
      </c>
      <c r="JX310" s="21">
        <f t="shared" si="556"/>
        <v>0</v>
      </c>
      <c r="JY310" s="21">
        <f t="shared" si="556"/>
        <v>0</v>
      </c>
      <c r="JZ310" s="21">
        <f t="shared" si="556"/>
        <v>0</v>
      </c>
      <c r="KA310" s="21">
        <f t="shared" si="556"/>
        <v>0</v>
      </c>
      <c r="KB310" s="21">
        <f t="shared" si="556"/>
        <v>0</v>
      </c>
      <c r="KC310" s="21">
        <f t="shared" si="556"/>
        <v>0</v>
      </c>
      <c r="KD310" s="21">
        <f t="shared" ref="KD310:KK310" si="557">IF($F$290, 0, IF($G$294, IF(AND(COLUMN($KD$310)-COLUMN($IX$303)=$Q$291,ROW($KD$310)-ROW($IX$303)=$K$291), U$290, KD310), KD310))</f>
        <v>0</v>
      </c>
      <c r="KE310" s="21">
        <f t="shared" si="557"/>
        <v>0</v>
      </c>
      <c r="KF310" s="21">
        <f t="shared" si="557"/>
        <v>0</v>
      </c>
      <c r="KG310" s="21">
        <f t="shared" si="557"/>
        <v>0</v>
      </c>
      <c r="KH310" s="21">
        <f t="shared" si="557"/>
        <v>0</v>
      </c>
      <c r="KI310" s="21">
        <f t="shared" si="557"/>
        <v>0</v>
      </c>
      <c r="KJ310" s="21">
        <f t="shared" si="557"/>
        <v>0</v>
      </c>
      <c r="KK310" s="21">
        <f t="shared" si="557"/>
        <v>0</v>
      </c>
      <c r="KL310" s="21">
        <f t="shared" ref="KL310:KS310" si="558">IF($F$290, 0, IF($G$294, IF(AND(COLUMN($KL$310)-COLUMN($IX$303)=$Q$291,ROW($KL$310)-ROW($IX$303)=$K$291), U$290, KL310), KL310))</f>
        <v>0</v>
      </c>
      <c r="KM310" s="21">
        <f t="shared" si="558"/>
        <v>0</v>
      </c>
      <c r="KN310" s="21">
        <f t="shared" si="558"/>
        <v>0</v>
      </c>
      <c r="KO310" s="21">
        <f t="shared" si="558"/>
        <v>0</v>
      </c>
      <c r="KP310" s="21">
        <f t="shared" si="558"/>
        <v>0</v>
      </c>
      <c r="KQ310" s="21">
        <f t="shared" si="558"/>
        <v>0</v>
      </c>
      <c r="KR310" s="21">
        <f t="shared" si="558"/>
        <v>0</v>
      </c>
      <c r="KS310" s="21">
        <f t="shared" si="558"/>
        <v>0</v>
      </c>
      <c r="KT310" s="21">
        <f t="shared" ref="KT310:LA310" si="559">IF($F$290, 0, IF($G$294, IF(AND(COLUMN($KT$310)-COLUMN($IX$303)=$Q$291,ROW($KT$310)-ROW($IX$303)=$K$291), U$290, KT310), KT310))</f>
        <v>0</v>
      </c>
      <c r="KU310" s="21">
        <f t="shared" si="559"/>
        <v>0</v>
      </c>
      <c r="KV310" s="21">
        <f t="shared" si="559"/>
        <v>0</v>
      </c>
      <c r="KW310" s="21">
        <f t="shared" si="559"/>
        <v>0</v>
      </c>
      <c r="KX310" s="21">
        <f t="shared" si="559"/>
        <v>0</v>
      </c>
      <c r="KY310" s="21">
        <f t="shared" si="559"/>
        <v>0</v>
      </c>
      <c r="KZ310" s="21">
        <f t="shared" si="559"/>
        <v>0</v>
      </c>
      <c r="LA310" s="21">
        <f t="shared" si="559"/>
        <v>0</v>
      </c>
      <c r="LB310" s="21">
        <f t="shared" ref="LB310:LI310" si="560">IF($F$290, 0, IF($G$294, IF(AND(COLUMN($LB$310)-COLUMN($IX$303)=$Q$291,ROW($LB$310)-ROW($IX$303)=$K$291), U$290, LB310), LB310))</f>
        <v>0</v>
      </c>
      <c r="LC310" s="21">
        <f t="shared" si="560"/>
        <v>0</v>
      </c>
      <c r="LD310" s="21">
        <f t="shared" si="560"/>
        <v>0</v>
      </c>
      <c r="LE310" s="21">
        <f t="shared" si="560"/>
        <v>0</v>
      </c>
      <c r="LF310" s="21">
        <f t="shared" si="560"/>
        <v>0</v>
      </c>
      <c r="LG310" s="21">
        <f t="shared" si="560"/>
        <v>0</v>
      </c>
      <c r="LH310" s="21">
        <f t="shared" si="560"/>
        <v>0</v>
      </c>
      <c r="LI310" s="21">
        <f t="shared" si="560"/>
        <v>0</v>
      </c>
      <c r="LJ310" s="21">
        <f t="shared" ref="LJ310:LQ310" si="561">IF($F$290, 0, IF($H$294, IF(AND(COLUMN($LJ$310)-COLUMN($LJ$303)=$Q$291,ROW($LJ$310)-ROW($LJ$303)=$K$291), U$290, LJ310), LJ310))</f>
        <v>0</v>
      </c>
      <c r="LK310" s="21">
        <f t="shared" si="561"/>
        <v>0</v>
      </c>
      <c r="LL310" s="21">
        <f t="shared" si="561"/>
        <v>0</v>
      </c>
      <c r="LM310" s="21">
        <f t="shared" si="561"/>
        <v>0</v>
      </c>
      <c r="LN310" s="21">
        <f t="shared" si="561"/>
        <v>0</v>
      </c>
      <c r="LO310" s="21">
        <f t="shared" si="561"/>
        <v>0</v>
      </c>
      <c r="LP310" s="21">
        <f t="shared" si="561"/>
        <v>0</v>
      </c>
      <c r="LQ310" s="21">
        <f t="shared" si="561"/>
        <v>0</v>
      </c>
      <c r="LR310" s="21">
        <f t="shared" ref="LR310:LY310" si="562">IF($F$290, 0, IF($H$294, IF(AND(COLUMN($LR$310)-COLUMN($LJ$303)=$Q$291,ROW($LR$310)-ROW($LJ$303)=$K$291), U$290, LR310), LR310))</f>
        <v>0</v>
      </c>
      <c r="LS310" s="21">
        <f t="shared" si="562"/>
        <v>0</v>
      </c>
      <c r="LT310" s="21">
        <f t="shared" si="562"/>
        <v>0</v>
      </c>
      <c r="LU310" s="21">
        <f t="shared" si="562"/>
        <v>0</v>
      </c>
      <c r="LV310" s="21">
        <f t="shared" si="562"/>
        <v>0</v>
      </c>
      <c r="LW310" s="21">
        <f t="shared" si="562"/>
        <v>0</v>
      </c>
      <c r="LX310" s="21">
        <f t="shared" si="562"/>
        <v>0</v>
      </c>
      <c r="LY310" s="21">
        <f t="shared" si="562"/>
        <v>0</v>
      </c>
      <c r="LZ310" s="21">
        <f t="shared" ref="LZ310:MG310" si="563">IF($F$290, 0, IF($H$294, IF(AND(COLUMN($LZ$310)-COLUMN($LJ$303)=$Q$291,ROW($LZ$310)-ROW($LJ$303)=$K$291), U$290, LZ310), LZ310))</f>
        <v>0</v>
      </c>
      <c r="MA310" s="21">
        <f t="shared" si="563"/>
        <v>0</v>
      </c>
      <c r="MB310" s="21">
        <f t="shared" si="563"/>
        <v>0</v>
      </c>
      <c r="MC310" s="21">
        <f t="shared" si="563"/>
        <v>0</v>
      </c>
      <c r="MD310" s="21">
        <f t="shared" si="563"/>
        <v>0</v>
      </c>
      <c r="ME310" s="21">
        <f t="shared" si="563"/>
        <v>0</v>
      </c>
      <c r="MF310" s="21">
        <f t="shared" si="563"/>
        <v>0</v>
      </c>
      <c r="MG310" s="21">
        <f t="shared" si="563"/>
        <v>0</v>
      </c>
      <c r="MH310" s="21">
        <f t="shared" ref="MH310:MO310" si="564">IF($F$290, 0, IF($H$294, IF(AND(COLUMN($MH$310)-COLUMN($LJ$303)=$Q$291,ROW($MH$310)-ROW($LJ$303)=$K$291), U$290, MH310), MH310))</f>
        <v>0</v>
      </c>
      <c r="MI310" s="21">
        <f t="shared" si="564"/>
        <v>0</v>
      </c>
      <c r="MJ310" s="21">
        <f t="shared" si="564"/>
        <v>0</v>
      </c>
      <c r="MK310" s="21">
        <f t="shared" si="564"/>
        <v>0</v>
      </c>
      <c r="ML310" s="21">
        <f t="shared" si="564"/>
        <v>0</v>
      </c>
      <c r="MM310" s="21">
        <f t="shared" si="564"/>
        <v>0</v>
      </c>
      <c r="MN310" s="21">
        <f t="shared" si="564"/>
        <v>0</v>
      </c>
      <c r="MO310" s="21">
        <f t="shared" si="564"/>
        <v>0</v>
      </c>
      <c r="MP310" s="21">
        <f t="shared" ref="MP310:MW310" si="565">IF($F$290, 0, IF($H$294, IF(AND(COLUMN($MP$310)-COLUMN($LJ$303)=$Q$291,ROW($MP$310)-ROW($LJ$303)=$K$291), U$290, MP310), MP310))</f>
        <v>0</v>
      </c>
      <c r="MQ310" s="21">
        <f t="shared" si="565"/>
        <v>0</v>
      </c>
      <c r="MR310" s="21">
        <f t="shared" si="565"/>
        <v>0</v>
      </c>
      <c r="MS310" s="21">
        <f t="shared" si="565"/>
        <v>0</v>
      </c>
      <c r="MT310" s="21">
        <f t="shared" si="565"/>
        <v>0</v>
      </c>
      <c r="MU310" s="21">
        <f t="shared" si="565"/>
        <v>0</v>
      </c>
      <c r="MV310" s="21">
        <f t="shared" si="565"/>
        <v>0</v>
      </c>
      <c r="MW310" s="21">
        <f t="shared" si="565"/>
        <v>0</v>
      </c>
      <c r="MX310" s="21">
        <f t="shared" ref="MX310:NE310" si="566">IF($F$290, 0, IF($H$294, IF(AND(COLUMN($MX$310)-COLUMN($LJ$303)=$Q$291,ROW($MX$310)-ROW($LJ$303)=$K$291), U$290, MX310), MX310))</f>
        <v>0</v>
      </c>
      <c r="MY310" s="21">
        <f t="shared" si="566"/>
        <v>0</v>
      </c>
      <c r="MZ310" s="21">
        <f t="shared" si="566"/>
        <v>0</v>
      </c>
      <c r="NA310" s="21">
        <f t="shared" si="566"/>
        <v>0</v>
      </c>
      <c r="NB310" s="21">
        <f t="shared" si="566"/>
        <v>0</v>
      </c>
      <c r="NC310" s="21">
        <f t="shared" si="566"/>
        <v>0</v>
      </c>
      <c r="ND310" s="21">
        <f t="shared" si="566"/>
        <v>0</v>
      </c>
      <c r="NE310" s="21">
        <f t="shared" si="566"/>
        <v>0</v>
      </c>
      <c r="NF310" s="21">
        <f t="shared" ref="NF310:NM310" si="567">IF($F$290, 0, IF($H$294, IF(AND(COLUMN($NF$310)-COLUMN($LJ$303)=$Q$291,ROW($NF$310)-ROW($LJ$303)=$K$291), U$290, NF310), NF310))</f>
        <v>0</v>
      </c>
      <c r="NG310" s="21">
        <f t="shared" si="567"/>
        <v>0</v>
      </c>
      <c r="NH310" s="21">
        <f t="shared" si="567"/>
        <v>0</v>
      </c>
      <c r="NI310" s="21">
        <f t="shared" si="567"/>
        <v>0</v>
      </c>
      <c r="NJ310" s="21">
        <f t="shared" si="567"/>
        <v>0</v>
      </c>
      <c r="NK310" s="21">
        <f t="shared" si="567"/>
        <v>0</v>
      </c>
      <c r="NL310" s="21">
        <f t="shared" si="567"/>
        <v>0</v>
      </c>
      <c r="NM310" s="21">
        <f t="shared" si="567"/>
        <v>0</v>
      </c>
      <c r="NN310" s="21">
        <f t="shared" ref="NN310:NU310" si="568">IF($F$290, 0, IF($H$294, IF(AND(COLUMN($NN$310)-COLUMN($LJ$303)=$Q$291,ROW($NN$310)-ROW($LJ$303)=$K$291), U$290, NN310), NN310))</f>
        <v>0</v>
      </c>
      <c r="NO310" s="21">
        <f t="shared" si="568"/>
        <v>0</v>
      </c>
      <c r="NP310" s="21">
        <f t="shared" si="568"/>
        <v>0</v>
      </c>
      <c r="NQ310" s="21">
        <f t="shared" si="568"/>
        <v>0</v>
      </c>
      <c r="NR310" s="21">
        <f t="shared" si="568"/>
        <v>0</v>
      </c>
      <c r="NS310" s="21">
        <f t="shared" si="568"/>
        <v>0</v>
      </c>
      <c r="NT310" s="21">
        <f t="shared" si="568"/>
        <v>0</v>
      </c>
      <c r="NU310" s="21">
        <f t="shared" si="568"/>
        <v>0</v>
      </c>
      <c r="NV310" s="21">
        <f t="shared" ref="NV310:OC310" si="569">IF($F$290, 0, IF($I$294, IF(AND(COLUMN($NV$310)-COLUMN($NV$303)=$Q$291,ROW($NV$310)-ROW($NV$303)=$K$291), U$290, NV310), NV310))</f>
        <v>0</v>
      </c>
      <c r="NW310" s="21">
        <f t="shared" si="569"/>
        <v>0</v>
      </c>
      <c r="NX310" s="21">
        <f t="shared" si="569"/>
        <v>0</v>
      </c>
      <c r="NY310" s="21">
        <f t="shared" si="569"/>
        <v>0</v>
      </c>
      <c r="NZ310" s="21">
        <f t="shared" si="569"/>
        <v>0</v>
      </c>
      <c r="OA310" s="21">
        <f t="shared" si="569"/>
        <v>0</v>
      </c>
      <c r="OB310" s="21">
        <f t="shared" si="569"/>
        <v>0</v>
      </c>
      <c r="OC310" s="21">
        <f t="shared" si="569"/>
        <v>0</v>
      </c>
      <c r="OD310" s="21">
        <f t="shared" ref="OD310:OK310" si="570">IF($F$290, 0, IF($I$294, IF(AND(COLUMN($OD$310)-COLUMN($NV$303)=$Q$291,ROW($OD$310)-ROW($NV$303)=$K$291), U$290, OD310), OD310))</f>
        <v>0</v>
      </c>
      <c r="OE310" s="21">
        <f t="shared" si="570"/>
        <v>0</v>
      </c>
      <c r="OF310" s="21">
        <f t="shared" si="570"/>
        <v>0</v>
      </c>
      <c r="OG310" s="21">
        <f t="shared" si="570"/>
        <v>0</v>
      </c>
      <c r="OH310" s="21">
        <f t="shared" si="570"/>
        <v>0</v>
      </c>
      <c r="OI310" s="21">
        <f t="shared" si="570"/>
        <v>0</v>
      </c>
      <c r="OJ310" s="21">
        <f t="shared" si="570"/>
        <v>0</v>
      </c>
      <c r="OK310" s="21">
        <f t="shared" si="570"/>
        <v>0</v>
      </c>
      <c r="OL310" s="21">
        <f t="shared" ref="OL310:OS310" si="571">IF($F$290, 0, IF($I$294, IF(AND(COLUMN($OL$310)-COLUMN($NV$303)=$Q$291,ROW($OL$310)-ROW($NV$303)=$K$291), U$290, OL310), OL310))</f>
        <v>0</v>
      </c>
      <c r="OM310" s="21">
        <f t="shared" si="571"/>
        <v>0</v>
      </c>
      <c r="ON310" s="21">
        <f t="shared" si="571"/>
        <v>0</v>
      </c>
      <c r="OO310" s="21">
        <f t="shared" si="571"/>
        <v>0</v>
      </c>
      <c r="OP310" s="21">
        <f t="shared" si="571"/>
        <v>0</v>
      </c>
      <c r="OQ310" s="21">
        <f t="shared" si="571"/>
        <v>0</v>
      </c>
      <c r="OR310" s="21">
        <f t="shared" si="571"/>
        <v>0</v>
      </c>
      <c r="OS310" s="21">
        <f t="shared" si="571"/>
        <v>0</v>
      </c>
      <c r="OT310" s="21">
        <f t="shared" ref="OT310:PA310" si="572">IF($F$290, 0, IF($I$294, IF(AND(COLUMN($OT$310)-COLUMN($NV$303)=$Q$291,ROW($OT$310)-ROW($NV$303)=$K$291), U$290, OT310), OT310))</f>
        <v>0</v>
      </c>
      <c r="OU310" s="21">
        <f t="shared" si="572"/>
        <v>0</v>
      </c>
      <c r="OV310" s="21">
        <f t="shared" si="572"/>
        <v>0</v>
      </c>
      <c r="OW310" s="21">
        <f t="shared" si="572"/>
        <v>0</v>
      </c>
      <c r="OX310" s="21">
        <f t="shared" si="572"/>
        <v>0</v>
      </c>
      <c r="OY310" s="21">
        <f t="shared" si="572"/>
        <v>0</v>
      </c>
      <c r="OZ310" s="21">
        <f t="shared" si="572"/>
        <v>0</v>
      </c>
      <c r="PA310" s="21">
        <f t="shared" si="572"/>
        <v>0</v>
      </c>
      <c r="PB310" s="21">
        <f t="shared" ref="PB310:PI310" si="573">IF($F$290, 0, IF($I$294, IF(AND(COLUMN($PB$310)-COLUMN($NV$303)=$Q$291,ROW($PB$310)-ROW($NV$303)=$K$291), U$290, PB310), PB310))</f>
        <v>0</v>
      </c>
      <c r="PC310" s="21">
        <f t="shared" si="573"/>
        <v>0</v>
      </c>
      <c r="PD310" s="21">
        <f t="shared" si="573"/>
        <v>0</v>
      </c>
      <c r="PE310" s="21">
        <f t="shared" si="573"/>
        <v>0</v>
      </c>
      <c r="PF310" s="21">
        <f t="shared" si="573"/>
        <v>0</v>
      </c>
      <c r="PG310" s="21">
        <f t="shared" si="573"/>
        <v>0</v>
      </c>
      <c r="PH310" s="21">
        <f t="shared" si="573"/>
        <v>0</v>
      </c>
      <c r="PI310" s="21">
        <f t="shared" si="573"/>
        <v>0</v>
      </c>
      <c r="PJ310" s="21">
        <f t="shared" ref="PJ310:PQ310" si="574">IF($F$290, 0, IF($I$294, IF(AND(COLUMN($PJ$310)-COLUMN($NV$303)=$Q$291,ROW($PJ$310)-ROW($NV$303)=$K$291), U$290, PJ310), PJ310))</f>
        <v>0</v>
      </c>
      <c r="PK310" s="21">
        <f t="shared" si="574"/>
        <v>0</v>
      </c>
      <c r="PL310" s="21">
        <f t="shared" si="574"/>
        <v>0</v>
      </c>
      <c r="PM310" s="21">
        <f t="shared" si="574"/>
        <v>0</v>
      </c>
      <c r="PN310" s="21">
        <f t="shared" si="574"/>
        <v>0</v>
      </c>
      <c r="PO310" s="21">
        <f t="shared" si="574"/>
        <v>0</v>
      </c>
      <c r="PP310" s="21">
        <f t="shared" si="574"/>
        <v>0</v>
      </c>
      <c r="PQ310" s="21">
        <f t="shared" si="574"/>
        <v>0</v>
      </c>
      <c r="PR310" s="21">
        <f t="shared" ref="PR310:PY310" si="575">IF($F$290, 0, IF($I$294, IF(AND(COLUMN($PR$310)-COLUMN($NV$303)=$Q$291,ROW($PR$310)-ROW($NV$303)=$K$291), U$290, PR310), PR310))</f>
        <v>0</v>
      </c>
      <c r="PS310" s="21">
        <f t="shared" si="575"/>
        <v>0</v>
      </c>
      <c r="PT310" s="21">
        <f t="shared" si="575"/>
        <v>0</v>
      </c>
      <c r="PU310" s="21">
        <f t="shared" si="575"/>
        <v>0</v>
      </c>
      <c r="PV310" s="21">
        <f t="shared" si="575"/>
        <v>0</v>
      </c>
      <c r="PW310" s="21">
        <f t="shared" si="575"/>
        <v>0</v>
      </c>
      <c r="PX310" s="21">
        <f t="shared" si="575"/>
        <v>0</v>
      </c>
      <c r="PY310" s="21">
        <f t="shared" si="575"/>
        <v>0</v>
      </c>
      <c r="PZ310" s="21">
        <f t="shared" ref="PZ310:QG310" si="576">IF($F$290, 0, IF($I$294, IF(AND(COLUMN($PZ$310)-COLUMN($NV$303)=$Q$291,ROW($PZ$310)-ROW($NV$303)=$K$291), U$290, PZ310), PZ310))</f>
        <v>0</v>
      </c>
      <c r="QA310" s="21">
        <f t="shared" si="576"/>
        <v>0</v>
      </c>
      <c r="QB310" s="21">
        <f t="shared" si="576"/>
        <v>0</v>
      </c>
      <c r="QC310" s="21">
        <f t="shared" si="576"/>
        <v>0</v>
      </c>
      <c r="QD310" s="21">
        <f t="shared" si="576"/>
        <v>0</v>
      </c>
      <c r="QE310" s="21">
        <f t="shared" si="576"/>
        <v>0</v>
      </c>
      <c r="QF310" s="21">
        <f t="shared" si="576"/>
        <v>0</v>
      </c>
      <c r="QG310" s="21">
        <f t="shared" si="576"/>
        <v>0</v>
      </c>
      <c r="QH310" s="21">
        <f t="shared" ref="QH310:QO310" si="577">IF($F$290, 0, IF($J$294, IF(AND(COLUMN($QH$310)-COLUMN($QH$303)=$Q$291,ROW($QH$310)-ROW($QH$303)=$K$291), U$290, QH310), QH310))</f>
        <v>0</v>
      </c>
      <c r="QI310" s="21">
        <f t="shared" si="577"/>
        <v>0</v>
      </c>
      <c r="QJ310" s="21">
        <f t="shared" si="577"/>
        <v>0</v>
      </c>
      <c r="QK310" s="21">
        <f t="shared" si="577"/>
        <v>0</v>
      </c>
      <c r="QL310" s="21">
        <f t="shared" si="577"/>
        <v>0</v>
      </c>
      <c r="QM310" s="21">
        <f t="shared" si="577"/>
        <v>0</v>
      </c>
      <c r="QN310" s="21">
        <f t="shared" si="577"/>
        <v>0</v>
      </c>
      <c r="QO310" s="21">
        <f t="shared" si="577"/>
        <v>0</v>
      </c>
      <c r="QP310" s="21">
        <f t="shared" ref="QP310:QW310" si="578">IF($F$290, 0, IF($J$294, IF(AND(COLUMN($QP$310)-COLUMN($QH$303)=$Q$291,ROW($QP$310)-ROW($QH$303)=$K$291), U$290, QP310), QP310))</f>
        <v>0</v>
      </c>
      <c r="QQ310" s="21">
        <f t="shared" si="578"/>
        <v>0</v>
      </c>
      <c r="QR310" s="21">
        <f t="shared" si="578"/>
        <v>0</v>
      </c>
      <c r="QS310" s="21">
        <f t="shared" si="578"/>
        <v>0</v>
      </c>
      <c r="QT310" s="21">
        <f t="shared" si="578"/>
        <v>0</v>
      </c>
      <c r="QU310" s="21">
        <f t="shared" si="578"/>
        <v>0</v>
      </c>
      <c r="QV310" s="21">
        <f t="shared" si="578"/>
        <v>0</v>
      </c>
      <c r="QW310" s="21">
        <f t="shared" si="578"/>
        <v>0</v>
      </c>
      <c r="QX310" s="21">
        <f t="shared" ref="QX310:RE310" si="579">IF($F$290, 0, IF($J$294, IF(AND(COLUMN($QX$310)-COLUMN($QH$303)=$Q$291,ROW($QX$310)-ROW($QH$303)=$K$291), U$290, QX310), QX310))</f>
        <v>0</v>
      </c>
      <c r="QY310" s="21">
        <f t="shared" si="579"/>
        <v>0</v>
      </c>
      <c r="QZ310" s="21">
        <f t="shared" si="579"/>
        <v>0</v>
      </c>
      <c r="RA310" s="21">
        <f t="shared" si="579"/>
        <v>0</v>
      </c>
      <c r="RB310" s="21">
        <f t="shared" si="579"/>
        <v>0</v>
      </c>
      <c r="RC310" s="21">
        <f t="shared" si="579"/>
        <v>0</v>
      </c>
      <c r="RD310" s="21">
        <f t="shared" si="579"/>
        <v>0</v>
      </c>
      <c r="RE310" s="21">
        <f t="shared" si="579"/>
        <v>0</v>
      </c>
      <c r="RF310" s="21">
        <f t="shared" ref="RF310:RM310" si="580">IF($F$290, 0, IF($J$294, IF(AND(COLUMN($RF$310)-COLUMN($QH$303)=$Q$291,ROW($RF$310)-ROW($QH$303)=$K$291), U$290, RF310), RF310))</f>
        <v>0</v>
      </c>
      <c r="RG310" s="21">
        <f t="shared" si="580"/>
        <v>0</v>
      </c>
      <c r="RH310" s="21">
        <f t="shared" si="580"/>
        <v>0</v>
      </c>
      <c r="RI310" s="21">
        <f t="shared" si="580"/>
        <v>0</v>
      </c>
      <c r="RJ310" s="21">
        <f t="shared" si="580"/>
        <v>0</v>
      </c>
      <c r="RK310" s="21">
        <f t="shared" si="580"/>
        <v>0</v>
      </c>
      <c r="RL310" s="21">
        <f t="shared" si="580"/>
        <v>0</v>
      </c>
      <c r="RM310" s="21">
        <f t="shared" si="580"/>
        <v>0</v>
      </c>
      <c r="RN310" s="21">
        <f t="shared" ref="RN310:RU310" si="581">IF($F$290, 0, IF($J$294, IF(AND(COLUMN($RN$310)-COLUMN($QH$303)=$Q$291,ROW($RN$310)-ROW($QH$303)=$K$291), U$290, RN310), RN310))</f>
        <v>0</v>
      </c>
      <c r="RO310" s="21">
        <f t="shared" si="581"/>
        <v>0</v>
      </c>
      <c r="RP310" s="21">
        <f t="shared" si="581"/>
        <v>0</v>
      </c>
      <c r="RQ310" s="21">
        <f t="shared" si="581"/>
        <v>0</v>
      </c>
      <c r="RR310" s="21">
        <f t="shared" si="581"/>
        <v>0</v>
      </c>
      <c r="RS310" s="21">
        <f t="shared" si="581"/>
        <v>0</v>
      </c>
      <c r="RT310" s="21">
        <f t="shared" si="581"/>
        <v>0</v>
      </c>
      <c r="RU310" s="21">
        <f t="shared" si="581"/>
        <v>0</v>
      </c>
      <c r="RV310" s="21">
        <f t="shared" ref="RV310:SC310" si="582">IF($F$290, 0, IF($J$294, IF(AND(COLUMN($RV$310)-COLUMN($QH$303)=$Q$291,ROW($RV$310)-ROW($QH$303)=$K$291), U$290, RV310), RV310))</f>
        <v>0</v>
      </c>
      <c r="RW310" s="21">
        <f t="shared" si="582"/>
        <v>0</v>
      </c>
      <c r="RX310" s="21">
        <f t="shared" si="582"/>
        <v>0</v>
      </c>
      <c r="RY310" s="21">
        <f t="shared" si="582"/>
        <v>0</v>
      </c>
      <c r="RZ310" s="21">
        <f t="shared" si="582"/>
        <v>0</v>
      </c>
      <c r="SA310" s="21">
        <f t="shared" si="582"/>
        <v>0</v>
      </c>
      <c r="SB310" s="21">
        <f t="shared" si="582"/>
        <v>0</v>
      </c>
      <c r="SC310" s="21">
        <f t="shared" si="582"/>
        <v>0</v>
      </c>
      <c r="SD310" s="21">
        <f t="shared" ref="SD310:SK310" si="583">IF($F$290, 0, IF($J$294, IF(AND(COLUMN($SD$310)-COLUMN($QH$303)=$Q$291,ROW($SD$310)-ROW($QH$303)=$K$291), U$290, SD310), SD310))</f>
        <v>0</v>
      </c>
      <c r="SE310" s="21">
        <f t="shared" si="583"/>
        <v>0</v>
      </c>
      <c r="SF310" s="21">
        <f t="shared" si="583"/>
        <v>0</v>
      </c>
      <c r="SG310" s="21">
        <f t="shared" si="583"/>
        <v>0</v>
      </c>
      <c r="SH310" s="21">
        <f t="shared" si="583"/>
        <v>0</v>
      </c>
      <c r="SI310" s="21">
        <f t="shared" si="583"/>
        <v>0</v>
      </c>
      <c r="SJ310" s="21">
        <f t="shared" si="583"/>
        <v>0</v>
      </c>
      <c r="SK310" s="21">
        <f t="shared" si="583"/>
        <v>0</v>
      </c>
      <c r="SL310" s="21">
        <f t="shared" ref="SL310:SS310" si="584">IF($F$290, 0, IF($J$294, IF(AND(COLUMN($SL$310)-COLUMN($QH$303)=$Q$291,ROW($SL$310)-ROW($QH$303)=$K$291), U$290, SL310), SL310))</f>
        <v>0</v>
      </c>
      <c r="SM310" s="21">
        <f t="shared" si="584"/>
        <v>0</v>
      </c>
      <c r="SN310" s="21">
        <f t="shared" si="584"/>
        <v>0</v>
      </c>
      <c r="SO310" s="21">
        <f t="shared" si="584"/>
        <v>0</v>
      </c>
      <c r="SP310" s="21">
        <f t="shared" si="584"/>
        <v>0</v>
      </c>
      <c r="SQ310" s="21">
        <f t="shared" si="584"/>
        <v>0</v>
      </c>
      <c r="SR310" s="21">
        <f t="shared" si="584"/>
        <v>0</v>
      </c>
      <c r="SS310" s="21">
        <f t="shared" si="584"/>
        <v>0</v>
      </c>
    </row>
    <row r="311" spans="2:513" ht="15" customHeight="1" x14ac:dyDescent="0.25">
      <c r="B311" s="21">
        <f t="shared" ref="B311:I311" si="585">IF($F$290, 0, IF($C$295, IF(AND(COLUMN($B$311)-COLUMN($B$311)=$Q$291,ROW($B$311)-ROW($B$311)=$K$291), U$290, B311), B311))</f>
        <v>0</v>
      </c>
      <c r="C311" s="21">
        <f t="shared" si="585"/>
        <v>0</v>
      </c>
      <c r="D311" s="21">
        <f t="shared" si="585"/>
        <v>0</v>
      </c>
      <c r="E311" s="21">
        <f t="shared" si="585"/>
        <v>0</v>
      </c>
      <c r="F311" s="21">
        <f t="shared" si="585"/>
        <v>0</v>
      </c>
      <c r="G311" s="21">
        <f t="shared" si="585"/>
        <v>0</v>
      </c>
      <c r="H311" s="21">
        <f t="shared" si="585"/>
        <v>0</v>
      </c>
      <c r="I311" s="21">
        <f t="shared" si="585"/>
        <v>0</v>
      </c>
      <c r="J311" s="21">
        <f t="shared" ref="J311:Q311" si="586">IF($F$290, 0, IF($C$295, IF(AND(COLUMN($J$311)-COLUMN($B$311)=$Q$291,ROW($J$311)-ROW($B$311)=$K$291), U$290, J311), J311))</f>
        <v>0</v>
      </c>
      <c r="K311" s="21">
        <f t="shared" si="586"/>
        <v>0</v>
      </c>
      <c r="L311" s="21">
        <f t="shared" si="586"/>
        <v>0</v>
      </c>
      <c r="M311" s="21">
        <f t="shared" si="586"/>
        <v>0</v>
      </c>
      <c r="N311" s="21">
        <f t="shared" si="586"/>
        <v>0</v>
      </c>
      <c r="O311" s="21">
        <f t="shared" si="586"/>
        <v>0</v>
      </c>
      <c r="P311" s="21">
        <f t="shared" si="586"/>
        <v>0</v>
      </c>
      <c r="Q311" s="21">
        <f t="shared" si="586"/>
        <v>0</v>
      </c>
      <c r="R311" s="21">
        <f>IF($F$290, 0, IF($C$295, IF(AND(COLUMN($R$311)-COLUMN($B$311)=$Q$291,ROW($R$311)-ROW($B$311)=$K$291), U$290, R311), R311))</f>
        <v>0</v>
      </c>
      <c r="S311" s="21">
        <f t="shared" ref="S311:Y311" si="587">IF($F$290, 0, IF($C$295, IF(AND(COLUMN($R$311)-COLUMN($B$311)=$Q$291,ROW($R$311)-ROW($B$311)=$K$291), V$290, S311), S311))</f>
        <v>0</v>
      </c>
      <c r="T311" s="21">
        <f t="shared" si="587"/>
        <v>0</v>
      </c>
      <c r="U311" s="21">
        <f t="shared" si="587"/>
        <v>0</v>
      </c>
      <c r="V311" s="21">
        <f t="shared" si="587"/>
        <v>0</v>
      </c>
      <c r="W311" s="21">
        <f t="shared" si="587"/>
        <v>0</v>
      </c>
      <c r="X311" s="21">
        <f t="shared" si="587"/>
        <v>0</v>
      </c>
      <c r="Y311" s="21">
        <f t="shared" si="587"/>
        <v>0</v>
      </c>
      <c r="Z311" s="21">
        <f t="shared" ref="Z311:AG311" si="588">IF($F$290, 0, IF($C$295, IF(AND(COLUMN($Z$311)-COLUMN($B$311)=$Q$291,ROW($Z$311)-ROW($B$311)=$K$291), U$290, Z311), Z311))</f>
        <v>0</v>
      </c>
      <c r="AA311" s="21">
        <f t="shared" si="588"/>
        <v>0</v>
      </c>
      <c r="AB311" s="21">
        <f t="shared" si="588"/>
        <v>0</v>
      </c>
      <c r="AC311" s="21">
        <f t="shared" si="588"/>
        <v>0</v>
      </c>
      <c r="AD311" s="21">
        <f t="shared" si="588"/>
        <v>0</v>
      </c>
      <c r="AE311" s="21">
        <f t="shared" si="588"/>
        <v>0</v>
      </c>
      <c r="AF311" s="21">
        <f t="shared" si="588"/>
        <v>0</v>
      </c>
      <c r="AG311" s="21">
        <f t="shared" si="588"/>
        <v>0</v>
      </c>
      <c r="AH311" s="21">
        <f t="shared" ref="AH311:AO311" si="589">IF($F$290, 0, IF($C$295, IF(AND(COLUMN($AH$311)-COLUMN($B$311)=$Q$291,ROW($AH$311)-ROW($B$311)=$K$291), U$290, AH311), AH311))</f>
        <v>0</v>
      </c>
      <c r="AI311" s="21">
        <f t="shared" si="589"/>
        <v>0</v>
      </c>
      <c r="AJ311" s="21">
        <f t="shared" si="589"/>
        <v>0</v>
      </c>
      <c r="AK311" s="21">
        <f t="shared" si="589"/>
        <v>0</v>
      </c>
      <c r="AL311" s="21">
        <f t="shared" si="589"/>
        <v>0</v>
      </c>
      <c r="AM311" s="21">
        <f t="shared" si="589"/>
        <v>0</v>
      </c>
      <c r="AN311" s="21">
        <f t="shared" si="589"/>
        <v>0</v>
      </c>
      <c r="AO311" s="21">
        <f t="shared" si="589"/>
        <v>0</v>
      </c>
      <c r="AP311" s="21">
        <f t="shared" ref="AP311:AW311" si="590">IF($F$290, 0, IF($C$295, IF(AND(COLUMN($AP$311)-COLUMN($B$311)=$Q$291,ROW($AP$311)-ROW($B$311)=$K$291), U$290, AP311), AP311))</f>
        <v>0</v>
      </c>
      <c r="AQ311" s="21">
        <f t="shared" si="590"/>
        <v>0</v>
      </c>
      <c r="AR311" s="21">
        <f t="shared" si="590"/>
        <v>0</v>
      </c>
      <c r="AS311" s="21">
        <f t="shared" si="590"/>
        <v>0</v>
      </c>
      <c r="AT311" s="21">
        <f t="shared" si="590"/>
        <v>0</v>
      </c>
      <c r="AU311" s="21">
        <f t="shared" si="590"/>
        <v>0</v>
      </c>
      <c r="AV311" s="21">
        <f t="shared" si="590"/>
        <v>0</v>
      </c>
      <c r="AW311" s="21">
        <f t="shared" si="590"/>
        <v>0</v>
      </c>
      <c r="AX311" s="21">
        <f t="shared" ref="AX311:BE311" si="591">IF($F$290, 0, IF($C$295, IF(AND(COLUMN($AX$311)-COLUMN($B$311)=$Q$291,ROW($AX$311)-ROW($B$311)=$K$291), U$290, AX311), AX311))</f>
        <v>0</v>
      </c>
      <c r="AY311" s="21">
        <f t="shared" si="591"/>
        <v>0</v>
      </c>
      <c r="AZ311" s="21">
        <f t="shared" si="591"/>
        <v>0</v>
      </c>
      <c r="BA311" s="21">
        <f t="shared" si="591"/>
        <v>0</v>
      </c>
      <c r="BB311" s="21">
        <f t="shared" si="591"/>
        <v>0</v>
      </c>
      <c r="BC311" s="21">
        <f t="shared" si="591"/>
        <v>0</v>
      </c>
      <c r="BD311" s="21">
        <f t="shared" si="591"/>
        <v>0</v>
      </c>
      <c r="BE311" s="21">
        <f t="shared" si="591"/>
        <v>0</v>
      </c>
      <c r="BF311" s="21">
        <f t="shared" ref="BF311:BM311" si="592">IF($F$290, 0, IF($C$295, IF(AND(COLUMN($BF$311)-COLUMN($B$311)=$Q$291,ROW($BF$311)-ROW($B$311)=$K$291), U$290, BF311), BF311))</f>
        <v>0</v>
      </c>
      <c r="BG311" s="21">
        <f t="shared" si="592"/>
        <v>0</v>
      </c>
      <c r="BH311" s="21">
        <f t="shared" si="592"/>
        <v>0</v>
      </c>
      <c r="BI311" s="21">
        <f t="shared" si="592"/>
        <v>0</v>
      </c>
      <c r="BJ311" s="21">
        <f t="shared" si="592"/>
        <v>0</v>
      </c>
      <c r="BK311" s="21">
        <f t="shared" si="592"/>
        <v>0</v>
      </c>
      <c r="BL311" s="21">
        <f t="shared" si="592"/>
        <v>0</v>
      </c>
      <c r="BM311" s="21">
        <f t="shared" si="592"/>
        <v>0</v>
      </c>
      <c r="BN311" s="21">
        <f t="shared" ref="BN311:BU311" si="593">IF($F$290, 0, IF($D$295, IF(AND(COLUMN($BN$311)-COLUMN($BN$311)=$Q$291,ROW($BN$311)-ROW($BN$311)=$K$291), U$290, BN311), BN311))</f>
        <v>0</v>
      </c>
      <c r="BO311" s="21">
        <f t="shared" si="593"/>
        <v>0</v>
      </c>
      <c r="BP311" s="21">
        <f t="shared" si="593"/>
        <v>0</v>
      </c>
      <c r="BQ311" s="21">
        <f t="shared" si="593"/>
        <v>0</v>
      </c>
      <c r="BR311" s="21">
        <f t="shared" si="593"/>
        <v>0</v>
      </c>
      <c r="BS311" s="21">
        <f t="shared" si="593"/>
        <v>0</v>
      </c>
      <c r="BT311" s="21">
        <f t="shared" si="593"/>
        <v>0</v>
      </c>
      <c r="BU311" s="21">
        <f t="shared" si="593"/>
        <v>0</v>
      </c>
      <c r="BV311" s="21">
        <f t="shared" ref="BV311:CC311" si="594">IF($F$290, 0, IF($D$295, IF(AND(COLUMN($BV$311)-COLUMN($BN$311)=$Q$291,ROW($BV$311)-ROW($BN$311)=$K$291), U$290, BV311), BV311))</f>
        <v>0</v>
      </c>
      <c r="BW311" s="21">
        <f t="shared" si="594"/>
        <v>0</v>
      </c>
      <c r="BX311" s="21">
        <f t="shared" si="594"/>
        <v>0</v>
      </c>
      <c r="BY311" s="21">
        <f t="shared" si="594"/>
        <v>0</v>
      </c>
      <c r="BZ311" s="21">
        <f t="shared" si="594"/>
        <v>0</v>
      </c>
      <c r="CA311" s="21">
        <f t="shared" si="594"/>
        <v>0</v>
      </c>
      <c r="CB311" s="21">
        <f t="shared" si="594"/>
        <v>0</v>
      </c>
      <c r="CC311" s="21">
        <f t="shared" si="594"/>
        <v>0</v>
      </c>
      <c r="CD311" s="21">
        <f t="shared" ref="CD311:CK311" si="595">IF($F$290, 0, IF($D$295, IF(AND(COLUMN($CD$311)-COLUMN($BN$311)=$Q$291,ROW($CD$311)-ROW($BN$311)=$K$291), U$290, CD311), CD311))</f>
        <v>0</v>
      </c>
      <c r="CE311" s="21">
        <f t="shared" si="595"/>
        <v>0</v>
      </c>
      <c r="CF311" s="21">
        <f t="shared" si="595"/>
        <v>0</v>
      </c>
      <c r="CG311" s="21">
        <f t="shared" si="595"/>
        <v>0</v>
      </c>
      <c r="CH311" s="21">
        <f t="shared" si="595"/>
        <v>0</v>
      </c>
      <c r="CI311" s="21">
        <f t="shared" si="595"/>
        <v>0</v>
      </c>
      <c r="CJ311" s="21">
        <f t="shared" si="595"/>
        <v>0</v>
      </c>
      <c r="CK311" s="21">
        <f t="shared" si="595"/>
        <v>0</v>
      </c>
      <c r="CL311" s="21">
        <f t="shared" ref="CL311:CS311" si="596">IF($F$290, 0, IF($D$295, IF(AND(COLUMN($CL$311)-COLUMN($BN$311)=$Q$291,ROW($CL$311)-ROW($BN$311)=$K$291), U$290, CL311), CL311))</f>
        <v>0</v>
      </c>
      <c r="CM311" s="21">
        <f t="shared" si="596"/>
        <v>0</v>
      </c>
      <c r="CN311" s="21">
        <f t="shared" si="596"/>
        <v>0</v>
      </c>
      <c r="CO311" s="21">
        <f t="shared" si="596"/>
        <v>0</v>
      </c>
      <c r="CP311" s="21">
        <f t="shared" si="596"/>
        <v>0</v>
      </c>
      <c r="CQ311" s="21">
        <f t="shared" si="596"/>
        <v>0</v>
      </c>
      <c r="CR311" s="21">
        <f t="shared" si="596"/>
        <v>0</v>
      </c>
      <c r="CS311" s="21">
        <f t="shared" si="596"/>
        <v>0</v>
      </c>
      <c r="CT311" s="21">
        <f t="shared" ref="CT311:DA311" si="597">IF($F$290, 0, IF($D$295, IF(AND(COLUMN($CT$311)-COLUMN($BN$311)=$Q$291,ROW($CT$311)-ROW($BN$311)=$K$291), U$290, CT311), CT311))</f>
        <v>0</v>
      </c>
      <c r="CU311" s="21">
        <f t="shared" si="597"/>
        <v>0</v>
      </c>
      <c r="CV311" s="21">
        <f t="shared" si="597"/>
        <v>0</v>
      </c>
      <c r="CW311" s="21">
        <f t="shared" si="597"/>
        <v>0</v>
      </c>
      <c r="CX311" s="21">
        <f t="shared" si="597"/>
        <v>0</v>
      </c>
      <c r="CY311" s="21">
        <f t="shared" si="597"/>
        <v>0</v>
      </c>
      <c r="CZ311" s="21">
        <f t="shared" si="597"/>
        <v>0</v>
      </c>
      <c r="DA311" s="21">
        <f t="shared" si="597"/>
        <v>0</v>
      </c>
      <c r="DB311" s="21">
        <f t="shared" ref="DB311:DI311" si="598">IF($F$290, 0, IF($D$295, IF(AND(COLUMN($DB$311)-COLUMN($BN$311)=$Q$291,ROW($DB$311)-ROW($BN$311)=$K$291), U$290, DB311), DB311))</f>
        <v>0</v>
      </c>
      <c r="DC311" s="21">
        <f t="shared" si="598"/>
        <v>0</v>
      </c>
      <c r="DD311" s="21">
        <f t="shared" si="598"/>
        <v>0</v>
      </c>
      <c r="DE311" s="21">
        <f t="shared" si="598"/>
        <v>0</v>
      </c>
      <c r="DF311" s="21">
        <f t="shared" si="598"/>
        <v>0</v>
      </c>
      <c r="DG311" s="21">
        <f t="shared" si="598"/>
        <v>0</v>
      </c>
      <c r="DH311" s="21">
        <f t="shared" si="598"/>
        <v>0</v>
      </c>
      <c r="DI311" s="21">
        <f t="shared" si="598"/>
        <v>0</v>
      </c>
      <c r="DJ311" s="21">
        <f t="shared" ref="DJ311:DQ311" si="599">IF($F$290, 0, IF($D$295, IF(AND(COLUMN($DJ$311)-COLUMN($BN$311)=$Q$291,ROW($DJ$311)-ROW($BN$311)=$K$291), U$290, DJ311), DJ311))</f>
        <v>0</v>
      </c>
      <c r="DK311" s="21">
        <f t="shared" si="599"/>
        <v>0</v>
      </c>
      <c r="DL311" s="21">
        <f t="shared" si="599"/>
        <v>0</v>
      </c>
      <c r="DM311" s="21">
        <f t="shared" si="599"/>
        <v>0</v>
      </c>
      <c r="DN311" s="21">
        <f t="shared" si="599"/>
        <v>0</v>
      </c>
      <c r="DO311" s="21">
        <f t="shared" si="599"/>
        <v>0</v>
      </c>
      <c r="DP311" s="21">
        <f t="shared" si="599"/>
        <v>0</v>
      </c>
      <c r="DQ311" s="21">
        <f t="shared" si="599"/>
        <v>0</v>
      </c>
      <c r="DR311" s="21">
        <f t="shared" ref="DR311:DY311" si="600">IF($F$290, 0, IF($D$295, IF(AND(COLUMN($DR$311)-COLUMN($BN$311)=$Q$291,ROW($DR$311)-ROW($BN$311)=$K$291), U$290, DR311), DR311))</f>
        <v>0</v>
      </c>
      <c r="DS311" s="21">
        <f t="shared" si="600"/>
        <v>0</v>
      </c>
      <c r="DT311" s="21">
        <f t="shared" si="600"/>
        <v>0</v>
      </c>
      <c r="DU311" s="21">
        <f t="shared" si="600"/>
        <v>0</v>
      </c>
      <c r="DV311" s="21">
        <f t="shared" si="600"/>
        <v>0</v>
      </c>
      <c r="DW311" s="21">
        <f t="shared" si="600"/>
        <v>0</v>
      </c>
      <c r="DX311" s="21">
        <f t="shared" si="600"/>
        <v>0</v>
      </c>
      <c r="DY311" s="21">
        <f t="shared" si="600"/>
        <v>0</v>
      </c>
      <c r="DZ311" s="21">
        <f t="shared" ref="DZ311:EG311" si="601">IF($F$290, 0, IF($E$295, IF(AND(COLUMN($DZ$311)-COLUMN($DZ$311)=$Q$291,ROW($DZ$311)-ROW($DZ$311)=$K$291), U$290, DZ311), DZ311))</f>
        <v>0</v>
      </c>
      <c r="EA311" s="21">
        <f t="shared" si="601"/>
        <v>0</v>
      </c>
      <c r="EB311" s="21">
        <f t="shared" si="601"/>
        <v>0</v>
      </c>
      <c r="EC311" s="21">
        <f t="shared" si="601"/>
        <v>0</v>
      </c>
      <c r="ED311" s="21">
        <f t="shared" si="601"/>
        <v>0</v>
      </c>
      <c r="EE311" s="21">
        <f t="shared" si="601"/>
        <v>0</v>
      </c>
      <c r="EF311" s="21">
        <f t="shared" si="601"/>
        <v>0</v>
      </c>
      <c r="EG311" s="21">
        <f t="shared" si="601"/>
        <v>0</v>
      </c>
      <c r="EH311" s="21">
        <f t="shared" ref="EH311:EO311" si="602">IF($F$290, 0, IF($E$295, IF(AND(COLUMN($EH$311)-COLUMN($DZ$311)=$Q$291,ROW($EH$311)-ROW($DZ$311)=$K$291), U$290, EH311), EH311))</f>
        <v>0</v>
      </c>
      <c r="EI311" s="21">
        <f t="shared" si="602"/>
        <v>0</v>
      </c>
      <c r="EJ311" s="21">
        <f t="shared" si="602"/>
        <v>0</v>
      </c>
      <c r="EK311" s="21">
        <f t="shared" si="602"/>
        <v>0</v>
      </c>
      <c r="EL311" s="21">
        <f t="shared" si="602"/>
        <v>0</v>
      </c>
      <c r="EM311" s="21">
        <f t="shared" si="602"/>
        <v>0</v>
      </c>
      <c r="EN311" s="21">
        <f t="shared" si="602"/>
        <v>0</v>
      </c>
      <c r="EO311" s="21">
        <f t="shared" si="602"/>
        <v>0</v>
      </c>
      <c r="EP311" s="21">
        <f t="shared" ref="EP311:EW311" si="603">IF($F$290, 0, IF($E$295, IF(AND(COLUMN($EP$311)-COLUMN($DZ$311)=$Q$291,ROW($EP$311)-ROW($DZ$311)=$K$291), U$290, EP311), EP311))</f>
        <v>0</v>
      </c>
      <c r="EQ311" s="21">
        <f t="shared" si="603"/>
        <v>0</v>
      </c>
      <c r="ER311" s="21">
        <f t="shared" si="603"/>
        <v>0</v>
      </c>
      <c r="ES311" s="21">
        <f t="shared" si="603"/>
        <v>0</v>
      </c>
      <c r="ET311" s="21">
        <f t="shared" si="603"/>
        <v>0</v>
      </c>
      <c r="EU311" s="21">
        <f t="shared" si="603"/>
        <v>0</v>
      </c>
      <c r="EV311" s="21">
        <f t="shared" si="603"/>
        <v>0</v>
      </c>
      <c r="EW311" s="21">
        <f t="shared" si="603"/>
        <v>0</v>
      </c>
      <c r="EX311" s="21">
        <f t="shared" ref="EX311:FE311" si="604">IF($F$290, 0, IF($E$295, IF(AND(COLUMN($EX$311)-COLUMN($DZ$311)=$Q$291,ROW($EX$311)-ROW($DZ$311)=$K$291), U$290, EX311), EX311))</f>
        <v>0</v>
      </c>
      <c r="EY311" s="21">
        <f t="shared" si="604"/>
        <v>0</v>
      </c>
      <c r="EZ311" s="21">
        <f t="shared" si="604"/>
        <v>0</v>
      </c>
      <c r="FA311" s="21">
        <f t="shared" si="604"/>
        <v>0</v>
      </c>
      <c r="FB311" s="21">
        <f t="shared" si="604"/>
        <v>0</v>
      </c>
      <c r="FC311" s="21">
        <f t="shared" si="604"/>
        <v>0</v>
      </c>
      <c r="FD311" s="21">
        <f t="shared" si="604"/>
        <v>0</v>
      </c>
      <c r="FE311" s="21">
        <f t="shared" si="604"/>
        <v>0</v>
      </c>
      <c r="FF311" s="21">
        <f t="shared" ref="FF311:FM311" si="605">IF($F$290, 0, IF($E$295, IF(AND(COLUMN($FF$311)-COLUMN($DZ$311)=$Q$291,ROW($FF$311)-ROW($DZ$311)=$K$291), U$290, FF311), FF311))</f>
        <v>0</v>
      </c>
      <c r="FG311" s="21">
        <f t="shared" si="605"/>
        <v>0</v>
      </c>
      <c r="FH311" s="21">
        <f t="shared" si="605"/>
        <v>0</v>
      </c>
      <c r="FI311" s="21">
        <f t="shared" si="605"/>
        <v>0</v>
      </c>
      <c r="FJ311" s="21">
        <f t="shared" si="605"/>
        <v>0</v>
      </c>
      <c r="FK311" s="21">
        <f t="shared" si="605"/>
        <v>0</v>
      </c>
      <c r="FL311" s="21">
        <f t="shared" si="605"/>
        <v>0</v>
      </c>
      <c r="FM311" s="21">
        <f t="shared" si="605"/>
        <v>0</v>
      </c>
      <c r="FN311" s="21">
        <f t="shared" ref="FN311:FU311" si="606">IF($F$290, 0, IF($E$295, IF(AND(COLUMN($FN$311)-COLUMN($DZ$311)=$Q$291,ROW($FN$311)-ROW($DZ$311)=$K$291), U$290, FN311), FN311))</f>
        <v>0</v>
      </c>
      <c r="FO311" s="21">
        <f t="shared" si="606"/>
        <v>0</v>
      </c>
      <c r="FP311" s="21">
        <f t="shared" si="606"/>
        <v>0</v>
      </c>
      <c r="FQ311" s="21">
        <f t="shared" si="606"/>
        <v>0</v>
      </c>
      <c r="FR311" s="21">
        <f t="shared" si="606"/>
        <v>0</v>
      </c>
      <c r="FS311" s="21">
        <f t="shared" si="606"/>
        <v>0</v>
      </c>
      <c r="FT311" s="21">
        <f t="shared" si="606"/>
        <v>0</v>
      </c>
      <c r="FU311" s="21">
        <f t="shared" si="606"/>
        <v>0</v>
      </c>
      <c r="FV311" s="21">
        <f t="shared" ref="FV311:GC311" si="607">IF($F$290, 0, IF($E$295, IF(AND(COLUMN($FV$311)-COLUMN($DZ$311)=$Q$291,ROW($FV$311)-ROW($DZ$311)=$K$291), U$290, FV311), FV311))</f>
        <v>0</v>
      </c>
      <c r="FW311" s="21">
        <f t="shared" si="607"/>
        <v>0</v>
      </c>
      <c r="FX311" s="21">
        <f t="shared" si="607"/>
        <v>0</v>
      </c>
      <c r="FY311" s="21">
        <f t="shared" si="607"/>
        <v>0</v>
      </c>
      <c r="FZ311" s="21">
        <f t="shared" si="607"/>
        <v>0</v>
      </c>
      <c r="GA311" s="21">
        <f t="shared" si="607"/>
        <v>0</v>
      </c>
      <c r="GB311" s="21">
        <f t="shared" si="607"/>
        <v>0</v>
      </c>
      <c r="GC311" s="21">
        <f t="shared" si="607"/>
        <v>0</v>
      </c>
      <c r="GD311" s="21">
        <f t="shared" ref="GD311:GK311" si="608">IF($F$290, 0, IF($E$295, IF(AND(COLUMN($GD$311)-COLUMN($DZ$311)=$Q$291,ROW($GD$311)-ROW($DZ$311)=$K$291), U$290, GD311), GD311))</f>
        <v>0</v>
      </c>
      <c r="GE311" s="21">
        <f t="shared" si="608"/>
        <v>0</v>
      </c>
      <c r="GF311" s="21">
        <f t="shared" si="608"/>
        <v>0</v>
      </c>
      <c r="GG311" s="21">
        <f t="shared" si="608"/>
        <v>0</v>
      </c>
      <c r="GH311" s="21">
        <f t="shared" si="608"/>
        <v>0</v>
      </c>
      <c r="GI311" s="21">
        <f t="shared" si="608"/>
        <v>0</v>
      </c>
      <c r="GJ311" s="21">
        <f t="shared" si="608"/>
        <v>0</v>
      </c>
      <c r="GK311" s="21">
        <f t="shared" si="608"/>
        <v>0</v>
      </c>
      <c r="GL311" s="21">
        <f t="shared" ref="GL311:GS311" si="609">IF($F$290, 0, IF($F$295, IF(AND(COLUMN($GL$311)-COLUMN($GL$311)=$Q$291,ROW($GL$311)-ROW($GL$311)=$K$291), U$290, GL311), GL311))</f>
        <v>0</v>
      </c>
      <c r="GM311" s="21">
        <f t="shared" si="609"/>
        <v>0</v>
      </c>
      <c r="GN311" s="21">
        <f t="shared" si="609"/>
        <v>0</v>
      </c>
      <c r="GO311" s="21">
        <f t="shared" si="609"/>
        <v>0</v>
      </c>
      <c r="GP311" s="21">
        <f t="shared" si="609"/>
        <v>0</v>
      </c>
      <c r="GQ311" s="21">
        <f t="shared" si="609"/>
        <v>0</v>
      </c>
      <c r="GR311" s="21">
        <f t="shared" si="609"/>
        <v>0</v>
      </c>
      <c r="GS311" s="21">
        <f t="shared" si="609"/>
        <v>0</v>
      </c>
      <c r="GT311" s="21">
        <f t="shared" ref="GT311:HA311" si="610">IF($F$290, 0, IF($F$295, IF(AND(COLUMN($GT$311)-COLUMN($GL$311)=$Q$291,ROW($GT$311)-ROW($GL$311)=$K$291), U$290, GT311), GT311))</f>
        <v>0</v>
      </c>
      <c r="GU311" s="21">
        <f t="shared" si="610"/>
        <v>0</v>
      </c>
      <c r="GV311" s="21">
        <f t="shared" si="610"/>
        <v>0</v>
      </c>
      <c r="GW311" s="21">
        <f t="shared" si="610"/>
        <v>0</v>
      </c>
      <c r="GX311" s="21">
        <f t="shared" si="610"/>
        <v>0</v>
      </c>
      <c r="GY311" s="21">
        <f t="shared" si="610"/>
        <v>0</v>
      </c>
      <c r="GZ311" s="21">
        <f t="shared" si="610"/>
        <v>0</v>
      </c>
      <c r="HA311" s="21">
        <f t="shared" si="610"/>
        <v>0</v>
      </c>
      <c r="HB311" s="21">
        <f t="shared" ref="HB311:HI311" si="611">IF($F$290, 0, IF($F$295, IF(AND(COLUMN($HB$311)-COLUMN($GL$311)=$Q$291,ROW($HB$311)-ROW($GL$311)=$K$291), U$290, HB311), HB311))</f>
        <v>0</v>
      </c>
      <c r="HC311" s="21">
        <f t="shared" si="611"/>
        <v>0</v>
      </c>
      <c r="HD311" s="21">
        <f t="shared" si="611"/>
        <v>0</v>
      </c>
      <c r="HE311" s="21">
        <f t="shared" si="611"/>
        <v>0</v>
      </c>
      <c r="HF311" s="21">
        <f t="shared" si="611"/>
        <v>0</v>
      </c>
      <c r="HG311" s="21">
        <f t="shared" si="611"/>
        <v>0</v>
      </c>
      <c r="HH311" s="21">
        <f t="shared" si="611"/>
        <v>0</v>
      </c>
      <c r="HI311" s="21">
        <f t="shared" si="611"/>
        <v>0</v>
      </c>
      <c r="HJ311" s="21">
        <f t="shared" ref="HJ311:HQ311" si="612">IF($F$290, 0, IF($F$295, IF(AND(COLUMN($HJ$311)-COLUMN($GL$311)=$Q$291,ROW($HJ$311)-ROW($GL$311)=$K$291), U$290, HJ311), HJ311))</f>
        <v>0</v>
      </c>
      <c r="HK311" s="21">
        <f t="shared" si="612"/>
        <v>0</v>
      </c>
      <c r="HL311" s="21">
        <f t="shared" si="612"/>
        <v>0</v>
      </c>
      <c r="HM311" s="21">
        <f t="shared" si="612"/>
        <v>0</v>
      </c>
      <c r="HN311" s="21">
        <f t="shared" si="612"/>
        <v>0</v>
      </c>
      <c r="HO311" s="21">
        <f t="shared" si="612"/>
        <v>0</v>
      </c>
      <c r="HP311" s="21">
        <f t="shared" si="612"/>
        <v>0</v>
      </c>
      <c r="HQ311" s="21">
        <f t="shared" si="612"/>
        <v>0</v>
      </c>
      <c r="HR311" s="21">
        <f t="shared" ref="HR311:HY311" si="613">IF($F$290, 0, IF($F$295, IF(AND(COLUMN($HR$311)-COLUMN($GL$311)=$Q$291,ROW($HR$311)-ROW($GL$311)=$K$291), U$290, HR311), HR311))</f>
        <v>0</v>
      </c>
      <c r="HS311" s="21">
        <f t="shared" si="613"/>
        <v>0</v>
      </c>
      <c r="HT311" s="21">
        <f t="shared" si="613"/>
        <v>0</v>
      </c>
      <c r="HU311" s="21">
        <f t="shared" si="613"/>
        <v>0</v>
      </c>
      <c r="HV311" s="21">
        <f t="shared" si="613"/>
        <v>0</v>
      </c>
      <c r="HW311" s="21">
        <f t="shared" si="613"/>
        <v>0</v>
      </c>
      <c r="HX311" s="21">
        <f t="shared" si="613"/>
        <v>0</v>
      </c>
      <c r="HY311" s="21">
        <f t="shared" si="613"/>
        <v>0</v>
      </c>
      <c r="HZ311" s="21">
        <f t="shared" ref="HZ311:IG311" si="614">IF($F$290, 0, IF($F$295, IF(AND(COLUMN($HZ$311)-COLUMN($GL$311)=$Q$291,ROW($HZ$311)-ROW($GL$311)=$K$291), U$290, HZ311), HZ311))</f>
        <v>0</v>
      </c>
      <c r="IA311" s="21">
        <f t="shared" si="614"/>
        <v>0</v>
      </c>
      <c r="IB311" s="21">
        <f t="shared" si="614"/>
        <v>0</v>
      </c>
      <c r="IC311" s="21">
        <f t="shared" si="614"/>
        <v>0</v>
      </c>
      <c r="ID311" s="21">
        <f t="shared" si="614"/>
        <v>0</v>
      </c>
      <c r="IE311" s="21">
        <f t="shared" si="614"/>
        <v>0</v>
      </c>
      <c r="IF311" s="21">
        <f t="shared" si="614"/>
        <v>0</v>
      </c>
      <c r="IG311" s="21">
        <f t="shared" si="614"/>
        <v>0</v>
      </c>
      <c r="IH311" s="21">
        <f t="shared" ref="IH311:IO311" si="615">IF($F$290, 0, IF($F$295, IF(AND(COLUMN($IH$311)-COLUMN($GL$311)=$Q$291,ROW($IH$311)-ROW($GL$311)=$K$291), U$290, IH311), IH311))</f>
        <v>0</v>
      </c>
      <c r="II311" s="21">
        <f t="shared" si="615"/>
        <v>0</v>
      </c>
      <c r="IJ311" s="21">
        <f t="shared" si="615"/>
        <v>0</v>
      </c>
      <c r="IK311" s="21">
        <f t="shared" si="615"/>
        <v>0</v>
      </c>
      <c r="IL311" s="21">
        <f t="shared" si="615"/>
        <v>0</v>
      </c>
      <c r="IM311" s="21">
        <f t="shared" si="615"/>
        <v>0</v>
      </c>
      <c r="IN311" s="21">
        <f t="shared" si="615"/>
        <v>0</v>
      </c>
      <c r="IO311" s="21">
        <f t="shared" si="615"/>
        <v>0</v>
      </c>
      <c r="IP311" s="21">
        <f t="shared" ref="IP311:IW311" si="616">IF($F$290, 0, IF($F$295, IF(AND(COLUMN($IP$311)-COLUMN($GL$311)=$Q$291,ROW($IP$311)-ROW($GL$311)=$K$291), U$290, IP311), IP311))</f>
        <v>0</v>
      </c>
      <c r="IQ311" s="21">
        <f t="shared" si="616"/>
        <v>0</v>
      </c>
      <c r="IR311" s="21">
        <f t="shared" si="616"/>
        <v>0</v>
      </c>
      <c r="IS311" s="21">
        <f t="shared" si="616"/>
        <v>0</v>
      </c>
      <c r="IT311" s="21">
        <f t="shared" si="616"/>
        <v>0</v>
      </c>
      <c r="IU311" s="21">
        <f t="shared" si="616"/>
        <v>0</v>
      </c>
      <c r="IV311" s="21">
        <f t="shared" si="616"/>
        <v>0</v>
      </c>
      <c r="IW311" s="21">
        <f t="shared" si="616"/>
        <v>0</v>
      </c>
      <c r="IX311" s="21">
        <f t="shared" ref="IX311:JE311" si="617">IF($F$290, 0, IF($G$295, IF(AND(COLUMN($IX$311)-COLUMN($IX$311)=$Q$291,ROW($IX$311)-ROW($IX$311)=$K$291), U$290, IX311), IX311))</f>
        <v>0</v>
      </c>
      <c r="IY311" s="21">
        <f t="shared" si="617"/>
        <v>0</v>
      </c>
      <c r="IZ311" s="21">
        <f t="shared" si="617"/>
        <v>0</v>
      </c>
      <c r="JA311" s="21">
        <f t="shared" si="617"/>
        <v>0</v>
      </c>
      <c r="JB311" s="21">
        <f t="shared" si="617"/>
        <v>0</v>
      </c>
      <c r="JC311" s="21">
        <f t="shared" si="617"/>
        <v>0</v>
      </c>
      <c r="JD311" s="21">
        <f t="shared" si="617"/>
        <v>0</v>
      </c>
      <c r="JE311" s="21">
        <f t="shared" si="617"/>
        <v>0</v>
      </c>
      <c r="JF311" s="21">
        <f t="shared" ref="JF311:JM311" si="618">IF($F$290, 0, IF($G$295, IF(AND(COLUMN($JF$311)-COLUMN($IX$311)=$Q$291,ROW($JF$311)-ROW($IX$311)=$K$291), U$290, JF311), JF311))</f>
        <v>0</v>
      </c>
      <c r="JG311" s="21">
        <f t="shared" si="618"/>
        <v>0</v>
      </c>
      <c r="JH311" s="21">
        <f t="shared" si="618"/>
        <v>0</v>
      </c>
      <c r="JI311" s="21">
        <f t="shared" si="618"/>
        <v>0</v>
      </c>
      <c r="JJ311" s="21">
        <f t="shared" si="618"/>
        <v>0</v>
      </c>
      <c r="JK311" s="21">
        <f t="shared" si="618"/>
        <v>0</v>
      </c>
      <c r="JL311" s="21">
        <f t="shared" si="618"/>
        <v>0</v>
      </c>
      <c r="JM311" s="21">
        <f t="shared" si="618"/>
        <v>0</v>
      </c>
      <c r="JN311" s="21">
        <f t="shared" ref="JN311:JU311" si="619">IF($F$290, 0, IF($G$295, IF(AND(COLUMN($JN$311)-COLUMN($IX$311)=$Q$291,ROW($JN$311)-ROW($IX$311)=$K$291), U$290, JN311), JN311))</f>
        <v>0</v>
      </c>
      <c r="JO311" s="21">
        <f t="shared" si="619"/>
        <v>0</v>
      </c>
      <c r="JP311" s="21">
        <f t="shared" si="619"/>
        <v>0</v>
      </c>
      <c r="JQ311" s="21">
        <f t="shared" si="619"/>
        <v>0</v>
      </c>
      <c r="JR311" s="21">
        <f t="shared" si="619"/>
        <v>0</v>
      </c>
      <c r="JS311" s="21">
        <f t="shared" si="619"/>
        <v>0</v>
      </c>
      <c r="JT311" s="21">
        <f t="shared" si="619"/>
        <v>0</v>
      </c>
      <c r="JU311" s="21">
        <f t="shared" si="619"/>
        <v>0</v>
      </c>
      <c r="JV311" s="21">
        <f t="shared" ref="JV311:KC311" si="620">IF($F$290, 0, IF($G$295, IF(AND(COLUMN($JV$311)-COLUMN($IX$311)=$Q$291,ROW($JV$311)-ROW($IX$311)=$K$291), U$290, JV311), JV311))</f>
        <v>0</v>
      </c>
      <c r="JW311" s="21">
        <f t="shared" si="620"/>
        <v>0</v>
      </c>
      <c r="JX311" s="21">
        <f t="shared" si="620"/>
        <v>0</v>
      </c>
      <c r="JY311" s="21">
        <f t="shared" si="620"/>
        <v>0</v>
      </c>
      <c r="JZ311" s="21">
        <f t="shared" si="620"/>
        <v>0</v>
      </c>
      <c r="KA311" s="21">
        <f t="shared" si="620"/>
        <v>0</v>
      </c>
      <c r="KB311" s="21">
        <f t="shared" si="620"/>
        <v>0</v>
      </c>
      <c r="KC311" s="21">
        <f t="shared" si="620"/>
        <v>0</v>
      </c>
      <c r="KD311" s="21">
        <f t="shared" ref="KD311:KK311" si="621">IF($F$290, 0, IF($G$295, IF(AND(COLUMN($KD$311)-COLUMN($IX$311)=$Q$291,ROW($KD$311)-ROW($IX$311)=$K$291), U$290, KD311), KD311))</f>
        <v>0</v>
      </c>
      <c r="KE311" s="21">
        <f t="shared" si="621"/>
        <v>0</v>
      </c>
      <c r="KF311" s="21">
        <f t="shared" si="621"/>
        <v>0</v>
      </c>
      <c r="KG311" s="21">
        <f t="shared" si="621"/>
        <v>0</v>
      </c>
      <c r="KH311" s="21">
        <f t="shared" si="621"/>
        <v>0</v>
      </c>
      <c r="KI311" s="21">
        <f t="shared" si="621"/>
        <v>0</v>
      </c>
      <c r="KJ311" s="21">
        <f t="shared" si="621"/>
        <v>0</v>
      </c>
      <c r="KK311" s="21">
        <f t="shared" si="621"/>
        <v>0</v>
      </c>
      <c r="KL311" s="21">
        <f t="shared" ref="KL311:KS311" si="622">IF($F$290, 0, IF($G$295, IF(AND(COLUMN($KL$311)-COLUMN($IX$311)=$Q$291,ROW($KL$311)-ROW($IX$311)=$K$291), U$290, KL311), KL311))</f>
        <v>0</v>
      </c>
      <c r="KM311" s="21">
        <f t="shared" si="622"/>
        <v>0</v>
      </c>
      <c r="KN311" s="21">
        <f t="shared" si="622"/>
        <v>0</v>
      </c>
      <c r="KO311" s="21">
        <f t="shared" si="622"/>
        <v>0</v>
      </c>
      <c r="KP311" s="21">
        <f t="shared" si="622"/>
        <v>0</v>
      </c>
      <c r="KQ311" s="21">
        <f t="shared" si="622"/>
        <v>0</v>
      </c>
      <c r="KR311" s="21">
        <f t="shared" si="622"/>
        <v>0</v>
      </c>
      <c r="KS311" s="21">
        <f t="shared" si="622"/>
        <v>0</v>
      </c>
      <c r="KT311" s="21">
        <f t="shared" ref="KT311:LA311" si="623">IF($F$290, 0, IF($G$295, IF(AND(COLUMN($KT$311)-COLUMN($IX$311)=$Q$291,ROW($KT$311)-ROW($IX$311)=$K$291), U$290, KT311), KT311))</f>
        <v>0</v>
      </c>
      <c r="KU311" s="21">
        <f t="shared" si="623"/>
        <v>0</v>
      </c>
      <c r="KV311" s="21">
        <f t="shared" si="623"/>
        <v>0</v>
      </c>
      <c r="KW311" s="21">
        <f t="shared" si="623"/>
        <v>0</v>
      </c>
      <c r="KX311" s="21">
        <f t="shared" si="623"/>
        <v>0</v>
      </c>
      <c r="KY311" s="21">
        <f t="shared" si="623"/>
        <v>0</v>
      </c>
      <c r="KZ311" s="21">
        <f t="shared" si="623"/>
        <v>0</v>
      </c>
      <c r="LA311" s="21">
        <f t="shared" si="623"/>
        <v>0</v>
      </c>
      <c r="LB311" s="21">
        <f t="shared" ref="LB311:LI311" si="624">IF($F$290, 0, IF($G$295, IF(AND(COLUMN($LB$311)-COLUMN($IX$311)=$Q$291,ROW($LB$311)-ROW($IX$311)=$K$291), U$290, LB311), LB311))</f>
        <v>0</v>
      </c>
      <c r="LC311" s="21">
        <f t="shared" si="624"/>
        <v>0</v>
      </c>
      <c r="LD311" s="21">
        <f t="shared" si="624"/>
        <v>0</v>
      </c>
      <c r="LE311" s="21">
        <f t="shared" si="624"/>
        <v>0</v>
      </c>
      <c r="LF311" s="21">
        <f t="shared" si="624"/>
        <v>0</v>
      </c>
      <c r="LG311" s="21">
        <f t="shared" si="624"/>
        <v>0</v>
      </c>
      <c r="LH311" s="21">
        <f t="shared" si="624"/>
        <v>0</v>
      </c>
      <c r="LI311" s="21">
        <f t="shared" si="624"/>
        <v>0</v>
      </c>
      <c r="LJ311" s="21">
        <f t="shared" ref="LJ311:LQ311" si="625">IF($F$290, 0, IF($H$295, IF(AND(COLUMN($LJ$311)-COLUMN($LJ$311)=$Q$291,ROW($LJ$311)-ROW($LJ$311)=$K$291), U$290, LJ311), LJ311))</f>
        <v>0</v>
      </c>
      <c r="LK311" s="21">
        <f t="shared" si="625"/>
        <v>0</v>
      </c>
      <c r="LL311" s="21">
        <f t="shared" si="625"/>
        <v>0</v>
      </c>
      <c r="LM311" s="21">
        <f t="shared" si="625"/>
        <v>0</v>
      </c>
      <c r="LN311" s="21">
        <f t="shared" si="625"/>
        <v>0</v>
      </c>
      <c r="LO311" s="21">
        <f t="shared" si="625"/>
        <v>0</v>
      </c>
      <c r="LP311" s="21">
        <f t="shared" si="625"/>
        <v>0</v>
      </c>
      <c r="LQ311" s="21">
        <f t="shared" si="625"/>
        <v>0</v>
      </c>
      <c r="LR311" s="21">
        <f t="shared" ref="LR311:LY311" si="626">IF($F$290, 0, IF($H$295, IF(AND(COLUMN($LR$311)-COLUMN($LJ$311)=$Q$291,ROW($LR$311)-ROW($LJ$311)=$K$291), U$290, LR311), LR311))</f>
        <v>0</v>
      </c>
      <c r="LS311" s="21">
        <f t="shared" si="626"/>
        <v>0</v>
      </c>
      <c r="LT311" s="21">
        <f t="shared" si="626"/>
        <v>0</v>
      </c>
      <c r="LU311" s="21">
        <f t="shared" si="626"/>
        <v>0</v>
      </c>
      <c r="LV311" s="21">
        <f t="shared" si="626"/>
        <v>0</v>
      </c>
      <c r="LW311" s="21">
        <f t="shared" si="626"/>
        <v>0</v>
      </c>
      <c r="LX311" s="21">
        <f t="shared" si="626"/>
        <v>0</v>
      </c>
      <c r="LY311" s="21">
        <f t="shared" si="626"/>
        <v>0</v>
      </c>
      <c r="LZ311" s="21">
        <f t="shared" ref="LZ311:MG311" si="627">IF($F$290, 0, IF($H$295, IF(AND(COLUMN($LZ$311)-COLUMN($LJ$311)=$Q$291,ROW($LZ$311)-ROW($LJ$311)=$K$291), U$290, LZ311), LZ311))</f>
        <v>0</v>
      </c>
      <c r="MA311" s="21">
        <f t="shared" si="627"/>
        <v>0</v>
      </c>
      <c r="MB311" s="21">
        <f t="shared" si="627"/>
        <v>0</v>
      </c>
      <c r="MC311" s="21">
        <f t="shared" si="627"/>
        <v>0</v>
      </c>
      <c r="MD311" s="21">
        <f t="shared" si="627"/>
        <v>0</v>
      </c>
      <c r="ME311" s="21">
        <f t="shared" si="627"/>
        <v>0</v>
      </c>
      <c r="MF311" s="21">
        <f t="shared" si="627"/>
        <v>0</v>
      </c>
      <c r="MG311" s="21">
        <f t="shared" si="627"/>
        <v>0</v>
      </c>
      <c r="MH311" s="21">
        <f t="shared" ref="MH311:MO311" si="628">IF($F$290, 0, IF($H$295, IF(AND(COLUMN($MH$311)-COLUMN($LJ$311)=$Q$291,ROW($MH$311)-ROW($LJ$311)=$K$291), U$290, MH311), MH311))</f>
        <v>0</v>
      </c>
      <c r="MI311" s="21">
        <f t="shared" si="628"/>
        <v>0</v>
      </c>
      <c r="MJ311" s="21">
        <f t="shared" si="628"/>
        <v>0</v>
      </c>
      <c r="MK311" s="21">
        <f t="shared" si="628"/>
        <v>0</v>
      </c>
      <c r="ML311" s="21">
        <f t="shared" si="628"/>
        <v>0</v>
      </c>
      <c r="MM311" s="21">
        <f t="shared" si="628"/>
        <v>0</v>
      </c>
      <c r="MN311" s="21">
        <f t="shared" si="628"/>
        <v>0</v>
      </c>
      <c r="MO311" s="21">
        <f t="shared" si="628"/>
        <v>0</v>
      </c>
      <c r="MP311" s="21">
        <f t="shared" ref="MP311:MW311" si="629">IF($F$290, 0, IF($H$295, IF(AND(COLUMN($MP$311)-COLUMN($LJ$311)=$Q$291,ROW($MP$311)-ROW($LJ$311)=$K$291), U$290, MP311), MP311))</f>
        <v>0</v>
      </c>
      <c r="MQ311" s="21">
        <f t="shared" si="629"/>
        <v>0</v>
      </c>
      <c r="MR311" s="21">
        <f t="shared" si="629"/>
        <v>0</v>
      </c>
      <c r="MS311" s="21">
        <f t="shared" si="629"/>
        <v>0</v>
      </c>
      <c r="MT311" s="21">
        <f t="shared" si="629"/>
        <v>0</v>
      </c>
      <c r="MU311" s="21">
        <f t="shared" si="629"/>
        <v>0</v>
      </c>
      <c r="MV311" s="21">
        <f t="shared" si="629"/>
        <v>0</v>
      </c>
      <c r="MW311" s="21">
        <f t="shared" si="629"/>
        <v>0</v>
      </c>
      <c r="MX311" s="21">
        <f t="shared" ref="MX311:NE311" si="630">IF($F$290, 0, IF($H$295, IF(AND(COLUMN($MX$311)-COLUMN($LJ$311)=$Q$291,ROW($MX$311)-ROW($LJ$311)=$K$291), U$290, MX311), MX311))</f>
        <v>0</v>
      </c>
      <c r="MY311" s="21">
        <f t="shared" si="630"/>
        <v>0</v>
      </c>
      <c r="MZ311" s="21">
        <f t="shared" si="630"/>
        <v>0</v>
      </c>
      <c r="NA311" s="21">
        <f t="shared" si="630"/>
        <v>0</v>
      </c>
      <c r="NB311" s="21">
        <f t="shared" si="630"/>
        <v>0</v>
      </c>
      <c r="NC311" s="21">
        <f t="shared" si="630"/>
        <v>0</v>
      </c>
      <c r="ND311" s="21">
        <f t="shared" si="630"/>
        <v>0</v>
      </c>
      <c r="NE311" s="21">
        <f t="shared" si="630"/>
        <v>0</v>
      </c>
      <c r="NF311" s="21">
        <f t="shared" ref="NF311:NM311" si="631">IF($F$290, 0, IF($H$295, IF(AND(COLUMN($NF$311)-COLUMN($LJ$311)=$Q$291,ROW($NF$311)-ROW($LJ$311)=$K$291), U$290, NF311), NF311))</f>
        <v>0</v>
      </c>
      <c r="NG311" s="21">
        <f t="shared" si="631"/>
        <v>0</v>
      </c>
      <c r="NH311" s="21">
        <f t="shared" si="631"/>
        <v>0</v>
      </c>
      <c r="NI311" s="21">
        <f t="shared" si="631"/>
        <v>0</v>
      </c>
      <c r="NJ311" s="21">
        <f t="shared" si="631"/>
        <v>0</v>
      </c>
      <c r="NK311" s="21">
        <f t="shared" si="631"/>
        <v>0</v>
      </c>
      <c r="NL311" s="21">
        <f t="shared" si="631"/>
        <v>0</v>
      </c>
      <c r="NM311" s="21">
        <f t="shared" si="631"/>
        <v>0</v>
      </c>
      <c r="NN311" s="21">
        <f t="shared" ref="NN311:NU311" si="632">IF($F$290, 0, IF($H$295, IF(AND(COLUMN($NN$311)-COLUMN($LJ$311)=$Q$291,ROW($NN$311)-ROW($LJ$311)=$K$291), U$290, NN311), NN311))</f>
        <v>0</v>
      </c>
      <c r="NO311" s="21">
        <f t="shared" si="632"/>
        <v>0</v>
      </c>
      <c r="NP311" s="21">
        <f t="shared" si="632"/>
        <v>0</v>
      </c>
      <c r="NQ311" s="21">
        <f t="shared" si="632"/>
        <v>0</v>
      </c>
      <c r="NR311" s="21">
        <f t="shared" si="632"/>
        <v>0</v>
      </c>
      <c r="NS311" s="21">
        <f t="shared" si="632"/>
        <v>0</v>
      </c>
      <c r="NT311" s="21">
        <f t="shared" si="632"/>
        <v>0</v>
      </c>
      <c r="NU311" s="21">
        <f t="shared" si="632"/>
        <v>0</v>
      </c>
      <c r="NV311" s="21">
        <f t="shared" ref="NV311:OC311" si="633">IF($F$290, 0, IF($I$295, IF(AND(COLUMN($NV$311)-COLUMN($NV$311)=$Q$291,ROW($NV$311)-ROW($NV$311)=$K$291), U$290, NV311), NV311))</f>
        <v>0</v>
      </c>
      <c r="NW311" s="21">
        <f t="shared" si="633"/>
        <v>0</v>
      </c>
      <c r="NX311" s="21">
        <f t="shared" si="633"/>
        <v>0</v>
      </c>
      <c r="NY311" s="21">
        <f t="shared" si="633"/>
        <v>0</v>
      </c>
      <c r="NZ311" s="21">
        <f t="shared" si="633"/>
        <v>0</v>
      </c>
      <c r="OA311" s="21">
        <f t="shared" si="633"/>
        <v>0</v>
      </c>
      <c r="OB311" s="21">
        <f t="shared" si="633"/>
        <v>0</v>
      </c>
      <c r="OC311" s="21">
        <f t="shared" si="633"/>
        <v>0</v>
      </c>
      <c r="OD311" s="21">
        <f t="shared" ref="OD311:OK311" si="634">IF($F$290, 0, IF($I$295, IF(AND(COLUMN($OD$311)-COLUMN($NV$311)=$Q$291,ROW($OD$311)-ROW($NV$311)=$K$291), U$290, OD311), OD311))</f>
        <v>0</v>
      </c>
      <c r="OE311" s="21">
        <f t="shared" si="634"/>
        <v>0</v>
      </c>
      <c r="OF311" s="21">
        <f t="shared" si="634"/>
        <v>0</v>
      </c>
      <c r="OG311" s="21">
        <f t="shared" si="634"/>
        <v>0</v>
      </c>
      <c r="OH311" s="21">
        <f t="shared" si="634"/>
        <v>0</v>
      </c>
      <c r="OI311" s="21">
        <f t="shared" si="634"/>
        <v>0</v>
      </c>
      <c r="OJ311" s="21">
        <f t="shared" si="634"/>
        <v>0</v>
      </c>
      <c r="OK311" s="21">
        <f t="shared" si="634"/>
        <v>0</v>
      </c>
      <c r="OL311" s="21">
        <f t="shared" ref="OL311:OS311" si="635">IF($F$290, 0, IF($I$295, IF(AND(COLUMN($OL$311)-COLUMN($NV$311)=$Q$291,ROW($OL$311)-ROW($NV$311)=$K$291), U$290, OL311), OL311))</f>
        <v>0</v>
      </c>
      <c r="OM311" s="21">
        <f t="shared" si="635"/>
        <v>0</v>
      </c>
      <c r="ON311" s="21">
        <f t="shared" si="635"/>
        <v>0</v>
      </c>
      <c r="OO311" s="21">
        <f t="shared" si="635"/>
        <v>0</v>
      </c>
      <c r="OP311" s="21">
        <f t="shared" si="635"/>
        <v>0</v>
      </c>
      <c r="OQ311" s="21">
        <f t="shared" si="635"/>
        <v>0</v>
      </c>
      <c r="OR311" s="21">
        <f t="shared" si="635"/>
        <v>0</v>
      </c>
      <c r="OS311" s="21">
        <f t="shared" si="635"/>
        <v>0</v>
      </c>
      <c r="OT311" s="21">
        <f t="shared" ref="OT311:PA311" si="636">IF($F$290, 0, IF($I$295, IF(AND(COLUMN($OT$311)-COLUMN($NV$311)=$Q$291,ROW($OT$311)-ROW($NV$311)=$K$291), U$290, OT311), OT311))</f>
        <v>0</v>
      </c>
      <c r="OU311" s="21">
        <f t="shared" si="636"/>
        <v>0</v>
      </c>
      <c r="OV311" s="21">
        <f t="shared" si="636"/>
        <v>0</v>
      </c>
      <c r="OW311" s="21">
        <f t="shared" si="636"/>
        <v>0</v>
      </c>
      <c r="OX311" s="21">
        <f t="shared" si="636"/>
        <v>0</v>
      </c>
      <c r="OY311" s="21">
        <f t="shared" si="636"/>
        <v>0</v>
      </c>
      <c r="OZ311" s="21">
        <f t="shared" si="636"/>
        <v>0</v>
      </c>
      <c r="PA311" s="21">
        <f t="shared" si="636"/>
        <v>0</v>
      </c>
      <c r="PB311" s="21">
        <f t="shared" ref="PB311:PI311" si="637">IF($F$290, 0, IF($I$295, IF(AND(COLUMN($PB$311)-COLUMN($NV$311)=$Q$291,ROW($PB$311)-ROW($NV$311)=$K$291), U$290, PB311), PB311))</f>
        <v>0</v>
      </c>
      <c r="PC311" s="21">
        <f t="shared" si="637"/>
        <v>0</v>
      </c>
      <c r="PD311" s="21">
        <f t="shared" si="637"/>
        <v>0</v>
      </c>
      <c r="PE311" s="21">
        <f t="shared" si="637"/>
        <v>0</v>
      </c>
      <c r="PF311" s="21">
        <f t="shared" si="637"/>
        <v>0</v>
      </c>
      <c r="PG311" s="21">
        <f t="shared" si="637"/>
        <v>0</v>
      </c>
      <c r="PH311" s="21">
        <f t="shared" si="637"/>
        <v>0</v>
      </c>
      <c r="PI311" s="21">
        <f t="shared" si="637"/>
        <v>0</v>
      </c>
      <c r="PJ311" s="21">
        <f t="shared" ref="PJ311:PQ311" si="638">IF($F$290, 0, IF($I$295, IF(AND(COLUMN($PJ$311)-COLUMN($NV$311)=$Q$291,ROW($PJ$311)-ROW($NV$311)=$K$291), U$290, PJ311), PJ311))</f>
        <v>0</v>
      </c>
      <c r="PK311" s="21">
        <f t="shared" si="638"/>
        <v>0</v>
      </c>
      <c r="PL311" s="21">
        <f t="shared" si="638"/>
        <v>0</v>
      </c>
      <c r="PM311" s="21">
        <f t="shared" si="638"/>
        <v>0</v>
      </c>
      <c r="PN311" s="21">
        <f t="shared" si="638"/>
        <v>0</v>
      </c>
      <c r="PO311" s="21">
        <f t="shared" si="638"/>
        <v>0</v>
      </c>
      <c r="PP311" s="21">
        <f t="shared" si="638"/>
        <v>0</v>
      </c>
      <c r="PQ311" s="21">
        <f t="shared" si="638"/>
        <v>0</v>
      </c>
      <c r="PR311" s="21">
        <f t="shared" ref="PR311:PY311" si="639">IF($F$290, 0, IF($I$295, IF(AND(COLUMN($PR$311)-COLUMN($NV$311)=$Q$291,ROW($PR$311)-ROW($NV$311)=$K$291), U$290, PR311), PR311))</f>
        <v>0</v>
      </c>
      <c r="PS311" s="21">
        <f t="shared" si="639"/>
        <v>0</v>
      </c>
      <c r="PT311" s="21">
        <f t="shared" si="639"/>
        <v>0</v>
      </c>
      <c r="PU311" s="21">
        <f t="shared" si="639"/>
        <v>0</v>
      </c>
      <c r="PV311" s="21">
        <f t="shared" si="639"/>
        <v>0</v>
      </c>
      <c r="PW311" s="21">
        <f t="shared" si="639"/>
        <v>0</v>
      </c>
      <c r="PX311" s="21">
        <f t="shared" si="639"/>
        <v>0</v>
      </c>
      <c r="PY311" s="21">
        <f t="shared" si="639"/>
        <v>0</v>
      </c>
      <c r="PZ311" s="21">
        <f t="shared" ref="PZ311:QG311" si="640">IF($F$290, 0, IF($I$295, IF(AND(COLUMN($PZ$311)-COLUMN($NV$311)=$Q$291,ROW($PZ$311)-ROW($NV$311)=$K$291), U$290, PZ311), PZ311))</f>
        <v>0</v>
      </c>
      <c r="QA311" s="21">
        <f t="shared" si="640"/>
        <v>0</v>
      </c>
      <c r="QB311" s="21">
        <f t="shared" si="640"/>
        <v>0</v>
      </c>
      <c r="QC311" s="21">
        <f t="shared" si="640"/>
        <v>0</v>
      </c>
      <c r="QD311" s="21">
        <f t="shared" si="640"/>
        <v>0</v>
      </c>
      <c r="QE311" s="21">
        <f t="shared" si="640"/>
        <v>0</v>
      </c>
      <c r="QF311" s="21">
        <f t="shared" si="640"/>
        <v>0</v>
      </c>
      <c r="QG311" s="21">
        <f t="shared" si="640"/>
        <v>0</v>
      </c>
      <c r="QH311" s="21">
        <f t="shared" ref="QH311:QO311" si="641">IF($F$290, 0, IF($J$295, IF(AND(COLUMN($QH$311)-COLUMN($QH$311)=$Q$291,ROW($QH$311)-ROW($QH$311)=$K$291), U$290, QH311), QH311))</f>
        <v>0</v>
      </c>
      <c r="QI311" s="21">
        <f t="shared" si="641"/>
        <v>0</v>
      </c>
      <c r="QJ311" s="21">
        <f t="shared" si="641"/>
        <v>0</v>
      </c>
      <c r="QK311" s="21">
        <f t="shared" si="641"/>
        <v>0</v>
      </c>
      <c r="QL311" s="21">
        <f t="shared" si="641"/>
        <v>0</v>
      </c>
      <c r="QM311" s="21">
        <f t="shared" si="641"/>
        <v>0</v>
      </c>
      <c r="QN311" s="21">
        <f t="shared" si="641"/>
        <v>0</v>
      </c>
      <c r="QO311" s="21">
        <f t="shared" si="641"/>
        <v>0</v>
      </c>
      <c r="QP311" s="21">
        <f t="shared" ref="QP311:QW311" si="642">IF($F$290, 0, IF($J$295, IF(AND(COLUMN($QP$311)-COLUMN($QH$311)=$Q$291,ROW($QP$311)-ROW($QH$311)=$K$291), U$290, QP311), QP311))</f>
        <v>0</v>
      </c>
      <c r="QQ311" s="21">
        <f t="shared" si="642"/>
        <v>0</v>
      </c>
      <c r="QR311" s="21">
        <f t="shared" si="642"/>
        <v>0</v>
      </c>
      <c r="QS311" s="21">
        <f t="shared" si="642"/>
        <v>0</v>
      </c>
      <c r="QT311" s="21">
        <f t="shared" si="642"/>
        <v>0</v>
      </c>
      <c r="QU311" s="21">
        <f t="shared" si="642"/>
        <v>0</v>
      </c>
      <c r="QV311" s="21">
        <f t="shared" si="642"/>
        <v>0</v>
      </c>
      <c r="QW311" s="21">
        <f t="shared" si="642"/>
        <v>0</v>
      </c>
      <c r="QX311" s="21">
        <f t="shared" ref="QX311:RE311" si="643">IF($F$290, 0, IF($J$295, IF(AND(COLUMN($QX$311)-COLUMN($QH$311)=$Q$291,ROW($QX$311)-ROW($QH$311)=$K$291), U$290, QX311), QX311))</f>
        <v>0</v>
      </c>
      <c r="QY311" s="21">
        <f t="shared" si="643"/>
        <v>0</v>
      </c>
      <c r="QZ311" s="21">
        <f t="shared" si="643"/>
        <v>0</v>
      </c>
      <c r="RA311" s="21">
        <f t="shared" si="643"/>
        <v>0</v>
      </c>
      <c r="RB311" s="21">
        <f t="shared" si="643"/>
        <v>0</v>
      </c>
      <c r="RC311" s="21">
        <f t="shared" si="643"/>
        <v>0</v>
      </c>
      <c r="RD311" s="21">
        <f t="shared" si="643"/>
        <v>0</v>
      </c>
      <c r="RE311" s="21">
        <f t="shared" si="643"/>
        <v>0</v>
      </c>
      <c r="RF311" s="21">
        <f t="shared" ref="RF311:RM311" si="644">IF($F$290, 0, IF($J$295, IF(AND(COLUMN($RF$311)-COLUMN($QH$311)=$Q$291,ROW($RF$311)-ROW($QH$311)=$K$291), U$290, RF311), RF311))</f>
        <v>0</v>
      </c>
      <c r="RG311" s="21">
        <f t="shared" si="644"/>
        <v>0</v>
      </c>
      <c r="RH311" s="21">
        <f t="shared" si="644"/>
        <v>0</v>
      </c>
      <c r="RI311" s="21">
        <f t="shared" si="644"/>
        <v>0</v>
      </c>
      <c r="RJ311" s="21">
        <f t="shared" si="644"/>
        <v>0</v>
      </c>
      <c r="RK311" s="21">
        <f t="shared" si="644"/>
        <v>0</v>
      </c>
      <c r="RL311" s="21">
        <f t="shared" si="644"/>
        <v>0</v>
      </c>
      <c r="RM311" s="21">
        <f t="shared" si="644"/>
        <v>0</v>
      </c>
      <c r="RN311" s="21">
        <f t="shared" ref="RN311:RU311" si="645">IF($F$290, 0, IF($J$295, IF(AND(COLUMN($RN$311)-COLUMN($QH$311)=$Q$291,ROW($RN$311)-ROW($QH$311)=$K$291), U$290, RN311), RN311))</f>
        <v>0</v>
      </c>
      <c r="RO311" s="21">
        <f t="shared" si="645"/>
        <v>0</v>
      </c>
      <c r="RP311" s="21">
        <f t="shared" si="645"/>
        <v>0</v>
      </c>
      <c r="RQ311" s="21">
        <f t="shared" si="645"/>
        <v>0</v>
      </c>
      <c r="RR311" s="21">
        <f t="shared" si="645"/>
        <v>0</v>
      </c>
      <c r="RS311" s="21">
        <f t="shared" si="645"/>
        <v>0</v>
      </c>
      <c r="RT311" s="21">
        <f t="shared" si="645"/>
        <v>0</v>
      </c>
      <c r="RU311" s="21">
        <f t="shared" si="645"/>
        <v>0</v>
      </c>
      <c r="RV311" s="21">
        <f t="shared" ref="RV311:SC311" si="646">IF($F$290, 0, IF($J$295, IF(AND(COLUMN($RV$311)-COLUMN($QH$311)=$Q$291,ROW($RV$311)-ROW($QH$311)=$K$291), U$290, RV311), RV311))</f>
        <v>0</v>
      </c>
      <c r="RW311" s="21">
        <f t="shared" si="646"/>
        <v>0</v>
      </c>
      <c r="RX311" s="21">
        <f t="shared" si="646"/>
        <v>0</v>
      </c>
      <c r="RY311" s="21">
        <f t="shared" si="646"/>
        <v>0</v>
      </c>
      <c r="RZ311" s="21">
        <f t="shared" si="646"/>
        <v>0</v>
      </c>
      <c r="SA311" s="21">
        <f t="shared" si="646"/>
        <v>0</v>
      </c>
      <c r="SB311" s="21">
        <f t="shared" si="646"/>
        <v>0</v>
      </c>
      <c r="SC311" s="21">
        <f t="shared" si="646"/>
        <v>0</v>
      </c>
      <c r="SD311" s="21">
        <f t="shared" ref="SD311:SK311" si="647">IF($F$290, 0, IF($J$295, IF(AND(COLUMN($SD$311)-COLUMN($QH$311)=$Q$291,ROW($SD$311)-ROW($QH$311)=$K$291), U$290, SD311), SD311))</f>
        <v>0</v>
      </c>
      <c r="SE311" s="21">
        <f t="shared" si="647"/>
        <v>0</v>
      </c>
      <c r="SF311" s="21">
        <f t="shared" si="647"/>
        <v>0</v>
      </c>
      <c r="SG311" s="21">
        <f t="shared" si="647"/>
        <v>0</v>
      </c>
      <c r="SH311" s="21">
        <f t="shared" si="647"/>
        <v>0</v>
      </c>
      <c r="SI311" s="21">
        <f t="shared" si="647"/>
        <v>0</v>
      </c>
      <c r="SJ311" s="21">
        <f t="shared" si="647"/>
        <v>0</v>
      </c>
      <c r="SK311" s="21">
        <f t="shared" si="647"/>
        <v>0</v>
      </c>
      <c r="SL311" s="21">
        <f t="shared" ref="SL311:SS311" si="648">IF($F$290, 0, IF($J$295, IF(AND(COLUMN($SL$311)-COLUMN($QH$311)=$Q$291,ROW($SL$311)-ROW($QH$311)=$K$291), U$290, SL311), SL311))</f>
        <v>0</v>
      </c>
      <c r="SM311" s="21">
        <f t="shared" si="648"/>
        <v>0</v>
      </c>
      <c r="SN311" s="21">
        <f t="shared" si="648"/>
        <v>0</v>
      </c>
      <c r="SO311" s="21">
        <f t="shared" si="648"/>
        <v>0</v>
      </c>
      <c r="SP311" s="21">
        <f t="shared" si="648"/>
        <v>0</v>
      </c>
      <c r="SQ311" s="21">
        <f t="shared" si="648"/>
        <v>0</v>
      </c>
      <c r="SR311" s="21">
        <f t="shared" si="648"/>
        <v>0</v>
      </c>
      <c r="SS311" s="21">
        <f t="shared" si="648"/>
        <v>0</v>
      </c>
    </row>
    <row r="312" spans="2:513" ht="15" customHeight="1" x14ac:dyDescent="0.25">
      <c r="B312" s="21">
        <f t="shared" ref="B312:I312" si="649">IF($F$290, 0, IF($C$295, IF(AND(COLUMN($B$312)-COLUMN($B$311)=$Q$291,ROW($B$312)-ROW($B$311)=$K$291), U$290, B312), B312))</f>
        <v>0</v>
      </c>
      <c r="C312" s="21">
        <f t="shared" si="649"/>
        <v>0</v>
      </c>
      <c r="D312" s="21">
        <f t="shared" si="649"/>
        <v>0</v>
      </c>
      <c r="E312" s="21">
        <f t="shared" si="649"/>
        <v>0</v>
      </c>
      <c r="F312" s="21">
        <f t="shared" si="649"/>
        <v>0</v>
      </c>
      <c r="G312" s="21">
        <f t="shared" si="649"/>
        <v>0</v>
      </c>
      <c r="H312" s="21">
        <f t="shared" si="649"/>
        <v>0</v>
      </c>
      <c r="I312" s="21">
        <f t="shared" si="649"/>
        <v>0</v>
      </c>
      <c r="J312" s="21">
        <f t="shared" ref="J312:Q312" si="650">IF($F$290, 0, IF($C$295, IF(AND(COLUMN($J$312)-COLUMN($B$311)=$Q$291,ROW($J$312)-ROW($B$311)=$K$291), U$290, J312), J312))</f>
        <v>0</v>
      </c>
      <c r="K312" s="21">
        <f t="shared" si="650"/>
        <v>0</v>
      </c>
      <c r="L312" s="21">
        <f t="shared" si="650"/>
        <v>0</v>
      </c>
      <c r="M312" s="21">
        <f t="shared" si="650"/>
        <v>0</v>
      </c>
      <c r="N312" s="21">
        <f t="shared" si="650"/>
        <v>0</v>
      </c>
      <c r="O312" s="21">
        <f t="shared" si="650"/>
        <v>0</v>
      </c>
      <c r="P312" s="21">
        <f t="shared" si="650"/>
        <v>0</v>
      </c>
      <c r="Q312" s="21">
        <f t="shared" si="650"/>
        <v>0</v>
      </c>
      <c r="R312" s="21">
        <f>IF($F$290, 0, IF($C$295, IF(AND(COLUMN($R$312)-COLUMN($B$311)=$Q$291,ROW($R$312)-ROW($B$311)=$K$291), U$290, R312), R312))</f>
        <v>0</v>
      </c>
      <c r="S312" s="21">
        <f t="shared" ref="S312:Y312" si="651">IF($F$290, 0, IF($C$295, IF(AND(COLUMN($R$312)-COLUMN($B$311)=$Q$291,ROW($R$312)-ROW($B$311)=$K$291), V$290, S312), S312))</f>
        <v>0</v>
      </c>
      <c r="T312" s="21">
        <f t="shared" si="651"/>
        <v>0</v>
      </c>
      <c r="U312" s="21">
        <f t="shared" si="651"/>
        <v>0</v>
      </c>
      <c r="V312" s="21">
        <f t="shared" si="651"/>
        <v>0</v>
      </c>
      <c r="W312" s="21">
        <f t="shared" si="651"/>
        <v>0</v>
      </c>
      <c r="X312" s="21">
        <f t="shared" si="651"/>
        <v>0</v>
      </c>
      <c r="Y312" s="21">
        <f t="shared" si="651"/>
        <v>0</v>
      </c>
      <c r="Z312" s="21">
        <f t="shared" ref="Z312:AG312" si="652">IF($F$290, 0, IF($C$295, IF(AND(COLUMN($Z$312)-COLUMN($B$311)=$Q$291,ROW($Z$312)-ROW($B$311)=$K$291), U$290, Z312), Z312))</f>
        <v>0</v>
      </c>
      <c r="AA312" s="21">
        <f t="shared" si="652"/>
        <v>0</v>
      </c>
      <c r="AB312" s="21">
        <f t="shared" si="652"/>
        <v>0</v>
      </c>
      <c r="AC312" s="21">
        <f t="shared" si="652"/>
        <v>0</v>
      </c>
      <c r="AD312" s="21">
        <f t="shared" si="652"/>
        <v>0</v>
      </c>
      <c r="AE312" s="21">
        <f t="shared" si="652"/>
        <v>0</v>
      </c>
      <c r="AF312" s="21">
        <f t="shared" si="652"/>
        <v>0</v>
      </c>
      <c r="AG312" s="21">
        <f t="shared" si="652"/>
        <v>0</v>
      </c>
      <c r="AH312" s="21">
        <f t="shared" ref="AH312:AO312" si="653">IF($F$290, 0, IF($C$295, IF(AND(COLUMN($AH$312)-COLUMN($B$311)=$Q$291,ROW($AH$312)-ROW($B$311)=$K$291), U$290, AH312), AH312))</f>
        <v>0</v>
      </c>
      <c r="AI312" s="21">
        <f t="shared" si="653"/>
        <v>0</v>
      </c>
      <c r="AJ312" s="21">
        <f t="shared" si="653"/>
        <v>0</v>
      </c>
      <c r="AK312" s="21">
        <f t="shared" si="653"/>
        <v>0</v>
      </c>
      <c r="AL312" s="21">
        <f t="shared" si="653"/>
        <v>0</v>
      </c>
      <c r="AM312" s="21">
        <f t="shared" si="653"/>
        <v>0</v>
      </c>
      <c r="AN312" s="21">
        <f t="shared" si="653"/>
        <v>0</v>
      </c>
      <c r="AO312" s="21">
        <f t="shared" si="653"/>
        <v>0</v>
      </c>
      <c r="AP312" s="21">
        <f t="shared" ref="AP312:AW312" si="654">IF($F$290, 0, IF($C$295, IF(AND(COLUMN($AP$312)-COLUMN($B$311)=$Q$291,ROW($AP$312)-ROW($B$311)=$K$291), U$290, AP312), AP312))</f>
        <v>0</v>
      </c>
      <c r="AQ312" s="21">
        <f t="shared" si="654"/>
        <v>0</v>
      </c>
      <c r="AR312" s="21">
        <f t="shared" si="654"/>
        <v>0</v>
      </c>
      <c r="AS312" s="21">
        <f t="shared" si="654"/>
        <v>0</v>
      </c>
      <c r="AT312" s="21">
        <f t="shared" si="654"/>
        <v>0</v>
      </c>
      <c r="AU312" s="21">
        <f t="shared" si="654"/>
        <v>0</v>
      </c>
      <c r="AV312" s="21">
        <f t="shared" si="654"/>
        <v>0</v>
      </c>
      <c r="AW312" s="21">
        <f t="shared" si="654"/>
        <v>0</v>
      </c>
      <c r="AX312" s="21">
        <f t="shared" ref="AX312:BE312" si="655">IF($F$290, 0, IF($C$295, IF(AND(COLUMN($AX$312)-COLUMN($B$311)=$Q$291,ROW($AX$312)-ROW($B$311)=$K$291), U$290, AX312), AX312))</f>
        <v>0</v>
      </c>
      <c r="AY312" s="21">
        <f t="shared" si="655"/>
        <v>0</v>
      </c>
      <c r="AZ312" s="21">
        <f t="shared" si="655"/>
        <v>0</v>
      </c>
      <c r="BA312" s="21">
        <f t="shared" si="655"/>
        <v>0</v>
      </c>
      <c r="BB312" s="21">
        <f t="shared" si="655"/>
        <v>0</v>
      </c>
      <c r="BC312" s="21">
        <f t="shared" si="655"/>
        <v>0</v>
      </c>
      <c r="BD312" s="21">
        <f t="shared" si="655"/>
        <v>0</v>
      </c>
      <c r="BE312" s="21">
        <f t="shared" si="655"/>
        <v>0</v>
      </c>
      <c r="BF312" s="21">
        <f t="shared" ref="BF312:BM312" si="656">IF($F$290, 0, IF($C$295, IF(AND(COLUMN($BF$312)-COLUMN($B$311)=$Q$291,ROW($BF$312)-ROW($B$311)=$K$291), U$290, BF312), BF312))</f>
        <v>0</v>
      </c>
      <c r="BG312" s="21">
        <f t="shared" si="656"/>
        <v>0</v>
      </c>
      <c r="BH312" s="21">
        <f t="shared" si="656"/>
        <v>0</v>
      </c>
      <c r="BI312" s="21">
        <f t="shared" si="656"/>
        <v>0</v>
      </c>
      <c r="BJ312" s="21">
        <f t="shared" si="656"/>
        <v>0</v>
      </c>
      <c r="BK312" s="21">
        <f t="shared" si="656"/>
        <v>0</v>
      </c>
      <c r="BL312" s="21">
        <f t="shared" si="656"/>
        <v>0</v>
      </c>
      <c r="BM312" s="21">
        <f t="shared" si="656"/>
        <v>0</v>
      </c>
      <c r="BN312" s="21">
        <f t="shared" ref="BN312:BU312" si="657">IF($F$290, 0, IF($D$295, IF(AND(COLUMN($BN$312)-COLUMN($BN$311)=$Q$291,ROW($BN$312)-ROW($BN$311)=$K$291), U$290, BN312), BN312))</f>
        <v>0</v>
      </c>
      <c r="BO312" s="21">
        <f t="shared" si="657"/>
        <v>0</v>
      </c>
      <c r="BP312" s="21">
        <f t="shared" si="657"/>
        <v>0</v>
      </c>
      <c r="BQ312" s="21">
        <f t="shared" si="657"/>
        <v>0</v>
      </c>
      <c r="BR312" s="21">
        <f t="shared" si="657"/>
        <v>0</v>
      </c>
      <c r="BS312" s="21">
        <f t="shared" si="657"/>
        <v>0</v>
      </c>
      <c r="BT312" s="21">
        <f t="shared" si="657"/>
        <v>0</v>
      </c>
      <c r="BU312" s="21">
        <f t="shared" si="657"/>
        <v>0</v>
      </c>
      <c r="BV312" s="21">
        <f t="shared" ref="BV312:CC312" si="658">IF($F$290, 0, IF($D$295, IF(AND(COLUMN($BV$312)-COLUMN($BN$311)=$Q$291,ROW($BV$312)-ROW($BN$311)=$K$291), U$290, BV312), BV312))</f>
        <v>0</v>
      </c>
      <c r="BW312" s="21">
        <f t="shared" si="658"/>
        <v>0</v>
      </c>
      <c r="BX312" s="21">
        <f t="shared" si="658"/>
        <v>0</v>
      </c>
      <c r="BY312" s="21">
        <f t="shared" si="658"/>
        <v>0</v>
      </c>
      <c r="BZ312" s="21">
        <f t="shared" si="658"/>
        <v>0</v>
      </c>
      <c r="CA312" s="21">
        <f t="shared" si="658"/>
        <v>0</v>
      </c>
      <c r="CB312" s="21">
        <f t="shared" si="658"/>
        <v>0</v>
      </c>
      <c r="CC312" s="21">
        <f t="shared" si="658"/>
        <v>0</v>
      </c>
      <c r="CD312" s="21">
        <f t="shared" ref="CD312:CK312" si="659">IF($F$290, 0, IF($D$295, IF(AND(COLUMN($CD$312)-COLUMN($BN$311)=$Q$291,ROW($CD$312)-ROW($BN$311)=$K$291), U$290, CD312), CD312))</f>
        <v>0</v>
      </c>
      <c r="CE312" s="21">
        <f t="shared" si="659"/>
        <v>0</v>
      </c>
      <c r="CF312" s="21">
        <f t="shared" si="659"/>
        <v>0</v>
      </c>
      <c r="CG312" s="21">
        <f t="shared" si="659"/>
        <v>0</v>
      </c>
      <c r="CH312" s="21">
        <f t="shared" si="659"/>
        <v>0</v>
      </c>
      <c r="CI312" s="21">
        <f t="shared" si="659"/>
        <v>0</v>
      </c>
      <c r="CJ312" s="21">
        <f t="shared" si="659"/>
        <v>0</v>
      </c>
      <c r="CK312" s="21">
        <f t="shared" si="659"/>
        <v>0</v>
      </c>
      <c r="CL312" s="21">
        <f t="shared" ref="CL312:CS312" si="660">IF($F$290, 0, IF($D$295, IF(AND(COLUMN($CL$312)-COLUMN($BN$311)=$Q$291,ROW($CL$312)-ROW($BN$311)=$K$291), U$290, CL312), CL312))</f>
        <v>0</v>
      </c>
      <c r="CM312" s="21">
        <f t="shared" si="660"/>
        <v>0</v>
      </c>
      <c r="CN312" s="21">
        <f t="shared" si="660"/>
        <v>0</v>
      </c>
      <c r="CO312" s="21">
        <f t="shared" si="660"/>
        <v>0</v>
      </c>
      <c r="CP312" s="21">
        <f t="shared" si="660"/>
        <v>0</v>
      </c>
      <c r="CQ312" s="21">
        <f t="shared" si="660"/>
        <v>0</v>
      </c>
      <c r="CR312" s="21">
        <f t="shared" si="660"/>
        <v>0</v>
      </c>
      <c r="CS312" s="21">
        <f t="shared" si="660"/>
        <v>0</v>
      </c>
      <c r="CT312" s="21">
        <f t="shared" ref="CT312:DA312" si="661">IF($F$290, 0, IF($D$295, IF(AND(COLUMN($CT$312)-COLUMN($BN$311)=$Q$291,ROW($CT$312)-ROW($BN$311)=$K$291), U$290, CT312), CT312))</f>
        <v>0</v>
      </c>
      <c r="CU312" s="21">
        <f t="shared" si="661"/>
        <v>0</v>
      </c>
      <c r="CV312" s="21">
        <f t="shared" si="661"/>
        <v>0</v>
      </c>
      <c r="CW312" s="21">
        <f t="shared" si="661"/>
        <v>0</v>
      </c>
      <c r="CX312" s="21">
        <f t="shared" si="661"/>
        <v>0</v>
      </c>
      <c r="CY312" s="21">
        <f t="shared" si="661"/>
        <v>0</v>
      </c>
      <c r="CZ312" s="21">
        <f t="shared" si="661"/>
        <v>0</v>
      </c>
      <c r="DA312" s="21">
        <f t="shared" si="661"/>
        <v>0</v>
      </c>
      <c r="DB312" s="21">
        <f t="shared" ref="DB312:DI312" si="662">IF($F$290, 0, IF($D$295, IF(AND(COLUMN($DB$312)-COLUMN($BN$311)=$Q$291,ROW($DB$312)-ROW($BN$311)=$K$291), U$290, DB312), DB312))</f>
        <v>0</v>
      </c>
      <c r="DC312" s="21">
        <f t="shared" si="662"/>
        <v>0</v>
      </c>
      <c r="DD312" s="21">
        <f t="shared" si="662"/>
        <v>0</v>
      </c>
      <c r="DE312" s="21">
        <f t="shared" si="662"/>
        <v>0</v>
      </c>
      <c r="DF312" s="21">
        <f t="shared" si="662"/>
        <v>0</v>
      </c>
      <c r="DG312" s="21">
        <f t="shared" si="662"/>
        <v>0</v>
      </c>
      <c r="DH312" s="21">
        <f t="shared" si="662"/>
        <v>0</v>
      </c>
      <c r="DI312" s="21">
        <f t="shared" si="662"/>
        <v>0</v>
      </c>
      <c r="DJ312" s="21">
        <f t="shared" ref="DJ312:DQ312" si="663">IF($F$290, 0, IF($D$295, IF(AND(COLUMN($DJ$312)-COLUMN($BN$311)=$Q$291,ROW($DJ$312)-ROW($BN$311)=$K$291), U$290, DJ312), DJ312))</f>
        <v>0</v>
      </c>
      <c r="DK312" s="21">
        <f t="shared" si="663"/>
        <v>0</v>
      </c>
      <c r="DL312" s="21">
        <f t="shared" si="663"/>
        <v>0</v>
      </c>
      <c r="DM312" s="21">
        <f t="shared" si="663"/>
        <v>0</v>
      </c>
      <c r="DN312" s="21">
        <f t="shared" si="663"/>
        <v>0</v>
      </c>
      <c r="DO312" s="21">
        <f t="shared" si="663"/>
        <v>0</v>
      </c>
      <c r="DP312" s="21">
        <f t="shared" si="663"/>
        <v>0</v>
      </c>
      <c r="DQ312" s="21">
        <f t="shared" si="663"/>
        <v>0</v>
      </c>
      <c r="DR312" s="21">
        <f t="shared" ref="DR312:DY312" si="664">IF($F$290, 0, IF($D$295, IF(AND(COLUMN($DR$312)-COLUMN($BN$311)=$Q$291,ROW($DR$312)-ROW($BN$311)=$K$291), U$290, DR312), DR312))</f>
        <v>0</v>
      </c>
      <c r="DS312" s="21">
        <f t="shared" si="664"/>
        <v>0</v>
      </c>
      <c r="DT312" s="21">
        <f t="shared" si="664"/>
        <v>0</v>
      </c>
      <c r="DU312" s="21">
        <f t="shared" si="664"/>
        <v>0</v>
      </c>
      <c r="DV312" s="21">
        <f t="shared" si="664"/>
        <v>0</v>
      </c>
      <c r="DW312" s="21">
        <f t="shared" si="664"/>
        <v>0</v>
      </c>
      <c r="DX312" s="21">
        <f t="shared" si="664"/>
        <v>0</v>
      </c>
      <c r="DY312" s="21">
        <f t="shared" si="664"/>
        <v>0</v>
      </c>
      <c r="DZ312" s="21">
        <f t="shared" ref="DZ312:EG312" si="665">IF($F$290, 0, IF($E$295, IF(AND(COLUMN($DZ$312)-COLUMN($DZ$311)=$Q$291,ROW($DZ$312)-ROW($DZ$311)=$K$291), U$290, DZ312), DZ312))</f>
        <v>0</v>
      </c>
      <c r="EA312" s="21">
        <f t="shared" si="665"/>
        <v>0</v>
      </c>
      <c r="EB312" s="21">
        <f t="shared" si="665"/>
        <v>0</v>
      </c>
      <c r="EC312" s="21">
        <f t="shared" si="665"/>
        <v>0</v>
      </c>
      <c r="ED312" s="21">
        <f t="shared" si="665"/>
        <v>0</v>
      </c>
      <c r="EE312" s="21">
        <f t="shared" si="665"/>
        <v>0</v>
      </c>
      <c r="EF312" s="21">
        <f t="shared" si="665"/>
        <v>0</v>
      </c>
      <c r="EG312" s="21">
        <f t="shared" si="665"/>
        <v>0</v>
      </c>
      <c r="EH312" s="21">
        <f t="shared" ref="EH312:EO312" si="666">IF($F$290, 0, IF($E$295, IF(AND(COLUMN($EH$312)-COLUMN($DZ$311)=$Q$291,ROW($EH$312)-ROW($DZ$311)=$K$291), U$290, EH312), EH312))</f>
        <v>0</v>
      </c>
      <c r="EI312" s="21">
        <f t="shared" si="666"/>
        <v>0</v>
      </c>
      <c r="EJ312" s="21">
        <f t="shared" si="666"/>
        <v>0</v>
      </c>
      <c r="EK312" s="21">
        <f t="shared" si="666"/>
        <v>0</v>
      </c>
      <c r="EL312" s="21">
        <f t="shared" si="666"/>
        <v>0</v>
      </c>
      <c r="EM312" s="21">
        <f t="shared" si="666"/>
        <v>0</v>
      </c>
      <c r="EN312" s="21">
        <f t="shared" si="666"/>
        <v>0</v>
      </c>
      <c r="EO312" s="21">
        <f t="shared" si="666"/>
        <v>0</v>
      </c>
      <c r="EP312" s="21">
        <f t="shared" ref="EP312:EW312" si="667">IF($F$290, 0, IF($E$295, IF(AND(COLUMN($EP$312)-COLUMN($DZ$311)=$Q$291,ROW($EP$312)-ROW($DZ$311)=$K$291), U$290, EP312), EP312))</f>
        <v>0</v>
      </c>
      <c r="EQ312" s="21">
        <f t="shared" si="667"/>
        <v>0</v>
      </c>
      <c r="ER312" s="21">
        <f t="shared" si="667"/>
        <v>0</v>
      </c>
      <c r="ES312" s="21">
        <f t="shared" si="667"/>
        <v>0</v>
      </c>
      <c r="ET312" s="21">
        <f t="shared" si="667"/>
        <v>0</v>
      </c>
      <c r="EU312" s="21">
        <f t="shared" si="667"/>
        <v>0</v>
      </c>
      <c r="EV312" s="21">
        <f t="shared" si="667"/>
        <v>0</v>
      </c>
      <c r="EW312" s="21">
        <f t="shared" si="667"/>
        <v>0</v>
      </c>
      <c r="EX312" s="21">
        <f t="shared" ref="EX312:FE312" si="668">IF($F$290, 0, IF($E$295, IF(AND(COLUMN($EX$312)-COLUMN($DZ$311)=$Q$291,ROW($EX$312)-ROW($DZ$311)=$K$291), U$290, EX312), EX312))</f>
        <v>0</v>
      </c>
      <c r="EY312" s="21">
        <f t="shared" si="668"/>
        <v>0</v>
      </c>
      <c r="EZ312" s="21">
        <f t="shared" si="668"/>
        <v>0</v>
      </c>
      <c r="FA312" s="21">
        <f t="shared" si="668"/>
        <v>0</v>
      </c>
      <c r="FB312" s="21">
        <f t="shared" si="668"/>
        <v>0</v>
      </c>
      <c r="FC312" s="21">
        <f t="shared" si="668"/>
        <v>0</v>
      </c>
      <c r="FD312" s="21">
        <f t="shared" si="668"/>
        <v>0</v>
      </c>
      <c r="FE312" s="21">
        <f t="shared" si="668"/>
        <v>0</v>
      </c>
      <c r="FF312" s="21">
        <f t="shared" ref="FF312:FM312" si="669">IF($F$290, 0, IF($E$295, IF(AND(COLUMN($FF$312)-COLUMN($DZ$311)=$Q$291,ROW($FF$312)-ROW($DZ$311)=$K$291), U$290, FF312), FF312))</f>
        <v>0</v>
      </c>
      <c r="FG312" s="21">
        <f t="shared" si="669"/>
        <v>0</v>
      </c>
      <c r="FH312" s="21">
        <f t="shared" si="669"/>
        <v>0</v>
      </c>
      <c r="FI312" s="21">
        <f t="shared" si="669"/>
        <v>0</v>
      </c>
      <c r="FJ312" s="21">
        <f t="shared" si="669"/>
        <v>0</v>
      </c>
      <c r="FK312" s="21">
        <f t="shared" si="669"/>
        <v>0</v>
      </c>
      <c r="FL312" s="21">
        <f t="shared" si="669"/>
        <v>0</v>
      </c>
      <c r="FM312" s="21">
        <f t="shared" si="669"/>
        <v>0</v>
      </c>
      <c r="FN312" s="21">
        <f t="shared" ref="FN312:FU312" si="670">IF($F$290, 0, IF($E$295, IF(AND(COLUMN($FN$312)-COLUMN($DZ$311)=$Q$291,ROW($FN$312)-ROW($DZ$311)=$K$291), U$290, FN312), FN312))</f>
        <v>0</v>
      </c>
      <c r="FO312" s="21">
        <f t="shared" si="670"/>
        <v>0</v>
      </c>
      <c r="FP312" s="21">
        <f t="shared" si="670"/>
        <v>0</v>
      </c>
      <c r="FQ312" s="21">
        <f t="shared" si="670"/>
        <v>0</v>
      </c>
      <c r="FR312" s="21">
        <f t="shared" si="670"/>
        <v>0</v>
      </c>
      <c r="FS312" s="21">
        <f t="shared" si="670"/>
        <v>0</v>
      </c>
      <c r="FT312" s="21">
        <f t="shared" si="670"/>
        <v>0</v>
      </c>
      <c r="FU312" s="21">
        <f t="shared" si="670"/>
        <v>0</v>
      </c>
      <c r="FV312" s="21">
        <f t="shared" ref="FV312:GC312" si="671">IF($F$290, 0, IF($E$295, IF(AND(COLUMN($FV$312)-COLUMN($DZ$311)=$Q$291,ROW($FV$312)-ROW($DZ$311)=$K$291), U$290, FV312), FV312))</f>
        <v>0</v>
      </c>
      <c r="FW312" s="21">
        <f t="shared" si="671"/>
        <v>0</v>
      </c>
      <c r="FX312" s="21">
        <f t="shared" si="671"/>
        <v>0</v>
      </c>
      <c r="FY312" s="21">
        <f t="shared" si="671"/>
        <v>0</v>
      </c>
      <c r="FZ312" s="21">
        <f t="shared" si="671"/>
        <v>0</v>
      </c>
      <c r="GA312" s="21">
        <f t="shared" si="671"/>
        <v>0</v>
      </c>
      <c r="GB312" s="21">
        <f t="shared" si="671"/>
        <v>0</v>
      </c>
      <c r="GC312" s="21">
        <f t="shared" si="671"/>
        <v>0</v>
      </c>
      <c r="GD312" s="21">
        <f t="shared" ref="GD312:GK312" si="672">IF($F$290, 0, IF($E$295, IF(AND(COLUMN($GD$312)-COLUMN($DZ$311)=$Q$291,ROW($GD$312)-ROW($DZ$311)=$K$291), U$290, GD312), GD312))</f>
        <v>0</v>
      </c>
      <c r="GE312" s="21">
        <f t="shared" si="672"/>
        <v>0</v>
      </c>
      <c r="GF312" s="21">
        <f t="shared" si="672"/>
        <v>0</v>
      </c>
      <c r="GG312" s="21">
        <f t="shared" si="672"/>
        <v>0</v>
      </c>
      <c r="GH312" s="21">
        <f t="shared" si="672"/>
        <v>0</v>
      </c>
      <c r="GI312" s="21">
        <f t="shared" si="672"/>
        <v>0</v>
      </c>
      <c r="GJ312" s="21">
        <f t="shared" si="672"/>
        <v>0</v>
      </c>
      <c r="GK312" s="21">
        <f t="shared" si="672"/>
        <v>0</v>
      </c>
      <c r="GL312" s="21">
        <f t="shared" ref="GL312:GS312" si="673">IF($F$290, 0, IF($F$295, IF(AND(COLUMN($GL$312)-COLUMN($GL$311)=$Q$291,ROW($GL$312)-ROW($GL$311)=$K$291), U$290, GL312), GL312))</f>
        <v>0</v>
      </c>
      <c r="GM312" s="21">
        <f t="shared" si="673"/>
        <v>0</v>
      </c>
      <c r="GN312" s="21">
        <f t="shared" si="673"/>
        <v>0</v>
      </c>
      <c r="GO312" s="21">
        <f t="shared" si="673"/>
        <v>0</v>
      </c>
      <c r="GP312" s="21">
        <f t="shared" si="673"/>
        <v>0</v>
      </c>
      <c r="GQ312" s="21">
        <f t="shared" si="673"/>
        <v>0</v>
      </c>
      <c r="GR312" s="21">
        <f t="shared" si="673"/>
        <v>0</v>
      </c>
      <c r="GS312" s="21">
        <f t="shared" si="673"/>
        <v>0</v>
      </c>
      <c r="GT312" s="21">
        <f t="shared" ref="GT312:HA312" si="674">IF($F$290, 0, IF($F$295, IF(AND(COLUMN($GT$312)-COLUMN($GL$311)=$Q$291,ROW($GT$312)-ROW($GL$311)=$K$291), U$290, GT312), GT312))</f>
        <v>0</v>
      </c>
      <c r="GU312" s="21">
        <f t="shared" si="674"/>
        <v>0</v>
      </c>
      <c r="GV312" s="21">
        <f t="shared" si="674"/>
        <v>0</v>
      </c>
      <c r="GW312" s="21">
        <f t="shared" si="674"/>
        <v>0</v>
      </c>
      <c r="GX312" s="21">
        <f t="shared" si="674"/>
        <v>0</v>
      </c>
      <c r="GY312" s="21">
        <f t="shared" si="674"/>
        <v>0</v>
      </c>
      <c r="GZ312" s="21">
        <f t="shared" si="674"/>
        <v>0</v>
      </c>
      <c r="HA312" s="21">
        <f t="shared" si="674"/>
        <v>0</v>
      </c>
      <c r="HB312" s="21">
        <f t="shared" ref="HB312:HI312" si="675">IF($F$290, 0, IF($F$295, IF(AND(COLUMN($HB$312)-COLUMN($GL$311)=$Q$291,ROW($HB$312)-ROW($GL$311)=$K$291), U$290, HB312), HB312))</f>
        <v>0</v>
      </c>
      <c r="HC312" s="21">
        <f t="shared" si="675"/>
        <v>0</v>
      </c>
      <c r="HD312" s="21">
        <f t="shared" si="675"/>
        <v>0</v>
      </c>
      <c r="HE312" s="21">
        <f t="shared" si="675"/>
        <v>0</v>
      </c>
      <c r="HF312" s="21">
        <f t="shared" si="675"/>
        <v>0</v>
      </c>
      <c r="HG312" s="21">
        <f t="shared" si="675"/>
        <v>0</v>
      </c>
      <c r="HH312" s="21">
        <f t="shared" si="675"/>
        <v>0</v>
      </c>
      <c r="HI312" s="21">
        <f t="shared" si="675"/>
        <v>0</v>
      </c>
      <c r="HJ312" s="21">
        <f t="shared" ref="HJ312:HQ312" si="676">IF($F$290, 0, IF($F$295, IF(AND(COLUMN($HJ$312)-COLUMN($GL$311)=$Q$291,ROW($HJ$312)-ROW($GL$311)=$K$291), U$290, HJ312), HJ312))</f>
        <v>0</v>
      </c>
      <c r="HK312" s="21">
        <f t="shared" si="676"/>
        <v>0</v>
      </c>
      <c r="HL312" s="21">
        <f t="shared" si="676"/>
        <v>0</v>
      </c>
      <c r="HM312" s="21">
        <f t="shared" si="676"/>
        <v>0</v>
      </c>
      <c r="HN312" s="21">
        <f t="shared" si="676"/>
        <v>0</v>
      </c>
      <c r="HO312" s="21">
        <f t="shared" si="676"/>
        <v>0</v>
      </c>
      <c r="HP312" s="21">
        <f t="shared" si="676"/>
        <v>0</v>
      </c>
      <c r="HQ312" s="21">
        <f t="shared" si="676"/>
        <v>0</v>
      </c>
      <c r="HR312" s="21">
        <f t="shared" ref="HR312:HY312" si="677">IF($F$290, 0, IF($F$295, IF(AND(COLUMN($HR$312)-COLUMN($GL$311)=$Q$291,ROW($HR$312)-ROW($GL$311)=$K$291), U$290, HR312), HR312))</f>
        <v>0</v>
      </c>
      <c r="HS312" s="21">
        <f t="shared" si="677"/>
        <v>0</v>
      </c>
      <c r="HT312" s="21">
        <f t="shared" si="677"/>
        <v>0</v>
      </c>
      <c r="HU312" s="21">
        <f t="shared" si="677"/>
        <v>0</v>
      </c>
      <c r="HV312" s="21">
        <f t="shared" si="677"/>
        <v>0</v>
      </c>
      <c r="HW312" s="21">
        <f t="shared" si="677"/>
        <v>0</v>
      </c>
      <c r="HX312" s="21">
        <f t="shared" si="677"/>
        <v>0</v>
      </c>
      <c r="HY312" s="21">
        <f t="shared" si="677"/>
        <v>0</v>
      </c>
      <c r="HZ312" s="21">
        <f t="shared" ref="HZ312:IG312" si="678">IF($F$290, 0, IF($F$295, IF(AND(COLUMN($HZ$312)-COLUMN($GL$311)=$Q$291,ROW($HZ$312)-ROW($GL$311)=$K$291), U$290, HZ312), HZ312))</f>
        <v>0</v>
      </c>
      <c r="IA312" s="21">
        <f t="shared" si="678"/>
        <v>0</v>
      </c>
      <c r="IB312" s="21">
        <f t="shared" si="678"/>
        <v>0</v>
      </c>
      <c r="IC312" s="21">
        <f t="shared" si="678"/>
        <v>0</v>
      </c>
      <c r="ID312" s="21">
        <f t="shared" si="678"/>
        <v>0</v>
      </c>
      <c r="IE312" s="21">
        <f t="shared" si="678"/>
        <v>0</v>
      </c>
      <c r="IF312" s="21">
        <f t="shared" si="678"/>
        <v>0</v>
      </c>
      <c r="IG312" s="21">
        <f t="shared" si="678"/>
        <v>0</v>
      </c>
      <c r="IH312" s="21">
        <f t="shared" ref="IH312:IO312" si="679">IF($F$290, 0, IF($F$295, IF(AND(COLUMN($IH$312)-COLUMN($GL$311)=$Q$291,ROW($IH$312)-ROW($GL$311)=$K$291), U$290, IH312), IH312))</f>
        <v>0</v>
      </c>
      <c r="II312" s="21">
        <f t="shared" si="679"/>
        <v>0</v>
      </c>
      <c r="IJ312" s="21">
        <f t="shared" si="679"/>
        <v>0</v>
      </c>
      <c r="IK312" s="21">
        <f t="shared" si="679"/>
        <v>0</v>
      </c>
      <c r="IL312" s="21">
        <f t="shared" si="679"/>
        <v>0</v>
      </c>
      <c r="IM312" s="21">
        <f t="shared" si="679"/>
        <v>0</v>
      </c>
      <c r="IN312" s="21">
        <f t="shared" si="679"/>
        <v>0</v>
      </c>
      <c r="IO312" s="21">
        <f t="shared" si="679"/>
        <v>0</v>
      </c>
      <c r="IP312" s="21">
        <f t="shared" ref="IP312:IW312" si="680">IF($F$290, 0, IF($F$295, IF(AND(COLUMN($IP$312)-COLUMN($GL$311)=$Q$291,ROW($IP$312)-ROW($GL$311)=$K$291), U$290, IP312), IP312))</f>
        <v>0</v>
      </c>
      <c r="IQ312" s="21">
        <f t="shared" si="680"/>
        <v>0</v>
      </c>
      <c r="IR312" s="21">
        <f t="shared" si="680"/>
        <v>0</v>
      </c>
      <c r="IS312" s="21">
        <f t="shared" si="680"/>
        <v>0</v>
      </c>
      <c r="IT312" s="21">
        <f t="shared" si="680"/>
        <v>0</v>
      </c>
      <c r="IU312" s="21">
        <f t="shared" si="680"/>
        <v>0</v>
      </c>
      <c r="IV312" s="21">
        <f t="shared" si="680"/>
        <v>0</v>
      </c>
      <c r="IW312" s="21">
        <f t="shared" si="680"/>
        <v>0</v>
      </c>
      <c r="IX312" s="21">
        <f t="shared" ref="IX312:JE312" si="681">IF($F$290, 0, IF($G$295, IF(AND(COLUMN($IX$312)-COLUMN($IX$311)=$Q$291,ROW($IX$312)-ROW($IX$311)=$K$291), U$290, IX312), IX312))</f>
        <v>0</v>
      </c>
      <c r="IY312" s="21">
        <f t="shared" si="681"/>
        <v>0</v>
      </c>
      <c r="IZ312" s="21">
        <f t="shared" si="681"/>
        <v>0</v>
      </c>
      <c r="JA312" s="21">
        <f t="shared" si="681"/>
        <v>0</v>
      </c>
      <c r="JB312" s="21">
        <f t="shared" si="681"/>
        <v>0</v>
      </c>
      <c r="JC312" s="21">
        <f t="shared" si="681"/>
        <v>0</v>
      </c>
      <c r="JD312" s="21">
        <f t="shared" si="681"/>
        <v>0</v>
      </c>
      <c r="JE312" s="21">
        <f t="shared" si="681"/>
        <v>0</v>
      </c>
      <c r="JF312" s="21">
        <f t="shared" ref="JF312:JM312" si="682">IF($F$290, 0, IF($G$295, IF(AND(COLUMN($JF$312)-COLUMN($IX$311)=$Q$291,ROW($JF$312)-ROW($IX$311)=$K$291), U$290, JF312), JF312))</f>
        <v>0</v>
      </c>
      <c r="JG312" s="21">
        <f t="shared" si="682"/>
        <v>0</v>
      </c>
      <c r="JH312" s="21">
        <f t="shared" si="682"/>
        <v>0</v>
      </c>
      <c r="JI312" s="21">
        <f t="shared" si="682"/>
        <v>0</v>
      </c>
      <c r="JJ312" s="21">
        <f t="shared" si="682"/>
        <v>0</v>
      </c>
      <c r="JK312" s="21">
        <f t="shared" si="682"/>
        <v>0</v>
      </c>
      <c r="JL312" s="21">
        <f t="shared" si="682"/>
        <v>0</v>
      </c>
      <c r="JM312" s="21">
        <f t="shared" si="682"/>
        <v>0</v>
      </c>
      <c r="JN312" s="21">
        <f t="shared" ref="JN312:JU312" si="683">IF($F$290, 0, IF($G$295, IF(AND(COLUMN($JN$312)-COLUMN($IX$311)=$Q$291,ROW($JN$312)-ROW($IX$311)=$K$291), U$290, JN312), JN312))</f>
        <v>0</v>
      </c>
      <c r="JO312" s="21">
        <f t="shared" si="683"/>
        <v>0</v>
      </c>
      <c r="JP312" s="21">
        <f t="shared" si="683"/>
        <v>0</v>
      </c>
      <c r="JQ312" s="21">
        <f t="shared" si="683"/>
        <v>0</v>
      </c>
      <c r="JR312" s="21">
        <f t="shared" si="683"/>
        <v>0</v>
      </c>
      <c r="JS312" s="21">
        <f t="shared" si="683"/>
        <v>0</v>
      </c>
      <c r="JT312" s="21">
        <f t="shared" si="683"/>
        <v>0</v>
      </c>
      <c r="JU312" s="21">
        <f t="shared" si="683"/>
        <v>0</v>
      </c>
      <c r="JV312" s="21">
        <f t="shared" ref="JV312:KC312" si="684">IF($F$290, 0, IF($G$295, IF(AND(COLUMN($JV$312)-COLUMN($IX$311)=$Q$291,ROW($JV$312)-ROW($IX$311)=$K$291), U$290, JV312), JV312))</f>
        <v>0</v>
      </c>
      <c r="JW312" s="21">
        <f t="shared" si="684"/>
        <v>0</v>
      </c>
      <c r="JX312" s="21">
        <f t="shared" si="684"/>
        <v>0</v>
      </c>
      <c r="JY312" s="21">
        <f t="shared" si="684"/>
        <v>0</v>
      </c>
      <c r="JZ312" s="21">
        <f t="shared" si="684"/>
        <v>0</v>
      </c>
      <c r="KA312" s="21">
        <f t="shared" si="684"/>
        <v>0</v>
      </c>
      <c r="KB312" s="21">
        <f t="shared" si="684"/>
        <v>0</v>
      </c>
      <c r="KC312" s="21">
        <f t="shared" si="684"/>
        <v>0</v>
      </c>
      <c r="KD312" s="21">
        <f t="shared" ref="KD312:KK312" si="685">IF($F$290, 0, IF($G$295, IF(AND(COLUMN($KD$312)-COLUMN($IX$311)=$Q$291,ROW($KD$312)-ROW($IX$311)=$K$291), U$290, KD312), KD312))</f>
        <v>0</v>
      </c>
      <c r="KE312" s="21">
        <f t="shared" si="685"/>
        <v>0</v>
      </c>
      <c r="KF312" s="21">
        <f t="shared" si="685"/>
        <v>0</v>
      </c>
      <c r="KG312" s="21">
        <f t="shared" si="685"/>
        <v>0</v>
      </c>
      <c r="KH312" s="21">
        <f t="shared" si="685"/>
        <v>0</v>
      </c>
      <c r="KI312" s="21">
        <f t="shared" si="685"/>
        <v>0</v>
      </c>
      <c r="KJ312" s="21">
        <f t="shared" si="685"/>
        <v>0</v>
      </c>
      <c r="KK312" s="21">
        <f t="shared" si="685"/>
        <v>0</v>
      </c>
      <c r="KL312" s="21">
        <f t="shared" ref="KL312:KS312" si="686">IF($F$290, 0, IF($G$295, IF(AND(COLUMN($KL$312)-COLUMN($IX$311)=$Q$291,ROW($KL$312)-ROW($IX$311)=$K$291), U$290, KL312), KL312))</f>
        <v>0</v>
      </c>
      <c r="KM312" s="21">
        <f t="shared" si="686"/>
        <v>0</v>
      </c>
      <c r="KN312" s="21">
        <f t="shared" si="686"/>
        <v>0</v>
      </c>
      <c r="KO312" s="21">
        <f t="shared" si="686"/>
        <v>0</v>
      </c>
      <c r="KP312" s="21">
        <f t="shared" si="686"/>
        <v>0</v>
      </c>
      <c r="KQ312" s="21">
        <f t="shared" si="686"/>
        <v>0</v>
      </c>
      <c r="KR312" s="21">
        <f t="shared" si="686"/>
        <v>0</v>
      </c>
      <c r="KS312" s="21">
        <f t="shared" si="686"/>
        <v>0</v>
      </c>
      <c r="KT312" s="21">
        <f t="shared" ref="KT312:LA312" si="687">IF($F$290, 0, IF($G$295, IF(AND(COLUMN($KT$312)-COLUMN($IX$311)=$Q$291,ROW($KT$312)-ROW($IX$311)=$K$291), U$290, KT312), KT312))</f>
        <v>0</v>
      </c>
      <c r="KU312" s="21">
        <f t="shared" si="687"/>
        <v>0</v>
      </c>
      <c r="KV312" s="21">
        <f t="shared" si="687"/>
        <v>0</v>
      </c>
      <c r="KW312" s="21">
        <f t="shared" si="687"/>
        <v>0</v>
      </c>
      <c r="KX312" s="21">
        <f t="shared" si="687"/>
        <v>0</v>
      </c>
      <c r="KY312" s="21">
        <f t="shared" si="687"/>
        <v>0</v>
      </c>
      <c r="KZ312" s="21">
        <f t="shared" si="687"/>
        <v>0</v>
      </c>
      <c r="LA312" s="21">
        <f t="shared" si="687"/>
        <v>0</v>
      </c>
      <c r="LB312" s="21">
        <f t="shared" ref="LB312:LI312" si="688">IF($F$290, 0, IF($G$295, IF(AND(COLUMN($LB$312)-COLUMN($IX$311)=$Q$291,ROW($LB$312)-ROW($IX$311)=$K$291), U$290, LB312), LB312))</f>
        <v>0</v>
      </c>
      <c r="LC312" s="21">
        <f t="shared" si="688"/>
        <v>0</v>
      </c>
      <c r="LD312" s="21">
        <f t="shared" si="688"/>
        <v>0</v>
      </c>
      <c r="LE312" s="21">
        <f t="shared" si="688"/>
        <v>0</v>
      </c>
      <c r="LF312" s="21">
        <f t="shared" si="688"/>
        <v>0</v>
      </c>
      <c r="LG312" s="21">
        <f t="shared" si="688"/>
        <v>0</v>
      </c>
      <c r="LH312" s="21">
        <f t="shared" si="688"/>
        <v>0</v>
      </c>
      <c r="LI312" s="21">
        <f t="shared" si="688"/>
        <v>0</v>
      </c>
      <c r="LJ312" s="21">
        <f t="shared" ref="LJ312:LQ312" si="689">IF($F$290, 0, IF($H$295, IF(AND(COLUMN($LJ$312)-COLUMN($LJ$311)=$Q$291,ROW($LJ$312)-ROW($LJ$311)=$K$291), U$290, LJ312), LJ312))</f>
        <v>0</v>
      </c>
      <c r="LK312" s="21">
        <f t="shared" si="689"/>
        <v>0</v>
      </c>
      <c r="LL312" s="21">
        <f t="shared" si="689"/>
        <v>0</v>
      </c>
      <c r="LM312" s="21">
        <f t="shared" si="689"/>
        <v>0</v>
      </c>
      <c r="LN312" s="21">
        <f t="shared" si="689"/>
        <v>0</v>
      </c>
      <c r="LO312" s="21">
        <f t="shared" si="689"/>
        <v>0</v>
      </c>
      <c r="LP312" s="21">
        <f t="shared" si="689"/>
        <v>0</v>
      </c>
      <c r="LQ312" s="21">
        <f t="shared" si="689"/>
        <v>0</v>
      </c>
      <c r="LR312" s="21">
        <f t="shared" ref="LR312:LY312" si="690">IF($F$290, 0, IF($H$295, IF(AND(COLUMN($LR$312)-COLUMN($LJ$311)=$Q$291,ROW($LR$312)-ROW($LJ$311)=$K$291), U$290, LR312), LR312))</f>
        <v>0</v>
      </c>
      <c r="LS312" s="21">
        <f t="shared" si="690"/>
        <v>0</v>
      </c>
      <c r="LT312" s="21">
        <f t="shared" si="690"/>
        <v>0</v>
      </c>
      <c r="LU312" s="21">
        <f t="shared" si="690"/>
        <v>0</v>
      </c>
      <c r="LV312" s="21">
        <f t="shared" si="690"/>
        <v>0</v>
      </c>
      <c r="LW312" s="21">
        <f t="shared" si="690"/>
        <v>0</v>
      </c>
      <c r="LX312" s="21">
        <f t="shared" si="690"/>
        <v>0</v>
      </c>
      <c r="LY312" s="21">
        <f t="shared" si="690"/>
        <v>0</v>
      </c>
      <c r="LZ312" s="21">
        <f t="shared" ref="LZ312:MG312" si="691">IF($F$290, 0, IF($H$295, IF(AND(COLUMN($LZ$312)-COLUMN($LJ$311)=$Q$291,ROW($LZ$312)-ROW($LJ$311)=$K$291), U$290, LZ312), LZ312))</f>
        <v>0</v>
      </c>
      <c r="MA312" s="21">
        <f t="shared" si="691"/>
        <v>0</v>
      </c>
      <c r="MB312" s="21">
        <f t="shared" si="691"/>
        <v>0</v>
      </c>
      <c r="MC312" s="21">
        <f t="shared" si="691"/>
        <v>0</v>
      </c>
      <c r="MD312" s="21">
        <f t="shared" si="691"/>
        <v>0</v>
      </c>
      <c r="ME312" s="21">
        <f t="shared" si="691"/>
        <v>0</v>
      </c>
      <c r="MF312" s="21">
        <f t="shared" si="691"/>
        <v>0</v>
      </c>
      <c r="MG312" s="21">
        <f t="shared" si="691"/>
        <v>0</v>
      </c>
      <c r="MH312" s="21">
        <f t="shared" ref="MH312:MO312" si="692">IF($F$290, 0, IF($H$295, IF(AND(COLUMN($MH$312)-COLUMN($LJ$311)=$Q$291,ROW($MH$312)-ROW($LJ$311)=$K$291), U$290, MH312), MH312))</f>
        <v>0</v>
      </c>
      <c r="MI312" s="21">
        <f t="shared" si="692"/>
        <v>0</v>
      </c>
      <c r="MJ312" s="21">
        <f t="shared" si="692"/>
        <v>0</v>
      </c>
      <c r="MK312" s="21">
        <f t="shared" si="692"/>
        <v>0</v>
      </c>
      <c r="ML312" s="21">
        <f t="shared" si="692"/>
        <v>0</v>
      </c>
      <c r="MM312" s="21">
        <f t="shared" si="692"/>
        <v>0</v>
      </c>
      <c r="MN312" s="21">
        <f t="shared" si="692"/>
        <v>0</v>
      </c>
      <c r="MO312" s="21">
        <f t="shared" si="692"/>
        <v>0</v>
      </c>
      <c r="MP312" s="21">
        <f t="shared" ref="MP312:MW312" si="693">IF($F$290, 0, IF($H$295, IF(AND(COLUMN($MP$312)-COLUMN($LJ$311)=$Q$291,ROW($MP$312)-ROW($LJ$311)=$K$291), U$290, MP312), MP312))</f>
        <v>0</v>
      </c>
      <c r="MQ312" s="21">
        <f t="shared" si="693"/>
        <v>0</v>
      </c>
      <c r="MR312" s="21">
        <f t="shared" si="693"/>
        <v>0</v>
      </c>
      <c r="MS312" s="21">
        <f t="shared" si="693"/>
        <v>0</v>
      </c>
      <c r="MT312" s="21">
        <f t="shared" si="693"/>
        <v>0</v>
      </c>
      <c r="MU312" s="21">
        <f t="shared" si="693"/>
        <v>0</v>
      </c>
      <c r="MV312" s="21">
        <f t="shared" si="693"/>
        <v>0</v>
      </c>
      <c r="MW312" s="21">
        <f t="shared" si="693"/>
        <v>0</v>
      </c>
      <c r="MX312" s="21">
        <f t="shared" ref="MX312:NE312" si="694">IF($F$290, 0, IF($H$295, IF(AND(COLUMN($MX$312)-COLUMN($LJ$311)=$Q$291,ROW($MX$312)-ROW($LJ$311)=$K$291), U$290, MX312), MX312))</f>
        <v>0</v>
      </c>
      <c r="MY312" s="21">
        <f t="shared" si="694"/>
        <v>0</v>
      </c>
      <c r="MZ312" s="21">
        <f t="shared" si="694"/>
        <v>0</v>
      </c>
      <c r="NA312" s="21">
        <f t="shared" si="694"/>
        <v>0</v>
      </c>
      <c r="NB312" s="21">
        <f t="shared" si="694"/>
        <v>0</v>
      </c>
      <c r="NC312" s="21">
        <f t="shared" si="694"/>
        <v>0</v>
      </c>
      <c r="ND312" s="21">
        <f t="shared" si="694"/>
        <v>0</v>
      </c>
      <c r="NE312" s="21">
        <f t="shared" si="694"/>
        <v>0</v>
      </c>
      <c r="NF312" s="21">
        <f t="shared" ref="NF312:NM312" si="695">IF($F$290, 0, IF($H$295, IF(AND(COLUMN($NF$312)-COLUMN($LJ$311)=$Q$291,ROW($NF$312)-ROW($LJ$311)=$K$291), U$290, NF312), NF312))</f>
        <v>0</v>
      </c>
      <c r="NG312" s="21">
        <f t="shared" si="695"/>
        <v>0</v>
      </c>
      <c r="NH312" s="21">
        <f t="shared" si="695"/>
        <v>0</v>
      </c>
      <c r="NI312" s="21">
        <f t="shared" si="695"/>
        <v>0</v>
      </c>
      <c r="NJ312" s="21">
        <f t="shared" si="695"/>
        <v>0</v>
      </c>
      <c r="NK312" s="21">
        <f t="shared" si="695"/>
        <v>0</v>
      </c>
      <c r="NL312" s="21">
        <f t="shared" si="695"/>
        <v>0</v>
      </c>
      <c r="NM312" s="21">
        <f t="shared" si="695"/>
        <v>0</v>
      </c>
      <c r="NN312" s="21">
        <f t="shared" ref="NN312:NU312" si="696">IF($F$290, 0, IF($H$295, IF(AND(COLUMN($NN$312)-COLUMN($LJ$311)=$Q$291,ROW($NN$312)-ROW($LJ$311)=$K$291), U$290, NN312), NN312))</f>
        <v>0</v>
      </c>
      <c r="NO312" s="21">
        <f t="shared" si="696"/>
        <v>0</v>
      </c>
      <c r="NP312" s="21">
        <f t="shared" si="696"/>
        <v>0</v>
      </c>
      <c r="NQ312" s="21">
        <f t="shared" si="696"/>
        <v>0</v>
      </c>
      <c r="NR312" s="21">
        <f t="shared" si="696"/>
        <v>0</v>
      </c>
      <c r="NS312" s="21">
        <f t="shared" si="696"/>
        <v>0</v>
      </c>
      <c r="NT312" s="21">
        <f t="shared" si="696"/>
        <v>0</v>
      </c>
      <c r="NU312" s="21">
        <f t="shared" si="696"/>
        <v>0</v>
      </c>
      <c r="NV312" s="21">
        <f t="shared" ref="NV312:OC312" si="697">IF($F$290, 0, IF($I$295, IF(AND(COLUMN($NV$312)-COLUMN($NV$311)=$Q$291,ROW($NV$312)-ROW($NV$311)=$K$291), U$290, NV312), NV312))</f>
        <v>0</v>
      </c>
      <c r="NW312" s="21">
        <f t="shared" si="697"/>
        <v>0</v>
      </c>
      <c r="NX312" s="21">
        <f t="shared" si="697"/>
        <v>0</v>
      </c>
      <c r="NY312" s="21">
        <f t="shared" si="697"/>
        <v>0</v>
      </c>
      <c r="NZ312" s="21">
        <f t="shared" si="697"/>
        <v>0</v>
      </c>
      <c r="OA312" s="21">
        <f t="shared" si="697"/>
        <v>0</v>
      </c>
      <c r="OB312" s="21">
        <f t="shared" si="697"/>
        <v>0</v>
      </c>
      <c r="OC312" s="21">
        <f t="shared" si="697"/>
        <v>0</v>
      </c>
      <c r="OD312" s="21">
        <f t="shared" ref="OD312:OK312" si="698">IF($F$290, 0, IF($I$295, IF(AND(COLUMN($OD$312)-COLUMN($NV$311)=$Q$291,ROW($OD$312)-ROW($NV$311)=$K$291), U$290, OD312), OD312))</f>
        <v>0</v>
      </c>
      <c r="OE312" s="21">
        <f t="shared" si="698"/>
        <v>0</v>
      </c>
      <c r="OF312" s="21">
        <f t="shared" si="698"/>
        <v>0</v>
      </c>
      <c r="OG312" s="21">
        <f t="shared" si="698"/>
        <v>0</v>
      </c>
      <c r="OH312" s="21">
        <f t="shared" si="698"/>
        <v>0</v>
      </c>
      <c r="OI312" s="21">
        <f t="shared" si="698"/>
        <v>0</v>
      </c>
      <c r="OJ312" s="21">
        <f t="shared" si="698"/>
        <v>0</v>
      </c>
      <c r="OK312" s="21">
        <f t="shared" si="698"/>
        <v>0</v>
      </c>
      <c r="OL312" s="21">
        <f t="shared" ref="OL312:OS312" si="699">IF($F$290, 0, IF($I$295, IF(AND(COLUMN($OL$312)-COLUMN($NV$311)=$Q$291,ROW($OL$312)-ROW($NV$311)=$K$291), U$290, OL312), OL312))</f>
        <v>0</v>
      </c>
      <c r="OM312" s="21">
        <f t="shared" si="699"/>
        <v>0</v>
      </c>
      <c r="ON312" s="21">
        <f t="shared" si="699"/>
        <v>0</v>
      </c>
      <c r="OO312" s="21">
        <f t="shared" si="699"/>
        <v>0</v>
      </c>
      <c r="OP312" s="21">
        <f t="shared" si="699"/>
        <v>0</v>
      </c>
      <c r="OQ312" s="21">
        <f t="shared" si="699"/>
        <v>0</v>
      </c>
      <c r="OR312" s="21">
        <f t="shared" si="699"/>
        <v>0</v>
      </c>
      <c r="OS312" s="21">
        <f t="shared" si="699"/>
        <v>0</v>
      </c>
      <c r="OT312" s="21">
        <f t="shared" ref="OT312:PA312" si="700">IF($F$290, 0, IF($I$295, IF(AND(COLUMN($OT$312)-COLUMN($NV$311)=$Q$291,ROW($OT$312)-ROW($NV$311)=$K$291), U$290, OT312), OT312))</f>
        <v>0</v>
      </c>
      <c r="OU312" s="21">
        <f t="shared" si="700"/>
        <v>0</v>
      </c>
      <c r="OV312" s="21">
        <f t="shared" si="700"/>
        <v>0</v>
      </c>
      <c r="OW312" s="21">
        <f t="shared" si="700"/>
        <v>0</v>
      </c>
      <c r="OX312" s="21">
        <f t="shared" si="700"/>
        <v>0</v>
      </c>
      <c r="OY312" s="21">
        <f t="shared" si="700"/>
        <v>0</v>
      </c>
      <c r="OZ312" s="21">
        <f t="shared" si="700"/>
        <v>0</v>
      </c>
      <c r="PA312" s="21">
        <f t="shared" si="700"/>
        <v>0</v>
      </c>
      <c r="PB312" s="21">
        <f t="shared" ref="PB312:PI312" si="701">IF($F$290, 0, IF($I$295, IF(AND(COLUMN($PB$312)-COLUMN($NV$311)=$Q$291,ROW($PB$312)-ROW($NV$311)=$K$291), U$290, PB312), PB312))</f>
        <v>0</v>
      </c>
      <c r="PC312" s="21">
        <f t="shared" si="701"/>
        <v>0</v>
      </c>
      <c r="PD312" s="21">
        <f t="shared" si="701"/>
        <v>0</v>
      </c>
      <c r="PE312" s="21">
        <f t="shared" si="701"/>
        <v>0</v>
      </c>
      <c r="PF312" s="21">
        <f t="shared" si="701"/>
        <v>0</v>
      </c>
      <c r="PG312" s="21">
        <f t="shared" si="701"/>
        <v>0</v>
      </c>
      <c r="PH312" s="21">
        <f t="shared" si="701"/>
        <v>0</v>
      </c>
      <c r="PI312" s="21">
        <f t="shared" si="701"/>
        <v>0</v>
      </c>
      <c r="PJ312" s="21">
        <f t="shared" ref="PJ312:PQ312" si="702">IF($F$290, 0, IF($I$295, IF(AND(COLUMN($PJ$312)-COLUMN($NV$311)=$Q$291,ROW($PJ$312)-ROW($NV$311)=$K$291), U$290, PJ312), PJ312))</f>
        <v>0</v>
      </c>
      <c r="PK312" s="21">
        <f t="shared" si="702"/>
        <v>0</v>
      </c>
      <c r="PL312" s="21">
        <f t="shared" si="702"/>
        <v>0</v>
      </c>
      <c r="PM312" s="21">
        <f t="shared" si="702"/>
        <v>0</v>
      </c>
      <c r="PN312" s="21">
        <f t="shared" si="702"/>
        <v>0</v>
      </c>
      <c r="PO312" s="21">
        <f t="shared" si="702"/>
        <v>0</v>
      </c>
      <c r="PP312" s="21">
        <f t="shared" si="702"/>
        <v>0</v>
      </c>
      <c r="PQ312" s="21">
        <f t="shared" si="702"/>
        <v>0</v>
      </c>
      <c r="PR312" s="21">
        <f t="shared" ref="PR312:PY312" si="703">IF($F$290, 0, IF($I$295, IF(AND(COLUMN($PR$312)-COLUMN($NV$311)=$Q$291,ROW($PR$312)-ROW($NV$311)=$K$291), U$290, PR312), PR312))</f>
        <v>0</v>
      </c>
      <c r="PS312" s="21">
        <f t="shared" si="703"/>
        <v>0</v>
      </c>
      <c r="PT312" s="21">
        <f t="shared" si="703"/>
        <v>0</v>
      </c>
      <c r="PU312" s="21">
        <f t="shared" si="703"/>
        <v>0</v>
      </c>
      <c r="PV312" s="21">
        <f t="shared" si="703"/>
        <v>0</v>
      </c>
      <c r="PW312" s="21">
        <f t="shared" si="703"/>
        <v>0</v>
      </c>
      <c r="PX312" s="21">
        <f t="shared" si="703"/>
        <v>0</v>
      </c>
      <c r="PY312" s="21">
        <f t="shared" si="703"/>
        <v>0</v>
      </c>
      <c r="PZ312" s="21">
        <f t="shared" ref="PZ312:QG312" si="704">IF($F$290, 0, IF($I$295, IF(AND(COLUMN($PZ$312)-COLUMN($NV$311)=$Q$291,ROW($PZ$312)-ROW($NV$311)=$K$291), U$290, PZ312), PZ312))</f>
        <v>0</v>
      </c>
      <c r="QA312" s="21">
        <f t="shared" si="704"/>
        <v>0</v>
      </c>
      <c r="QB312" s="21">
        <f t="shared" si="704"/>
        <v>0</v>
      </c>
      <c r="QC312" s="21">
        <f t="shared" si="704"/>
        <v>0</v>
      </c>
      <c r="QD312" s="21">
        <f t="shared" si="704"/>
        <v>0</v>
      </c>
      <c r="QE312" s="21">
        <f t="shared" si="704"/>
        <v>0</v>
      </c>
      <c r="QF312" s="21">
        <f t="shared" si="704"/>
        <v>0</v>
      </c>
      <c r="QG312" s="21">
        <f t="shared" si="704"/>
        <v>0</v>
      </c>
      <c r="QH312" s="21">
        <f t="shared" ref="QH312:QO312" si="705">IF($F$290, 0, IF($J$295, IF(AND(COLUMN($QH$312)-COLUMN($QH$311)=$Q$291,ROW($QH$312)-ROW($QH$311)=$K$291), U$290, QH312), QH312))</f>
        <v>0</v>
      </c>
      <c r="QI312" s="21">
        <f t="shared" si="705"/>
        <v>0</v>
      </c>
      <c r="QJ312" s="21">
        <f t="shared" si="705"/>
        <v>0</v>
      </c>
      <c r="QK312" s="21">
        <f t="shared" si="705"/>
        <v>0</v>
      </c>
      <c r="QL312" s="21">
        <f t="shared" si="705"/>
        <v>0</v>
      </c>
      <c r="QM312" s="21">
        <f t="shared" si="705"/>
        <v>0</v>
      </c>
      <c r="QN312" s="21">
        <f t="shared" si="705"/>
        <v>0</v>
      </c>
      <c r="QO312" s="21">
        <f t="shared" si="705"/>
        <v>0</v>
      </c>
      <c r="QP312" s="21">
        <f t="shared" ref="QP312:QW312" si="706">IF($F$290, 0, IF($J$295, IF(AND(COLUMN($QP$312)-COLUMN($QH$311)=$Q$291,ROW($QP$312)-ROW($QH$311)=$K$291), U$290, QP312), QP312))</f>
        <v>0</v>
      </c>
      <c r="QQ312" s="21">
        <f t="shared" si="706"/>
        <v>0</v>
      </c>
      <c r="QR312" s="21">
        <f t="shared" si="706"/>
        <v>0</v>
      </c>
      <c r="QS312" s="21">
        <f t="shared" si="706"/>
        <v>0</v>
      </c>
      <c r="QT312" s="21">
        <f t="shared" si="706"/>
        <v>0</v>
      </c>
      <c r="QU312" s="21">
        <f t="shared" si="706"/>
        <v>0</v>
      </c>
      <c r="QV312" s="21">
        <f t="shared" si="706"/>
        <v>0</v>
      </c>
      <c r="QW312" s="21">
        <f t="shared" si="706"/>
        <v>0</v>
      </c>
      <c r="QX312" s="21">
        <f t="shared" ref="QX312:RE312" si="707">IF($F$290, 0, IF($J$295, IF(AND(COLUMN($QX$312)-COLUMN($QH$311)=$Q$291,ROW($QX$312)-ROW($QH$311)=$K$291), U$290, QX312), QX312))</f>
        <v>0</v>
      </c>
      <c r="QY312" s="21">
        <f t="shared" si="707"/>
        <v>0</v>
      </c>
      <c r="QZ312" s="21">
        <f t="shared" si="707"/>
        <v>0</v>
      </c>
      <c r="RA312" s="21">
        <f t="shared" si="707"/>
        <v>0</v>
      </c>
      <c r="RB312" s="21">
        <f t="shared" si="707"/>
        <v>0</v>
      </c>
      <c r="RC312" s="21">
        <f t="shared" si="707"/>
        <v>0</v>
      </c>
      <c r="RD312" s="21">
        <f t="shared" si="707"/>
        <v>0</v>
      </c>
      <c r="RE312" s="21">
        <f t="shared" si="707"/>
        <v>0</v>
      </c>
      <c r="RF312" s="21">
        <f t="shared" ref="RF312:RM312" si="708">IF($F$290, 0, IF($J$295, IF(AND(COLUMN($RF$312)-COLUMN($QH$311)=$Q$291,ROW($RF$312)-ROW($QH$311)=$K$291), U$290, RF312), RF312))</f>
        <v>0</v>
      </c>
      <c r="RG312" s="21">
        <f t="shared" si="708"/>
        <v>0</v>
      </c>
      <c r="RH312" s="21">
        <f t="shared" si="708"/>
        <v>0</v>
      </c>
      <c r="RI312" s="21">
        <f t="shared" si="708"/>
        <v>0</v>
      </c>
      <c r="RJ312" s="21">
        <f t="shared" si="708"/>
        <v>0</v>
      </c>
      <c r="RK312" s="21">
        <f t="shared" si="708"/>
        <v>0</v>
      </c>
      <c r="RL312" s="21">
        <f t="shared" si="708"/>
        <v>0</v>
      </c>
      <c r="RM312" s="21">
        <f t="shared" si="708"/>
        <v>0</v>
      </c>
      <c r="RN312" s="21">
        <f t="shared" ref="RN312:RU312" si="709">IF($F$290, 0, IF($J$295, IF(AND(COLUMN($RN$312)-COLUMN($QH$311)=$Q$291,ROW($RN$312)-ROW($QH$311)=$K$291), U$290, RN312), RN312))</f>
        <v>0</v>
      </c>
      <c r="RO312" s="21">
        <f t="shared" si="709"/>
        <v>0</v>
      </c>
      <c r="RP312" s="21">
        <f t="shared" si="709"/>
        <v>0</v>
      </c>
      <c r="RQ312" s="21">
        <f t="shared" si="709"/>
        <v>0</v>
      </c>
      <c r="RR312" s="21">
        <f t="shared" si="709"/>
        <v>0</v>
      </c>
      <c r="RS312" s="21">
        <f t="shared" si="709"/>
        <v>0</v>
      </c>
      <c r="RT312" s="21">
        <f t="shared" si="709"/>
        <v>0</v>
      </c>
      <c r="RU312" s="21">
        <f t="shared" si="709"/>
        <v>0</v>
      </c>
      <c r="RV312" s="21">
        <f t="shared" ref="RV312:SC312" si="710">IF($F$290, 0, IF($J$295, IF(AND(COLUMN($RV$312)-COLUMN($QH$311)=$Q$291,ROW($RV$312)-ROW($QH$311)=$K$291), U$290, RV312), RV312))</f>
        <v>0</v>
      </c>
      <c r="RW312" s="21">
        <f t="shared" si="710"/>
        <v>0</v>
      </c>
      <c r="RX312" s="21">
        <f t="shared" si="710"/>
        <v>0</v>
      </c>
      <c r="RY312" s="21">
        <f t="shared" si="710"/>
        <v>0</v>
      </c>
      <c r="RZ312" s="21">
        <f t="shared" si="710"/>
        <v>0</v>
      </c>
      <c r="SA312" s="21">
        <f t="shared" si="710"/>
        <v>0</v>
      </c>
      <c r="SB312" s="21">
        <f t="shared" si="710"/>
        <v>0</v>
      </c>
      <c r="SC312" s="21">
        <f t="shared" si="710"/>
        <v>0</v>
      </c>
      <c r="SD312" s="21">
        <f t="shared" ref="SD312:SK312" si="711">IF($F$290, 0, IF($J$295, IF(AND(COLUMN($SD$312)-COLUMN($QH$311)=$Q$291,ROW($SD$312)-ROW($QH$311)=$K$291), U$290, SD312), SD312))</f>
        <v>0</v>
      </c>
      <c r="SE312" s="21">
        <f t="shared" si="711"/>
        <v>0</v>
      </c>
      <c r="SF312" s="21">
        <f t="shared" si="711"/>
        <v>0</v>
      </c>
      <c r="SG312" s="21">
        <f t="shared" si="711"/>
        <v>0</v>
      </c>
      <c r="SH312" s="21">
        <f t="shared" si="711"/>
        <v>0</v>
      </c>
      <c r="SI312" s="21">
        <f t="shared" si="711"/>
        <v>0</v>
      </c>
      <c r="SJ312" s="21">
        <f t="shared" si="711"/>
        <v>0</v>
      </c>
      <c r="SK312" s="21">
        <f t="shared" si="711"/>
        <v>0</v>
      </c>
      <c r="SL312" s="21">
        <f t="shared" ref="SL312:SS312" si="712">IF($F$290, 0, IF($J$295, IF(AND(COLUMN($SL$312)-COLUMN($QH$311)=$Q$291,ROW($SL$312)-ROW($QH$311)=$K$291), U$290, SL312), SL312))</f>
        <v>0</v>
      </c>
      <c r="SM312" s="21">
        <f t="shared" si="712"/>
        <v>0</v>
      </c>
      <c r="SN312" s="21">
        <f t="shared" si="712"/>
        <v>0</v>
      </c>
      <c r="SO312" s="21">
        <f t="shared" si="712"/>
        <v>0</v>
      </c>
      <c r="SP312" s="21">
        <f t="shared" si="712"/>
        <v>0</v>
      </c>
      <c r="SQ312" s="21">
        <f t="shared" si="712"/>
        <v>0</v>
      </c>
      <c r="SR312" s="21">
        <f t="shared" si="712"/>
        <v>0</v>
      </c>
      <c r="SS312" s="21">
        <f t="shared" si="712"/>
        <v>0</v>
      </c>
    </row>
    <row r="313" spans="2:513" ht="15" customHeight="1" x14ac:dyDescent="0.25">
      <c r="B313" s="21">
        <f t="shared" ref="B313:I313" si="713">IF($F$290, 0, IF($C$295, IF(AND(COLUMN($B$313)-COLUMN($B$311)=$Q$291,ROW($B$313)-ROW($B$311)=$K$291), U$290, B313), B313))</f>
        <v>0</v>
      </c>
      <c r="C313" s="21">
        <f t="shared" si="713"/>
        <v>0</v>
      </c>
      <c r="D313" s="21">
        <f t="shared" si="713"/>
        <v>0</v>
      </c>
      <c r="E313" s="21">
        <f t="shared" si="713"/>
        <v>0</v>
      </c>
      <c r="F313" s="21">
        <f t="shared" si="713"/>
        <v>0</v>
      </c>
      <c r="G313" s="21">
        <f t="shared" si="713"/>
        <v>0</v>
      </c>
      <c r="H313" s="21">
        <f t="shared" si="713"/>
        <v>0</v>
      </c>
      <c r="I313" s="21">
        <f t="shared" si="713"/>
        <v>0</v>
      </c>
      <c r="J313" s="21">
        <f t="shared" ref="J313:Q313" si="714">IF($F$290, 0, IF($C$295, IF(AND(COLUMN($J$313)-COLUMN($B$311)=$Q$291,ROW($J$313)-ROW($B$311)=$K$291), U$290, J313), J313))</f>
        <v>0</v>
      </c>
      <c r="K313" s="21">
        <f t="shared" si="714"/>
        <v>0</v>
      </c>
      <c r="L313" s="21">
        <f t="shared" si="714"/>
        <v>0</v>
      </c>
      <c r="M313" s="21">
        <f t="shared" si="714"/>
        <v>0</v>
      </c>
      <c r="N313" s="21">
        <f t="shared" si="714"/>
        <v>0</v>
      </c>
      <c r="O313" s="21">
        <f t="shared" si="714"/>
        <v>0</v>
      </c>
      <c r="P313" s="21">
        <f t="shared" si="714"/>
        <v>0</v>
      </c>
      <c r="Q313" s="21">
        <f t="shared" si="714"/>
        <v>0</v>
      </c>
      <c r="R313" s="21">
        <f>IF($F$290, 0, IF($C$295, IF(AND(COLUMN($R$313)-COLUMN($B$311)=$Q$291,ROW($R$313)-ROW($B$311)=$K$291), U$290, R313), R313))</f>
        <v>0</v>
      </c>
      <c r="S313" s="21">
        <f t="shared" ref="S313:Y313" si="715">IF($F$290, 0, IF($C$295, IF(AND(COLUMN($R$313)-COLUMN($B$311)=$Q$291,ROW($R$313)-ROW($B$311)=$K$291), V$290, S313), S313))</f>
        <v>0</v>
      </c>
      <c r="T313" s="21">
        <f t="shared" si="715"/>
        <v>0</v>
      </c>
      <c r="U313" s="21">
        <f t="shared" si="715"/>
        <v>0</v>
      </c>
      <c r="V313" s="21">
        <f t="shared" si="715"/>
        <v>0</v>
      </c>
      <c r="W313" s="21">
        <f t="shared" si="715"/>
        <v>0</v>
      </c>
      <c r="X313" s="21">
        <f t="shared" si="715"/>
        <v>0</v>
      </c>
      <c r="Y313" s="21">
        <f t="shared" si="715"/>
        <v>0</v>
      </c>
      <c r="Z313" s="21">
        <f t="shared" ref="Z313:AG313" si="716">IF($F$290, 0, IF($C$295, IF(AND(COLUMN($Z$313)-COLUMN($B$311)=$Q$291,ROW($Z$313)-ROW($B$311)=$K$291), U$290, Z313), Z313))</f>
        <v>0</v>
      </c>
      <c r="AA313" s="21">
        <f t="shared" si="716"/>
        <v>0</v>
      </c>
      <c r="AB313" s="21">
        <f t="shared" si="716"/>
        <v>0</v>
      </c>
      <c r="AC313" s="21">
        <f t="shared" si="716"/>
        <v>0</v>
      </c>
      <c r="AD313" s="21">
        <f t="shared" si="716"/>
        <v>0</v>
      </c>
      <c r="AE313" s="21">
        <f t="shared" si="716"/>
        <v>0</v>
      </c>
      <c r="AF313" s="21">
        <f t="shared" si="716"/>
        <v>0</v>
      </c>
      <c r="AG313" s="21">
        <f t="shared" si="716"/>
        <v>0</v>
      </c>
      <c r="AH313" s="21">
        <f t="shared" ref="AH313:AO313" si="717">IF($F$290, 0, IF($C$295, IF(AND(COLUMN($AH$313)-COLUMN($B$311)=$Q$291,ROW($AH$313)-ROW($B$311)=$K$291), U$290, AH313), AH313))</f>
        <v>0</v>
      </c>
      <c r="AI313" s="21">
        <f t="shared" si="717"/>
        <v>0</v>
      </c>
      <c r="AJ313" s="21">
        <f t="shared" si="717"/>
        <v>0</v>
      </c>
      <c r="AK313" s="21">
        <f t="shared" si="717"/>
        <v>0</v>
      </c>
      <c r="AL313" s="21">
        <f t="shared" si="717"/>
        <v>0</v>
      </c>
      <c r="AM313" s="21">
        <f t="shared" si="717"/>
        <v>0</v>
      </c>
      <c r="AN313" s="21">
        <f t="shared" si="717"/>
        <v>0</v>
      </c>
      <c r="AO313" s="21">
        <f t="shared" si="717"/>
        <v>0</v>
      </c>
      <c r="AP313" s="21">
        <f t="shared" ref="AP313:AW313" si="718">IF($F$290, 0, IF($C$295, IF(AND(COLUMN($AP$313)-COLUMN($B$311)=$Q$291,ROW($AP$313)-ROW($B$311)=$K$291), U$290, AP313), AP313))</f>
        <v>0</v>
      </c>
      <c r="AQ313" s="21">
        <f t="shared" si="718"/>
        <v>0</v>
      </c>
      <c r="AR313" s="21">
        <f t="shared" si="718"/>
        <v>0</v>
      </c>
      <c r="AS313" s="21">
        <f t="shared" si="718"/>
        <v>0</v>
      </c>
      <c r="AT313" s="21">
        <f t="shared" si="718"/>
        <v>0</v>
      </c>
      <c r="AU313" s="21">
        <f t="shared" si="718"/>
        <v>0</v>
      </c>
      <c r="AV313" s="21">
        <f t="shared" si="718"/>
        <v>0</v>
      </c>
      <c r="AW313" s="21">
        <f t="shared" si="718"/>
        <v>0</v>
      </c>
      <c r="AX313" s="21">
        <f t="shared" ref="AX313:BE313" si="719">IF($F$290, 0, IF($C$295, IF(AND(COLUMN($AX$313)-COLUMN($B$311)=$Q$291,ROW($AX$313)-ROW($B$311)=$K$291), U$290, AX313), AX313))</f>
        <v>0</v>
      </c>
      <c r="AY313" s="21">
        <f t="shared" si="719"/>
        <v>0</v>
      </c>
      <c r="AZ313" s="21">
        <f t="shared" si="719"/>
        <v>0</v>
      </c>
      <c r="BA313" s="21">
        <f t="shared" si="719"/>
        <v>0</v>
      </c>
      <c r="BB313" s="21">
        <f t="shared" si="719"/>
        <v>0</v>
      </c>
      <c r="BC313" s="21">
        <f t="shared" si="719"/>
        <v>0</v>
      </c>
      <c r="BD313" s="21">
        <f t="shared" si="719"/>
        <v>0</v>
      </c>
      <c r="BE313" s="21">
        <f t="shared" si="719"/>
        <v>0</v>
      </c>
      <c r="BF313" s="21">
        <f t="shared" ref="BF313:BM313" si="720">IF($F$290, 0, IF($C$295, IF(AND(COLUMN($BF$313)-COLUMN($B$311)=$Q$291,ROW($BF$313)-ROW($B$311)=$K$291), U$290, BF313), BF313))</f>
        <v>0</v>
      </c>
      <c r="BG313" s="21">
        <f t="shared" si="720"/>
        <v>0</v>
      </c>
      <c r="BH313" s="21">
        <f t="shared" si="720"/>
        <v>0</v>
      </c>
      <c r="BI313" s="21">
        <f t="shared" si="720"/>
        <v>0</v>
      </c>
      <c r="BJ313" s="21">
        <f t="shared" si="720"/>
        <v>0</v>
      </c>
      <c r="BK313" s="21">
        <f t="shared" si="720"/>
        <v>0</v>
      </c>
      <c r="BL313" s="21">
        <f t="shared" si="720"/>
        <v>0</v>
      </c>
      <c r="BM313" s="21">
        <f t="shared" si="720"/>
        <v>0</v>
      </c>
      <c r="BN313" s="21">
        <f t="shared" ref="BN313:BU313" si="721">IF($F$290, 0, IF($D$295, IF(AND(COLUMN($BN$313)-COLUMN($BN$311)=$Q$291,ROW($BN$313)-ROW($BN$311)=$K$291), U$290, BN313), BN313))</f>
        <v>0</v>
      </c>
      <c r="BO313" s="21">
        <f t="shared" si="721"/>
        <v>0</v>
      </c>
      <c r="BP313" s="21">
        <f t="shared" si="721"/>
        <v>0</v>
      </c>
      <c r="BQ313" s="21">
        <f t="shared" si="721"/>
        <v>0</v>
      </c>
      <c r="BR313" s="21">
        <f t="shared" si="721"/>
        <v>0</v>
      </c>
      <c r="BS313" s="21">
        <f t="shared" si="721"/>
        <v>0</v>
      </c>
      <c r="BT313" s="21">
        <f t="shared" si="721"/>
        <v>0</v>
      </c>
      <c r="BU313" s="21">
        <f t="shared" si="721"/>
        <v>0</v>
      </c>
      <c r="BV313" s="21">
        <f t="shared" ref="BV313:CC313" si="722">IF($F$290, 0, IF($D$295, IF(AND(COLUMN($BV$313)-COLUMN($BN$311)=$Q$291,ROW($BV$313)-ROW($BN$311)=$K$291), U$290, BV313), BV313))</f>
        <v>0</v>
      </c>
      <c r="BW313" s="21">
        <f t="shared" si="722"/>
        <v>0</v>
      </c>
      <c r="BX313" s="21">
        <f t="shared" si="722"/>
        <v>0</v>
      </c>
      <c r="BY313" s="21">
        <f t="shared" si="722"/>
        <v>0</v>
      </c>
      <c r="BZ313" s="21">
        <f t="shared" si="722"/>
        <v>0</v>
      </c>
      <c r="CA313" s="21">
        <f t="shared" si="722"/>
        <v>0</v>
      </c>
      <c r="CB313" s="21">
        <f t="shared" si="722"/>
        <v>0</v>
      </c>
      <c r="CC313" s="21">
        <f t="shared" si="722"/>
        <v>0</v>
      </c>
      <c r="CD313" s="21">
        <f t="shared" ref="CD313:CK313" si="723">IF($F$290, 0, IF($D$295, IF(AND(COLUMN($CD$313)-COLUMN($BN$311)=$Q$291,ROW($CD$313)-ROW($BN$311)=$K$291), U$290, CD313), CD313))</f>
        <v>0</v>
      </c>
      <c r="CE313" s="21">
        <f t="shared" si="723"/>
        <v>0</v>
      </c>
      <c r="CF313" s="21">
        <f t="shared" si="723"/>
        <v>0</v>
      </c>
      <c r="CG313" s="21">
        <f t="shared" si="723"/>
        <v>0</v>
      </c>
      <c r="CH313" s="21">
        <f t="shared" si="723"/>
        <v>0</v>
      </c>
      <c r="CI313" s="21">
        <f t="shared" si="723"/>
        <v>0</v>
      </c>
      <c r="CJ313" s="21">
        <f t="shared" si="723"/>
        <v>0</v>
      </c>
      <c r="CK313" s="21">
        <f t="shared" si="723"/>
        <v>0</v>
      </c>
      <c r="CL313" s="21">
        <f t="shared" ref="CL313:CS313" si="724">IF($F$290, 0, IF($D$295, IF(AND(COLUMN($CL$313)-COLUMN($BN$311)=$Q$291,ROW($CL$313)-ROW($BN$311)=$K$291), U$290, CL313), CL313))</f>
        <v>0</v>
      </c>
      <c r="CM313" s="21">
        <f t="shared" si="724"/>
        <v>0</v>
      </c>
      <c r="CN313" s="21">
        <f t="shared" si="724"/>
        <v>0</v>
      </c>
      <c r="CO313" s="21">
        <f t="shared" si="724"/>
        <v>0</v>
      </c>
      <c r="CP313" s="21">
        <f t="shared" si="724"/>
        <v>0</v>
      </c>
      <c r="CQ313" s="21">
        <f t="shared" si="724"/>
        <v>0</v>
      </c>
      <c r="CR313" s="21">
        <f t="shared" si="724"/>
        <v>0</v>
      </c>
      <c r="CS313" s="21">
        <f t="shared" si="724"/>
        <v>0</v>
      </c>
      <c r="CT313" s="21">
        <f t="shared" ref="CT313:DA313" si="725">IF($F$290, 0, IF($D$295, IF(AND(COLUMN($CT$313)-COLUMN($BN$311)=$Q$291,ROW($CT$313)-ROW($BN$311)=$K$291), U$290, CT313), CT313))</f>
        <v>0</v>
      </c>
      <c r="CU313" s="21">
        <f t="shared" si="725"/>
        <v>0</v>
      </c>
      <c r="CV313" s="21">
        <f t="shared" si="725"/>
        <v>0</v>
      </c>
      <c r="CW313" s="21">
        <f t="shared" si="725"/>
        <v>0</v>
      </c>
      <c r="CX313" s="21">
        <f t="shared" si="725"/>
        <v>0</v>
      </c>
      <c r="CY313" s="21">
        <f t="shared" si="725"/>
        <v>0</v>
      </c>
      <c r="CZ313" s="21">
        <f t="shared" si="725"/>
        <v>0</v>
      </c>
      <c r="DA313" s="21">
        <f t="shared" si="725"/>
        <v>0</v>
      </c>
      <c r="DB313" s="21">
        <f t="shared" ref="DB313:DI313" si="726">IF($F$290, 0, IF($D$295, IF(AND(COLUMN($DB$313)-COLUMN($BN$311)=$Q$291,ROW($DB$313)-ROW($BN$311)=$K$291), U$290, DB313), DB313))</f>
        <v>0</v>
      </c>
      <c r="DC313" s="21">
        <f t="shared" si="726"/>
        <v>0</v>
      </c>
      <c r="DD313" s="21">
        <f t="shared" si="726"/>
        <v>0</v>
      </c>
      <c r="DE313" s="21">
        <f t="shared" si="726"/>
        <v>0</v>
      </c>
      <c r="DF313" s="21">
        <f t="shared" si="726"/>
        <v>0</v>
      </c>
      <c r="DG313" s="21">
        <f t="shared" si="726"/>
        <v>0</v>
      </c>
      <c r="DH313" s="21">
        <f t="shared" si="726"/>
        <v>0</v>
      </c>
      <c r="DI313" s="21">
        <f t="shared" si="726"/>
        <v>0</v>
      </c>
      <c r="DJ313" s="21">
        <f t="shared" ref="DJ313:DQ313" si="727">IF($F$290, 0, IF($D$295, IF(AND(COLUMN($DJ$313)-COLUMN($BN$311)=$Q$291,ROW($DJ$313)-ROW($BN$311)=$K$291), U$290, DJ313), DJ313))</f>
        <v>0</v>
      </c>
      <c r="DK313" s="21">
        <f t="shared" si="727"/>
        <v>0</v>
      </c>
      <c r="DL313" s="21">
        <f t="shared" si="727"/>
        <v>0</v>
      </c>
      <c r="DM313" s="21">
        <f t="shared" si="727"/>
        <v>0</v>
      </c>
      <c r="DN313" s="21">
        <f t="shared" si="727"/>
        <v>0</v>
      </c>
      <c r="DO313" s="21">
        <f t="shared" si="727"/>
        <v>0</v>
      </c>
      <c r="DP313" s="21">
        <f t="shared" si="727"/>
        <v>0</v>
      </c>
      <c r="DQ313" s="21">
        <f t="shared" si="727"/>
        <v>0</v>
      </c>
      <c r="DR313" s="21">
        <f t="shared" ref="DR313:DY313" si="728">IF($F$290, 0, IF($D$295, IF(AND(COLUMN($DR$313)-COLUMN($BN$311)=$Q$291,ROW($DR$313)-ROW($BN$311)=$K$291), U$290, DR313), DR313))</f>
        <v>0</v>
      </c>
      <c r="DS313" s="21">
        <f t="shared" si="728"/>
        <v>0</v>
      </c>
      <c r="DT313" s="21">
        <f t="shared" si="728"/>
        <v>0</v>
      </c>
      <c r="DU313" s="21">
        <f t="shared" si="728"/>
        <v>0</v>
      </c>
      <c r="DV313" s="21">
        <f t="shared" si="728"/>
        <v>0</v>
      </c>
      <c r="DW313" s="21">
        <f t="shared" si="728"/>
        <v>0</v>
      </c>
      <c r="DX313" s="21">
        <f t="shared" si="728"/>
        <v>0</v>
      </c>
      <c r="DY313" s="21">
        <f t="shared" si="728"/>
        <v>0</v>
      </c>
      <c r="DZ313" s="21">
        <f t="shared" ref="DZ313:EG313" si="729">IF($F$290, 0, IF($E$295, IF(AND(COLUMN($DZ$313)-COLUMN($DZ$311)=$Q$291,ROW($DZ$313)-ROW($DZ$311)=$K$291), U$290, DZ313), DZ313))</f>
        <v>0</v>
      </c>
      <c r="EA313" s="21">
        <f t="shared" si="729"/>
        <v>0</v>
      </c>
      <c r="EB313" s="21">
        <f t="shared" si="729"/>
        <v>0</v>
      </c>
      <c r="EC313" s="21">
        <f t="shared" si="729"/>
        <v>0</v>
      </c>
      <c r="ED313" s="21">
        <f t="shared" si="729"/>
        <v>0</v>
      </c>
      <c r="EE313" s="21">
        <f t="shared" si="729"/>
        <v>0</v>
      </c>
      <c r="EF313" s="21">
        <f t="shared" si="729"/>
        <v>0</v>
      </c>
      <c r="EG313" s="21">
        <f t="shared" si="729"/>
        <v>0</v>
      </c>
      <c r="EH313" s="21">
        <f t="shared" ref="EH313:EO313" si="730">IF($F$290, 0, IF($E$295, IF(AND(COLUMN($EH$313)-COLUMN($DZ$311)=$Q$291,ROW($EH$313)-ROW($DZ$311)=$K$291), U$290, EH313), EH313))</f>
        <v>0</v>
      </c>
      <c r="EI313" s="21">
        <f t="shared" si="730"/>
        <v>0</v>
      </c>
      <c r="EJ313" s="21">
        <f t="shared" si="730"/>
        <v>0</v>
      </c>
      <c r="EK313" s="21">
        <f t="shared" si="730"/>
        <v>0</v>
      </c>
      <c r="EL313" s="21">
        <f t="shared" si="730"/>
        <v>0</v>
      </c>
      <c r="EM313" s="21">
        <f t="shared" si="730"/>
        <v>0</v>
      </c>
      <c r="EN313" s="21">
        <f t="shared" si="730"/>
        <v>0</v>
      </c>
      <c r="EO313" s="21">
        <f t="shared" si="730"/>
        <v>0</v>
      </c>
      <c r="EP313" s="21">
        <f t="shared" ref="EP313:EW313" si="731">IF($F$290, 0, IF($E$295, IF(AND(COLUMN($EP$313)-COLUMN($DZ$311)=$Q$291,ROW($EP$313)-ROW($DZ$311)=$K$291), U$290, EP313), EP313))</f>
        <v>0</v>
      </c>
      <c r="EQ313" s="21">
        <f t="shared" si="731"/>
        <v>0</v>
      </c>
      <c r="ER313" s="21">
        <f t="shared" si="731"/>
        <v>0</v>
      </c>
      <c r="ES313" s="21">
        <f t="shared" si="731"/>
        <v>0</v>
      </c>
      <c r="ET313" s="21">
        <f t="shared" si="731"/>
        <v>0</v>
      </c>
      <c r="EU313" s="21">
        <f t="shared" si="731"/>
        <v>0</v>
      </c>
      <c r="EV313" s="21">
        <f t="shared" si="731"/>
        <v>0</v>
      </c>
      <c r="EW313" s="21">
        <f t="shared" si="731"/>
        <v>0</v>
      </c>
      <c r="EX313" s="21">
        <f t="shared" ref="EX313:FE313" si="732">IF($F$290, 0, IF($E$295, IF(AND(COLUMN($EX$313)-COLUMN($DZ$311)=$Q$291,ROW($EX$313)-ROW($DZ$311)=$K$291), U$290, EX313), EX313))</f>
        <v>0</v>
      </c>
      <c r="EY313" s="21">
        <f t="shared" si="732"/>
        <v>0</v>
      </c>
      <c r="EZ313" s="21">
        <f t="shared" si="732"/>
        <v>0</v>
      </c>
      <c r="FA313" s="21">
        <f t="shared" si="732"/>
        <v>0</v>
      </c>
      <c r="FB313" s="21">
        <f t="shared" si="732"/>
        <v>0</v>
      </c>
      <c r="FC313" s="21">
        <f t="shared" si="732"/>
        <v>0</v>
      </c>
      <c r="FD313" s="21">
        <f t="shared" si="732"/>
        <v>0</v>
      </c>
      <c r="FE313" s="21">
        <f t="shared" si="732"/>
        <v>0</v>
      </c>
      <c r="FF313" s="21">
        <f t="shared" ref="FF313:FM313" si="733">IF($F$290, 0, IF($E$295, IF(AND(COLUMN($FF$313)-COLUMN($DZ$311)=$Q$291,ROW($FF$313)-ROW($DZ$311)=$K$291), U$290, FF313), FF313))</f>
        <v>0</v>
      </c>
      <c r="FG313" s="21">
        <f t="shared" si="733"/>
        <v>0</v>
      </c>
      <c r="FH313" s="21">
        <f t="shared" si="733"/>
        <v>0</v>
      </c>
      <c r="FI313" s="21">
        <f t="shared" si="733"/>
        <v>0</v>
      </c>
      <c r="FJ313" s="21">
        <f t="shared" si="733"/>
        <v>0</v>
      </c>
      <c r="FK313" s="21">
        <f t="shared" si="733"/>
        <v>0</v>
      </c>
      <c r="FL313" s="21">
        <f t="shared" si="733"/>
        <v>0</v>
      </c>
      <c r="FM313" s="21">
        <f t="shared" si="733"/>
        <v>0</v>
      </c>
      <c r="FN313" s="21">
        <f t="shared" ref="FN313:FU313" si="734">IF($F$290, 0, IF($E$295, IF(AND(COLUMN($FN$313)-COLUMN($DZ$311)=$Q$291,ROW($FN$313)-ROW($DZ$311)=$K$291), U$290, FN313), FN313))</f>
        <v>0</v>
      </c>
      <c r="FO313" s="21">
        <f t="shared" si="734"/>
        <v>0</v>
      </c>
      <c r="FP313" s="21">
        <f t="shared" si="734"/>
        <v>0</v>
      </c>
      <c r="FQ313" s="21">
        <f t="shared" si="734"/>
        <v>0</v>
      </c>
      <c r="FR313" s="21">
        <f t="shared" si="734"/>
        <v>0</v>
      </c>
      <c r="FS313" s="21">
        <f t="shared" si="734"/>
        <v>0</v>
      </c>
      <c r="FT313" s="21">
        <f t="shared" si="734"/>
        <v>0</v>
      </c>
      <c r="FU313" s="21">
        <f t="shared" si="734"/>
        <v>0</v>
      </c>
      <c r="FV313" s="21">
        <f t="shared" ref="FV313:GC313" si="735">IF($F$290, 0, IF($E$295, IF(AND(COLUMN($FV$313)-COLUMN($DZ$311)=$Q$291,ROW($FV$313)-ROW($DZ$311)=$K$291), U$290, FV313), FV313))</f>
        <v>0</v>
      </c>
      <c r="FW313" s="21">
        <f t="shared" si="735"/>
        <v>0</v>
      </c>
      <c r="FX313" s="21">
        <f t="shared" si="735"/>
        <v>0</v>
      </c>
      <c r="FY313" s="21">
        <f t="shared" si="735"/>
        <v>0</v>
      </c>
      <c r="FZ313" s="21">
        <f t="shared" si="735"/>
        <v>0</v>
      </c>
      <c r="GA313" s="21">
        <f t="shared" si="735"/>
        <v>0</v>
      </c>
      <c r="GB313" s="21">
        <f t="shared" si="735"/>
        <v>0</v>
      </c>
      <c r="GC313" s="21">
        <f t="shared" si="735"/>
        <v>0</v>
      </c>
      <c r="GD313" s="21">
        <f t="shared" ref="GD313:GK313" si="736">IF($F$290, 0, IF($E$295, IF(AND(COLUMN($GD$313)-COLUMN($DZ$311)=$Q$291,ROW($GD$313)-ROW($DZ$311)=$K$291), U$290, GD313), GD313))</f>
        <v>0</v>
      </c>
      <c r="GE313" s="21">
        <f t="shared" si="736"/>
        <v>0</v>
      </c>
      <c r="GF313" s="21">
        <f t="shared" si="736"/>
        <v>0</v>
      </c>
      <c r="GG313" s="21">
        <f t="shared" si="736"/>
        <v>0</v>
      </c>
      <c r="GH313" s="21">
        <f t="shared" si="736"/>
        <v>0</v>
      </c>
      <c r="GI313" s="21">
        <f t="shared" si="736"/>
        <v>0</v>
      </c>
      <c r="GJ313" s="21">
        <f t="shared" si="736"/>
        <v>0</v>
      </c>
      <c r="GK313" s="21">
        <f t="shared" si="736"/>
        <v>0</v>
      </c>
      <c r="GL313" s="21">
        <f t="shared" ref="GL313:GS313" si="737">IF($F$290, 0, IF($F$295, IF(AND(COLUMN($GL$313)-COLUMN($GL$311)=$Q$291,ROW($GL$313)-ROW($GL$311)=$K$291), U$290, GL313), GL313))</f>
        <v>0</v>
      </c>
      <c r="GM313" s="21">
        <f t="shared" si="737"/>
        <v>0</v>
      </c>
      <c r="GN313" s="21">
        <f t="shared" si="737"/>
        <v>0</v>
      </c>
      <c r="GO313" s="21">
        <f t="shared" si="737"/>
        <v>0</v>
      </c>
      <c r="GP313" s="21">
        <f t="shared" si="737"/>
        <v>0</v>
      </c>
      <c r="GQ313" s="21">
        <f t="shared" si="737"/>
        <v>0</v>
      </c>
      <c r="GR313" s="21">
        <f t="shared" si="737"/>
        <v>0</v>
      </c>
      <c r="GS313" s="21">
        <f t="shared" si="737"/>
        <v>0</v>
      </c>
      <c r="GT313" s="21">
        <f t="shared" ref="GT313:HA313" si="738">IF($F$290, 0, IF($F$295, IF(AND(COLUMN($GT$313)-COLUMN($GL$311)=$Q$291,ROW($GT$313)-ROW($GL$311)=$K$291), U$290, GT313), GT313))</f>
        <v>0</v>
      </c>
      <c r="GU313" s="21">
        <f t="shared" si="738"/>
        <v>0</v>
      </c>
      <c r="GV313" s="21">
        <f t="shared" si="738"/>
        <v>0</v>
      </c>
      <c r="GW313" s="21">
        <f t="shared" si="738"/>
        <v>0</v>
      </c>
      <c r="GX313" s="21">
        <f t="shared" si="738"/>
        <v>0</v>
      </c>
      <c r="GY313" s="21">
        <f t="shared" si="738"/>
        <v>0</v>
      </c>
      <c r="GZ313" s="21">
        <f t="shared" si="738"/>
        <v>0</v>
      </c>
      <c r="HA313" s="21">
        <f t="shared" si="738"/>
        <v>0</v>
      </c>
      <c r="HB313" s="21">
        <f t="shared" ref="HB313:HI313" si="739">IF($F$290, 0, IF($F$295, IF(AND(COLUMN($HB$313)-COLUMN($GL$311)=$Q$291,ROW($HB$313)-ROW($GL$311)=$K$291), U$290, HB313), HB313))</f>
        <v>0</v>
      </c>
      <c r="HC313" s="21">
        <f t="shared" si="739"/>
        <v>0</v>
      </c>
      <c r="HD313" s="21">
        <f t="shared" si="739"/>
        <v>0</v>
      </c>
      <c r="HE313" s="21">
        <f t="shared" si="739"/>
        <v>0</v>
      </c>
      <c r="HF313" s="21">
        <f t="shared" si="739"/>
        <v>0</v>
      </c>
      <c r="HG313" s="21">
        <f t="shared" si="739"/>
        <v>0</v>
      </c>
      <c r="HH313" s="21">
        <f t="shared" si="739"/>
        <v>0</v>
      </c>
      <c r="HI313" s="21">
        <f t="shared" si="739"/>
        <v>0</v>
      </c>
      <c r="HJ313" s="21">
        <f t="shared" ref="HJ313:HQ313" si="740">IF($F$290, 0, IF($F$295, IF(AND(COLUMN($HJ$313)-COLUMN($GL$311)=$Q$291,ROW($HJ$313)-ROW($GL$311)=$K$291), U$290, HJ313), HJ313))</f>
        <v>0</v>
      </c>
      <c r="HK313" s="21">
        <f t="shared" si="740"/>
        <v>0</v>
      </c>
      <c r="HL313" s="21">
        <f t="shared" si="740"/>
        <v>0</v>
      </c>
      <c r="HM313" s="21">
        <f t="shared" si="740"/>
        <v>0</v>
      </c>
      <c r="HN313" s="21">
        <f t="shared" si="740"/>
        <v>0</v>
      </c>
      <c r="HO313" s="21">
        <f t="shared" si="740"/>
        <v>0</v>
      </c>
      <c r="HP313" s="21">
        <f t="shared" si="740"/>
        <v>0</v>
      </c>
      <c r="HQ313" s="21">
        <f t="shared" si="740"/>
        <v>0</v>
      </c>
      <c r="HR313" s="21">
        <f t="shared" ref="HR313:HY313" si="741">IF($F$290, 0, IF($F$295, IF(AND(COLUMN($HR$313)-COLUMN($GL$311)=$Q$291,ROW($HR$313)-ROW($GL$311)=$K$291), U$290, HR313), HR313))</f>
        <v>0</v>
      </c>
      <c r="HS313" s="21">
        <f t="shared" si="741"/>
        <v>0</v>
      </c>
      <c r="HT313" s="21">
        <f t="shared" si="741"/>
        <v>0</v>
      </c>
      <c r="HU313" s="21">
        <f t="shared" si="741"/>
        <v>0</v>
      </c>
      <c r="HV313" s="21">
        <f t="shared" si="741"/>
        <v>0</v>
      </c>
      <c r="HW313" s="21">
        <f t="shared" si="741"/>
        <v>0</v>
      </c>
      <c r="HX313" s="21">
        <f t="shared" si="741"/>
        <v>0</v>
      </c>
      <c r="HY313" s="21">
        <f t="shared" si="741"/>
        <v>0</v>
      </c>
      <c r="HZ313" s="21">
        <f t="shared" ref="HZ313:IG313" si="742">IF($F$290, 0, IF($F$295, IF(AND(COLUMN($HZ$313)-COLUMN($GL$311)=$Q$291,ROW($HZ$313)-ROW($GL$311)=$K$291), U$290, HZ313), HZ313))</f>
        <v>0</v>
      </c>
      <c r="IA313" s="21">
        <f t="shared" si="742"/>
        <v>0</v>
      </c>
      <c r="IB313" s="21">
        <f t="shared" si="742"/>
        <v>0</v>
      </c>
      <c r="IC313" s="21">
        <f t="shared" si="742"/>
        <v>0</v>
      </c>
      <c r="ID313" s="21">
        <f t="shared" si="742"/>
        <v>0</v>
      </c>
      <c r="IE313" s="21">
        <f t="shared" si="742"/>
        <v>0</v>
      </c>
      <c r="IF313" s="21">
        <f t="shared" si="742"/>
        <v>0</v>
      </c>
      <c r="IG313" s="21">
        <f t="shared" si="742"/>
        <v>0</v>
      </c>
      <c r="IH313" s="21">
        <f t="shared" ref="IH313:IO313" si="743">IF($F$290, 0, IF($F$295, IF(AND(COLUMN($IH$313)-COLUMN($GL$311)=$Q$291,ROW($IH$313)-ROW($GL$311)=$K$291), U$290, IH313), IH313))</f>
        <v>0</v>
      </c>
      <c r="II313" s="21">
        <f t="shared" si="743"/>
        <v>0</v>
      </c>
      <c r="IJ313" s="21">
        <f t="shared" si="743"/>
        <v>0</v>
      </c>
      <c r="IK313" s="21">
        <f t="shared" si="743"/>
        <v>0</v>
      </c>
      <c r="IL313" s="21">
        <f t="shared" si="743"/>
        <v>0</v>
      </c>
      <c r="IM313" s="21">
        <f t="shared" si="743"/>
        <v>0</v>
      </c>
      <c r="IN313" s="21">
        <f t="shared" si="743"/>
        <v>0</v>
      </c>
      <c r="IO313" s="21">
        <f t="shared" si="743"/>
        <v>0</v>
      </c>
      <c r="IP313" s="21">
        <f t="shared" ref="IP313:IW313" si="744">IF($F$290, 0, IF($F$295, IF(AND(COLUMN($IP$313)-COLUMN($GL$311)=$Q$291,ROW($IP$313)-ROW($GL$311)=$K$291), U$290, IP313), IP313))</f>
        <v>0</v>
      </c>
      <c r="IQ313" s="21">
        <f t="shared" si="744"/>
        <v>0</v>
      </c>
      <c r="IR313" s="21">
        <f t="shared" si="744"/>
        <v>0</v>
      </c>
      <c r="IS313" s="21">
        <f t="shared" si="744"/>
        <v>0</v>
      </c>
      <c r="IT313" s="21">
        <f t="shared" si="744"/>
        <v>0</v>
      </c>
      <c r="IU313" s="21">
        <f t="shared" si="744"/>
        <v>0</v>
      </c>
      <c r="IV313" s="21">
        <f t="shared" si="744"/>
        <v>0</v>
      </c>
      <c r="IW313" s="21">
        <f t="shared" si="744"/>
        <v>0</v>
      </c>
      <c r="IX313" s="21">
        <f t="shared" ref="IX313:JE313" si="745">IF($F$290, 0, IF($G$295, IF(AND(COLUMN($IX$313)-COLUMN($IX$311)=$Q$291,ROW($IX$313)-ROW($IX$311)=$K$291), U$290, IX313), IX313))</f>
        <v>0</v>
      </c>
      <c r="IY313" s="21">
        <f t="shared" si="745"/>
        <v>0</v>
      </c>
      <c r="IZ313" s="21">
        <f t="shared" si="745"/>
        <v>0</v>
      </c>
      <c r="JA313" s="21">
        <f t="shared" si="745"/>
        <v>0</v>
      </c>
      <c r="JB313" s="21">
        <f t="shared" si="745"/>
        <v>0</v>
      </c>
      <c r="JC313" s="21">
        <f t="shared" si="745"/>
        <v>0</v>
      </c>
      <c r="JD313" s="21">
        <f t="shared" si="745"/>
        <v>0</v>
      </c>
      <c r="JE313" s="21">
        <f t="shared" si="745"/>
        <v>0</v>
      </c>
      <c r="JF313" s="21">
        <f t="shared" ref="JF313:JM313" si="746">IF($F$290, 0, IF($G$295, IF(AND(COLUMN($JF$313)-COLUMN($IX$311)=$Q$291,ROW($JF$313)-ROW($IX$311)=$K$291), U$290, JF313), JF313))</f>
        <v>0</v>
      </c>
      <c r="JG313" s="21">
        <f t="shared" si="746"/>
        <v>0</v>
      </c>
      <c r="JH313" s="21">
        <f t="shared" si="746"/>
        <v>0</v>
      </c>
      <c r="JI313" s="21">
        <f t="shared" si="746"/>
        <v>0</v>
      </c>
      <c r="JJ313" s="21">
        <f t="shared" si="746"/>
        <v>0</v>
      </c>
      <c r="JK313" s="21">
        <f t="shared" si="746"/>
        <v>0</v>
      </c>
      <c r="JL313" s="21">
        <f t="shared" si="746"/>
        <v>0</v>
      </c>
      <c r="JM313" s="21">
        <f t="shared" si="746"/>
        <v>0</v>
      </c>
      <c r="JN313" s="21">
        <f t="shared" ref="JN313:JU313" si="747">IF($F$290, 0, IF($G$295, IF(AND(COLUMN($JN$313)-COLUMN($IX$311)=$Q$291,ROW($JN$313)-ROW($IX$311)=$K$291), U$290, JN313), JN313))</f>
        <v>0</v>
      </c>
      <c r="JO313" s="21">
        <f t="shared" si="747"/>
        <v>0</v>
      </c>
      <c r="JP313" s="21">
        <f t="shared" si="747"/>
        <v>0</v>
      </c>
      <c r="JQ313" s="21">
        <f t="shared" si="747"/>
        <v>0</v>
      </c>
      <c r="JR313" s="21">
        <f t="shared" si="747"/>
        <v>0</v>
      </c>
      <c r="JS313" s="21">
        <f t="shared" si="747"/>
        <v>0</v>
      </c>
      <c r="JT313" s="21">
        <f t="shared" si="747"/>
        <v>0</v>
      </c>
      <c r="JU313" s="21">
        <f t="shared" si="747"/>
        <v>0</v>
      </c>
      <c r="JV313" s="21">
        <f t="shared" ref="JV313:KC313" si="748">IF($F$290, 0, IF($G$295, IF(AND(COLUMN($JV$313)-COLUMN($IX$311)=$Q$291,ROW($JV$313)-ROW($IX$311)=$K$291), U$290, JV313), JV313))</f>
        <v>0</v>
      </c>
      <c r="JW313" s="21">
        <f t="shared" si="748"/>
        <v>0</v>
      </c>
      <c r="JX313" s="21">
        <f t="shared" si="748"/>
        <v>0</v>
      </c>
      <c r="JY313" s="21">
        <f t="shared" si="748"/>
        <v>0</v>
      </c>
      <c r="JZ313" s="21">
        <f t="shared" si="748"/>
        <v>0</v>
      </c>
      <c r="KA313" s="21">
        <f t="shared" si="748"/>
        <v>0</v>
      </c>
      <c r="KB313" s="21">
        <f t="shared" si="748"/>
        <v>0</v>
      </c>
      <c r="KC313" s="21">
        <f t="shared" si="748"/>
        <v>0</v>
      </c>
      <c r="KD313" s="21">
        <f t="shared" ref="KD313:KK313" si="749">IF($F$290, 0, IF($G$295, IF(AND(COLUMN($KD$313)-COLUMN($IX$311)=$Q$291,ROW($KD$313)-ROW($IX$311)=$K$291), U$290, KD313), KD313))</f>
        <v>0</v>
      </c>
      <c r="KE313" s="21">
        <f t="shared" si="749"/>
        <v>0</v>
      </c>
      <c r="KF313" s="21">
        <f t="shared" si="749"/>
        <v>0</v>
      </c>
      <c r="KG313" s="21">
        <f t="shared" si="749"/>
        <v>0</v>
      </c>
      <c r="KH313" s="21">
        <f t="shared" si="749"/>
        <v>0</v>
      </c>
      <c r="KI313" s="21">
        <f t="shared" si="749"/>
        <v>0</v>
      </c>
      <c r="KJ313" s="21">
        <f t="shared" si="749"/>
        <v>0</v>
      </c>
      <c r="KK313" s="21">
        <f t="shared" si="749"/>
        <v>0</v>
      </c>
      <c r="KL313" s="21">
        <f t="shared" ref="KL313:KS313" si="750">IF($F$290, 0, IF($G$295, IF(AND(COLUMN($KL$313)-COLUMN($IX$311)=$Q$291,ROW($KL$313)-ROW($IX$311)=$K$291), U$290, KL313), KL313))</f>
        <v>0</v>
      </c>
      <c r="KM313" s="21">
        <f t="shared" si="750"/>
        <v>0</v>
      </c>
      <c r="KN313" s="21">
        <f t="shared" si="750"/>
        <v>0</v>
      </c>
      <c r="KO313" s="21">
        <f t="shared" si="750"/>
        <v>0</v>
      </c>
      <c r="KP313" s="21">
        <f t="shared" si="750"/>
        <v>0</v>
      </c>
      <c r="KQ313" s="21">
        <f t="shared" si="750"/>
        <v>0</v>
      </c>
      <c r="KR313" s="21">
        <f t="shared" si="750"/>
        <v>0</v>
      </c>
      <c r="KS313" s="21">
        <f t="shared" si="750"/>
        <v>0</v>
      </c>
      <c r="KT313" s="21">
        <f t="shared" ref="KT313:LA313" si="751">IF($F$290, 0, IF($G$295, IF(AND(COLUMN($KT$313)-COLUMN($IX$311)=$Q$291,ROW($KT$313)-ROW($IX$311)=$K$291), U$290, KT313), KT313))</f>
        <v>0</v>
      </c>
      <c r="KU313" s="21">
        <f t="shared" si="751"/>
        <v>0</v>
      </c>
      <c r="KV313" s="21">
        <f t="shared" si="751"/>
        <v>0</v>
      </c>
      <c r="KW313" s="21">
        <f t="shared" si="751"/>
        <v>0</v>
      </c>
      <c r="KX313" s="21">
        <f t="shared" si="751"/>
        <v>0</v>
      </c>
      <c r="KY313" s="21">
        <f t="shared" si="751"/>
        <v>0</v>
      </c>
      <c r="KZ313" s="21">
        <f t="shared" si="751"/>
        <v>0</v>
      </c>
      <c r="LA313" s="21">
        <f t="shared" si="751"/>
        <v>0</v>
      </c>
      <c r="LB313" s="21">
        <f t="shared" ref="LB313:LI313" si="752">IF($F$290, 0, IF($G$295, IF(AND(COLUMN($LB$313)-COLUMN($IX$311)=$Q$291,ROW($LB$313)-ROW($IX$311)=$K$291), U$290, LB313), LB313))</f>
        <v>0</v>
      </c>
      <c r="LC313" s="21">
        <f t="shared" si="752"/>
        <v>0</v>
      </c>
      <c r="LD313" s="21">
        <f t="shared" si="752"/>
        <v>0</v>
      </c>
      <c r="LE313" s="21">
        <f t="shared" si="752"/>
        <v>0</v>
      </c>
      <c r="LF313" s="21">
        <f t="shared" si="752"/>
        <v>0</v>
      </c>
      <c r="LG313" s="21">
        <f t="shared" si="752"/>
        <v>0</v>
      </c>
      <c r="LH313" s="21">
        <f t="shared" si="752"/>
        <v>0</v>
      </c>
      <c r="LI313" s="21">
        <f t="shared" si="752"/>
        <v>0</v>
      </c>
      <c r="LJ313" s="21">
        <f t="shared" ref="LJ313:LQ313" si="753">IF($F$290, 0, IF($H$295, IF(AND(COLUMN($LJ$313)-COLUMN($LJ$311)=$Q$291,ROW($LJ$313)-ROW($LJ$311)=$K$291), U$290, LJ313), LJ313))</f>
        <v>0</v>
      </c>
      <c r="LK313" s="21">
        <f t="shared" si="753"/>
        <v>0</v>
      </c>
      <c r="LL313" s="21">
        <f t="shared" si="753"/>
        <v>0</v>
      </c>
      <c r="LM313" s="21">
        <f t="shared" si="753"/>
        <v>0</v>
      </c>
      <c r="LN313" s="21">
        <f t="shared" si="753"/>
        <v>0</v>
      </c>
      <c r="LO313" s="21">
        <f t="shared" si="753"/>
        <v>0</v>
      </c>
      <c r="LP313" s="21">
        <f t="shared" si="753"/>
        <v>0</v>
      </c>
      <c r="LQ313" s="21">
        <f t="shared" si="753"/>
        <v>0</v>
      </c>
      <c r="LR313" s="21">
        <f t="shared" ref="LR313:LY313" si="754">IF($F$290, 0, IF($H$295, IF(AND(COLUMN($LR$313)-COLUMN($LJ$311)=$Q$291,ROW($LR$313)-ROW($LJ$311)=$K$291), U$290, LR313), LR313))</f>
        <v>0</v>
      </c>
      <c r="LS313" s="21">
        <f t="shared" si="754"/>
        <v>0</v>
      </c>
      <c r="LT313" s="21">
        <f t="shared" si="754"/>
        <v>0</v>
      </c>
      <c r="LU313" s="21">
        <f t="shared" si="754"/>
        <v>0</v>
      </c>
      <c r="LV313" s="21">
        <f t="shared" si="754"/>
        <v>0</v>
      </c>
      <c r="LW313" s="21">
        <f t="shared" si="754"/>
        <v>0</v>
      </c>
      <c r="LX313" s="21">
        <f t="shared" si="754"/>
        <v>0</v>
      </c>
      <c r="LY313" s="21">
        <f t="shared" si="754"/>
        <v>0</v>
      </c>
      <c r="LZ313" s="21">
        <f t="shared" ref="LZ313:MG313" si="755">IF($F$290, 0, IF($H$295, IF(AND(COLUMN($LZ$313)-COLUMN($LJ$311)=$Q$291,ROW($LZ$313)-ROW($LJ$311)=$K$291), U$290, LZ313), LZ313))</f>
        <v>0</v>
      </c>
      <c r="MA313" s="21">
        <f t="shared" si="755"/>
        <v>0</v>
      </c>
      <c r="MB313" s="21">
        <f t="shared" si="755"/>
        <v>0</v>
      </c>
      <c r="MC313" s="21">
        <f t="shared" si="755"/>
        <v>0</v>
      </c>
      <c r="MD313" s="21">
        <f t="shared" si="755"/>
        <v>0</v>
      </c>
      <c r="ME313" s="21">
        <f t="shared" si="755"/>
        <v>0</v>
      </c>
      <c r="MF313" s="21">
        <f t="shared" si="755"/>
        <v>0</v>
      </c>
      <c r="MG313" s="21">
        <f t="shared" si="755"/>
        <v>0</v>
      </c>
      <c r="MH313" s="21">
        <f t="shared" ref="MH313:MO313" si="756">IF($F$290, 0, IF($H$295, IF(AND(COLUMN($MH$313)-COLUMN($LJ$311)=$Q$291,ROW($MH$313)-ROW($LJ$311)=$K$291), U$290, MH313), MH313))</f>
        <v>0</v>
      </c>
      <c r="MI313" s="21">
        <f t="shared" si="756"/>
        <v>0</v>
      </c>
      <c r="MJ313" s="21">
        <f t="shared" si="756"/>
        <v>0</v>
      </c>
      <c r="MK313" s="21">
        <f t="shared" si="756"/>
        <v>0</v>
      </c>
      <c r="ML313" s="21">
        <f t="shared" si="756"/>
        <v>0</v>
      </c>
      <c r="MM313" s="21">
        <f t="shared" si="756"/>
        <v>0</v>
      </c>
      <c r="MN313" s="21">
        <f t="shared" si="756"/>
        <v>0</v>
      </c>
      <c r="MO313" s="21">
        <f t="shared" si="756"/>
        <v>0</v>
      </c>
      <c r="MP313" s="21">
        <f t="shared" ref="MP313:MW313" si="757">IF($F$290, 0, IF($H$295, IF(AND(COLUMN($MP$313)-COLUMN($LJ$311)=$Q$291,ROW($MP$313)-ROW($LJ$311)=$K$291), U$290, MP313), MP313))</f>
        <v>0</v>
      </c>
      <c r="MQ313" s="21">
        <f t="shared" si="757"/>
        <v>0</v>
      </c>
      <c r="MR313" s="21">
        <f t="shared" si="757"/>
        <v>0</v>
      </c>
      <c r="MS313" s="21">
        <f t="shared" si="757"/>
        <v>0</v>
      </c>
      <c r="MT313" s="21">
        <f t="shared" si="757"/>
        <v>0</v>
      </c>
      <c r="MU313" s="21">
        <f t="shared" si="757"/>
        <v>0</v>
      </c>
      <c r="MV313" s="21">
        <f t="shared" si="757"/>
        <v>0</v>
      </c>
      <c r="MW313" s="21">
        <f t="shared" si="757"/>
        <v>0</v>
      </c>
      <c r="MX313" s="21">
        <f t="shared" ref="MX313:NE313" si="758">IF($F$290, 0, IF($H$295, IF(AND(COLUMN($MX$313)-COLUMN($LJ$311)=$Q$291,ROW($MX$313)-ROW($LJ$311)=$K$291), U$290, MX313), MX313))</f>
        <v>0</v>
      </c>
      <c r="MY313" s="21">
        <f t="shared" si="758"/>
        <v>0</v>
      </c>
      <c r="MZ313" s="21">
        <f t="shared" si="758"/>
        <v>0</v>
      </c>
      <c r="NA313" s="21">
        <f t="shared" si="758"/>
        <v>0</v>
      </c>
      <c r="NB313" s="21">
        <f t="shared" si="758"/>
        <v>0</v>
      </c>
      <c r="NC313" s="21">
        <f t="shared" si="758"/>
        <v>0</v>
      </c>
      <c r="ND313" s="21">
        <f t="shared" si="758"/>
        <v>0</v>
      </c>
      <c r="NE313" s="21">
        <f t="shared" si="758"/>
        <v>0</v>
      </c>
      <c r="NF313" s="21">
        <f t="shared" ref="NF313:NM313" si="759">IF($F$290, 0, IF($H$295, IF(AND(COLUMN($NF$313)-COLUMN($LJ$311)=$Q$291,ROW($NF$313)-ROW($LJ$311)=$K$291), U$290, NF313), NF313))</f>
        <v>0</v>
      </c>
      <c r="NG313" s="21">
        <f t="shared" si="759"/>
        <v>0</v>
      </c>
      <c r="NH313" s="21">
        <f t="shared" si="759"/>
        <v>0</v>
      </c>
      <c r="NI313" s="21">
        <f t="shared" si="759"/>
        <v>0</v>
      </c>
      <c r="NJ313" s="21">
        <f t="shared" si="759"/>
        <v>0</v>
      </c>
      <c r="NK313" s="21">
        <f t="shared" si="759"/>
        <v>0</v>
      </c>
      <c r="NL313" s="21">
        <f t="shared" si="759"/>
        <v>0</v>
      </c>
      <c r="NM313" s="21">
        <f t="shared" si="759"/>
        <v>0</v>
      </c>
      <c r="NN313" s="21">
        <f t="shared" ref="NN313:NU313" si="760">IF($F$290, 0, IF($H$295, IF(AND(COLUMN($NN$313)-COLUMN($LJ$311)=$Q$291,ROW($NN$313)-ROW($LJ$311)=$K$291), U$290, NN313), NN313))</f>
        <v>0</v>
      </c>
      <c r="NO313" s="21">
        <f t="shared" si="760"/>
        <v>0</v>
      </c>
      <c r="NP313" s="21">
        <f t="shared" si="760"/>
        <v>0</v>
      </c>
      <c r="NQ313" s="21">
        <f t="shared" si="760"/>
        <v>0</v>
      </c>
      <c r="NR313" s="21">
        <f t="shared" si="760"/>
        <v>0</v>
      </c>
      <c r="NS313" s="21">
        <f t="shared" si="760"/>
        <v>0</v>
      </c>
      <c r="NT313" s="21">
        <f t="shared" si="760"/>
        <v>0</v>
      </c>
      <c r="NU313" s="21">
        <f t="shared" si="760"/>
        <v>0</v>
      </c>
      <c r="NV313" s="21">
        <f t="shared" ref="NV313:OC313" si="761">IF($F$290, 0, IF($I$295, IF(AND(COLUMN($NV$313)-COLUMN($NV$311)=$Q$291,ROW($NV$313)-ROW($NV$311)=$K$291), U$290, NV313), NV313))</f>
        <v>0</v>
      </c>
      <c r="NW313" s="21">
        <f t="shared" si="761"/>
        <v>0</v>
      </c>
      <c r="NX313" s="21">
        <f t="shared" si="761"/>
        <v>0</v>
      </c>
      <c r="NY313" s="21">
        <f t="shared" si="761"/>
        <v>0</v>
      </c>
      <c r="NZ313" s="21">
        <f t="shared" si="761"/>
        <v>0</v>
      </c>
      <c r="OA313" s="21">
        <f t="shared" si="761"/>
        <v>0</v>
      </c>
      <c r="OB313" s="21">
        <f t="shared" si="761"/>
        <v>0</v>
      </c>
      <c r="OC313" s="21">
        <f t="shared" si="761"/>
        <v>0</v>
      </c>
      <c r="OD313" s="21">
        <f t="shared" ref="OD313:OK313" si="762">IF($F$290, 0, IF($I$295, IF(AND(COLUMN($OD$313)-COLUMN($NV$311)=$Q$291,ROW($OD$313)-ROW($NV$311)=$K$291), U$290, OD313), OD313))</f>
        <v>0</v>
      </c>
      <c r="OE313" s="21">
        <f t="shared" si="762"/>
        <v>0</v>
      </c>
      <c r="OF313" s="21">
        <f t="shared" si="762"/>
        <v>0</v>
      </c>
      <c r="OG313" s="21">
        <f t="shared" si="762"/>
        <v>0</v>
      </c>
      <c r="OH313" s="21">
        <f t="shared" si="762"/>
        <v>0</v>
      </c>
      <c r="OI313" s="21">
        <f t="shared" si="762"/>
        <v>0</v>
      </c>
      <c r="OJ313" s="21">
        <f t="shared" si="762"/>
        <v>0</v>
      </c>
      <c r="OK313" s="21">
        <f t="shared" si="762"/>
        <v>0</v>
      </c>
      <c r="OL313" s="21">
        <f t="shared" ref="OL313:OS313" si="763">IF($F$290, 0, IF($I$295, IF(AND(COLUMN($OL$313)-COLUMN($NV$311)=$Q$291,ROW($OL$313)-ROW($NV$311)=$K$291), U$290, OL313), OL313))</f>
        <v>0</v>
      </c>
      <c r="OM313" s="21">
        <f t="shared" si="763"/>
        <v>0</v>
      </c>
      <c r="ON313" s="21">
        <f t="shared" si="763"/>
        <v>0</v>
      </c>
      <c r="OO313" s="21">
        <f t="shared" si="763"/>
        <v>0</v>
      </c>
      <c r="OP313" s="21">
        <f t="shared" si="763"/>
        <v>0</v>
      </c>
      <c r="OQ313" s="21">
        <f t="shared" si="763"/>
        <v>0</v>
      </c>
      <c r="OR313" s="21">
        <f t="shared" si="763"/>
        <v>0</v>
      </c>
      <c r="OS313" s="21">
        <f t="shared" si="763"/>
        <v>0</v>
      </c>
      <c r="OT313" s="21">
        <f t="shared" ref="OT313:PA313" si="764">IF($F$290, 0, IF($I$295, IF(AND(COLUMN($OT$313)-COLUMN($NV$311)=$Q$291,ROW($OT$313)-ROW($NV$311)=$K$291), U$290, OT313), OT313))</f>
        <v>0</v>
      </c>
      <c r="OU313" s="21">
        <f t="shared" si="764"/>
        <v>0</v>
      </c>
      <c r="OV313" s="21">
        <f t="shared" si="764"/>
        <v>0</v>
      </c>
      <c r="OW313" s="21">
        <f t="shared" si="764"/>
        <v>0</v>
      </c>
      <c r="OX313" s="21">
        <f t="shared" si="764"/>
        <v>0</v>
      </c>
      <c r="OY313" s="21">
        <f t="shared" si="764"/>
        <v>0</v>
      </c>
      <c r="OZ313" s="21">
        <f t="shared" si="764"/>
        <v>0</v>
      </c>
      <c r="PA313" s="21">
        <f t="shared" si="764"/>
        <v>0</v>
      </c>
      <c r="PB313" s="21">
        <f t="shared" ref="PB313:PI313" si="765">IF($F$290, 0, IF($I$295, IF(AND(COLUMN($PB$313)-COLUMN($NV$311)=$Q$291,ROW($PB$313)-ROW($NV$311)=$K$291), U$290, PB313), PB313))</f>
        <v>0</v>
      </c>
      <c r="PC313" s="21">
        <f t="shared" si="765"/>
        <v>0</v>
      </c>
      <c r="PD313" s="21">
        <f t="shared" si="765"/>
        <v>0</v>
      </c>
      <c r="PE313" s="21">
        <f t="shared" si="765"/>
        <v>0</v>
      </c>
      <c r="PF313" s="21">
        <f t="shared" si="765"/>
        <v>0</v>
      </c>
      <c r="PG313" s="21">
        <f t="shared" si="765"/>
        <v>0</v>
      </c>
      <c r="PH313" s="21">
        <f t="shared" si="765"/>
        <v>0</v>
      </c>
      <c r="PI313" s="21">
        <f t="shared" si="765"/>
        <v>0</v>
      </c>
      <c r="PJ313" s="21">
        <f t="shared" ref="PJ313:PQ313" si="766">IF($F$290, 0, IF($I$295, IF(AND(COLUMN($PJ$313)-COLUMN($NV$311)=$Q$291,ROW($PJ$313)-ROW($NV$311)=$K$291), U$290, PJ313), PJ313))</f>
        <v>0</v>
      </c>
      <c r="PK313" s="21">
        <f t="shared" si="766"/>
        <v>0</v>
      </c>
      <c r="PL313" s="21">
        <f t="shared" si="766"/>
        <v>0</v>
      </c>
      <c r="PM313" s="21">
        <f t="shared" si="766"/>
        <v>0</v>
      </c>
      <c r="PN313" s="21">
        <f t="shared" si="766"/>
        <v>0</v>
      </c>
      <c r="PO313" s="21">
        <f t="shared" si="766"/>
        <v>0</v>
      </c>
      <c r="PP313" s="21">
        <f t="shared" si="766"/>
        <v>0</v>
      </c>
      <c r="PQ313" s="21">
        <f t="shared" si="766"/>
        <v>0</v>
      </c>
      <c r="PR313" s="21">
        <f t="shared" ref="PR313:PY313" si="767">IF($F$290, 0, IF($I$295, IF(AND(COLUMN($PR$313)-COLUMN($NV$311)=$Q$291,ROW($PR$313)-ROW($NV$311)=$K$291), U$290, PR313), PR313))</f>
        <v>0</v>
      </c>
      <c r="PS313" s="21">
        <f t="shared" si="767"/>
        <v>0</v>
      </c>
      <c r="PT313" s="21">
        <f t="shared" si="767"/>
        <v>0</v>
      </c>
      <c r="PU313" s="21">
        <f t="shared" si="767"/>
        <v>0</v>
      </c>
      <c r="PV313" s="21">
        <f t="shared" si="767"/>
        <v>0</v>
      </c>
      <c r="PW313" s="21">
        <f t="shared" si="767"/>
        <v>0</v>
      </c>
      <c r="PX313" s="21">
        <f t="shared" si="767"/>
        <v>0</v>
      </c>
      <c r="PY313" s="21">
        <f t="shared" si="767"/>
        <v>0</v>
      </c>
      <c r="PZ313" s="21">
        <f t="shared" ref="PZ313:QG313" si="768">IF($F$290, 0, IF($I$295, IF(AND(COLUMN($PZ$313)-COLUMN($NV$311)=$Q$291,ROW($PZ$313)-ROW($NV$311)=$K$291), U$290, PZ313), PZ313))</f>
        <v>0</v>
      </c>
      <c r="QA313" s="21">
        <f t="shared" si="768"/>
        <v>0</v>
      </c>
      <c r="QB313" s="21">
        <f t="shared" si="768"/>
        <v>0</v>
      </c>
      <c r="QC313" s="21">
        <f t="shared" si="768"/>
        <v>0</v>
      </c>
      <c r="QD313" s="21">
        <f t="shared" si="768"/>
        <v>0</v>
      </c>
      <c r="QE313" s="21">
        <f t="shared" si="768"/>
        <v>0</v>
      </c>
      <c r="QF313" s="21">
        <f t="shared" si="768"/>
        <v>0</v>
      </c>
      <c r="QG313" s="21">
        <f t="shared" si="768"/>
        <v>0</v>
      </c>
      <c r="QH313" s="21">
        <f t="shared" ref="QH313:QO313" si="769">IF($F$290, 0, IF($J$295, IF(AND(COLUMN($QH$313)-COLUMN($QH$311)=$Q$291,ROW($QH$313)-ROW($QH$311)=$K$291), U$290, QH313), QH313))</f>
        <v>0</v>
      </c>
      <c r="QI313" s="21">
        <f t="shared" si="769"/>
        <v>0</v>
      </c>
      <c r="QJ313" s="21">
        <f t="shared" si="769"/>
        <v>0</v>
      </c>
      <c r="QK313" s="21">
        <f t="shared" si="769"/>
        <v>0</v>
      </c>
      <c r="QL313" s="21">
        <f t="shared" si="769"/>
        <v>0</v>
      </c>
      <c r="QM313" s="21">
        <f t="shared" si="769"/>
        <v>0</v>
      </c>
      <c r="QN313" s="21">
        <f t="shared" si="769"/>
        <v>0</v>
      </c>
      <c r="QO313" s="21">
        <f t="shared" si="769"/>
        <v>0</v>
      </c>
      <c r="QP313" s="21">
        <f t="shared" ref="QP313:QW313" si="770">IF($F$290, 0, IF($J$295, IF(AND(COLUMN($QP$313)-COLUMN($QH$311)=$Q$291,ROW($QP$313)-ROW($QH$311)=$K$291), U$290, QP313), QP313))</f>
        <v>0</v>
      </c>
      <c r="QQ313" s="21">
        <f t="shared" si="770"/>
        <v>0</v>
      </c>
      <c r="QR313" s="21">
        <f t="shared" si="770"/>
        <v>0</v>
      </c>
      <c r="QS313" s="21">
        <f t="shared" si="770"/>
        <v>0</v>
      </c>
      <c r="QT313" s="21">
        <f t="shared" si="770"/>
        <v>0</v>
      </c>
      <c r="QU313" s="21">
        <f t="shared" si="770"/>
        <v>0</v>
      </c>
      <c r="QV313" s="21">
        <f t="shared" si="770"/>
        <v>0</v>
      </c>
      <c r="QW313" s="21">
        <f t="shared" si="770"/>
        <v>0</v>
      </c>
      <c r="QX313" s="21">
        <f t="shared" ref="QX313:RE313" si="771">IF($F$290, 0, IF($J$295, IF(AND(COLUMN($QX$313)-COLUMN($QH$311)=$Q$291,ROW($QX$313)-ROW($QH$311)=$K$291), U$290, QX313), QX313))</f>
        <v>0</v>
      </c>
      <c r="QY313" s="21">
        <f t="shared" si="771"/>
        <v>0</v>
      </c>
      <c r="QZ313" s="21">
        <f t="shared" si="771"/>
        <v>0</v>
      </c>
      <c r="RA313" s="21">
        <f t="shared" si="771"/>
        <v>0</v>
      </c>
      <c r="RB313" s="21">
        <f t="shared" si="771"/>
        <v>0</v>
      </c>
      <c r="RC313" s="21">
        <f t="shared" si="771"/>
        <v>0</v>
      </c>
      <c r="RD313" s="21">
        <f t="shared" si="771"/>
        <v>0</v>
      </c>
      <c r="RE313" s="21">
        <f t="shared" si="771"/>
        <v>0</v>
      </c>
      <c r="RF313" s="21">
        <f t="shared" ref="RF313:RM313" si="772">IF($F$290, 0, IF($J$295, IF(AND(COLUMN($RF$313)-COLUMN($QH$311)=$Q$291,ROW($RF$313)-ROW($QH$311)=$K$291), U$290, RF313), RF313))</f>
        <v>0</v>
      </c>
      <c r="RG313" s="21">
        <f t="shared" si="772"/>
        <v>0</v>
      </c>
      <c r="RH313" s="21">
        <f t="shared" si="772"/>
        <v>0</v>
      </c>
      <c r="RI313" s="21">
        <f t="shared" si="772"/>
        <v>0</v>
      </c>
      <c r="RJ313" s="21">
        <f t="shared" si="772"/>
        <v>0</v>
      </c>
      <c r="RK313" s="21">
        <f t="shared" si="772"/>
        <v>0</v>
      </c>
      <c r="RL313" s="21">
        <f t="shared" si="772"/>
        <v>0</v>
      </c>
      <c r="RM313" s="21">
        <f t="shared" si="772"/>
        <v>0</v>
      </c>
      <c r="RN313" s="21">
        <f t="shared" ref="RN313:RU313" si="773">IF($F$290, 0, IF($J$295, IF(AND(COLUMN($RN$313)-COLUMN($QH$311)=$Q$291,ROW($RN$313)-ROW($QH$311)=$K$291), U$290, RN313), RN313))</f>
        <v>0</v>
      </c>
      <c r="RO313" s="21">
        <f t="shared" si="773"/>
        <v>0</v>
      </c>
      <c r="RP313" s="21">
        <f t="shared" si="773"/>
        <v>0</v>
      </c>
      <c r="RQ313" s="21">
        <f t="shared" si="773"/>
        <v>0</v>
      </c>
      <c r="RR313" s="21">
        <f t="shared" si="773"/>
        <v>0</v>
      </c>
      <c r="RS313" s="21">
        <f t="shared" si="773"/>
        <v>0</v>
      </c>
      <c r="RT313" s="21">
        <f t="shared" si="773"/>
        <v>0</v>
      </c>
      <c r="RU313" s="21">
        <f t="shared" si="773"/>
        <v>0</v>
      </c>
      <c r="RV313" s="21">
        <f t="shared" ref="RV313:SC313" si="774">IF($F$290, 0, IF($J$295, IF(AND(COLUMN($RV$313)-COLUMN($QH$311)=$Q$291,ROW($RV$313)-ROW($QH$311)=$K$291), U$290, RV313), RV313))</f>
        <v>0</v>
      </c>
      <c r="RW313" s="21">
        <f t="shared" si="774"/>
        <v>0</v>
      </c>
      <c r="RX313" s="21">
        <f t="shared" si="774"/>
        <v>0</v>
      </c>
      <c r="RY313" s="21">
        <f t="shared" si="774"/>
        <v>0</v>
      </c>
      <c r="RZ313" s="21">
        <f t="shared" si="774"/>
        <v>0</v>
      </c>
      <c r="SA313" s="21">
        <f t="shared" si="774"/>
        <v>0</v>
      </c>
      <c r="SB313" s="21">
        <f t="shared" si="774"/>
        <v>0</v>
      </c>
      <c r="SC313" s="21">
        <f t="shared" si="774"/>
        <v>0</v>
      </c>
      <c r="SD313" s="21">
        <f t="shared" ref="SD313:SK313" si="775">IF($F$290, 0, IF($J$295, IF(AND(COLUMN($SD$313)-COLUMN($QH$311)=$Q$291,ROW($SD$313)-ROW($QH$311)=$K$291), U$290, SD313), SD313))</f>
        <v>0</v>
      </c>
      <c r="SE313" s="21">
        <f t="shared" si="775"/>
        <v>0</v>
      </c>
      <c r="SF313" s="21">
        <f t="shared" si="775"/>
        <v>0</v>
      </c>
      <c r="SG313" s="21">
        <f t="shared" si="775"/>
        <v>0</v>
      </c>
      <c r="SH313" s="21">
        <f t="shared" si="775"/>
        <v>0</v>
      </c>
      <c r="SI313" s="21">
        <f t="shared" si="775"/>
        <v>0</v>
      </c>
      <c r="SJ313" s="21">
        <f t="shared" si="775"/>
        <v>0</v>
      </c>
      <c r="SK313" s="21">
        <f t="shared" si="775"/>
        <v>0</v>
      </c>
      <c r="SL313" s="21">
        <f t="shared" ref="SL313:SS313" si="776">IF($F$290, 0, IF($J$295, IF(AND(COLUMN($SL$313)-COLUMN($QH$311)=$Q$291,ROW($SL$313)-ROW($QH$311)=$K$291), U$290, SL313), SL313))</f>
        <v>0</v>
      </c>
      <c r="SM313" s="21">
        <f t="shared" si="776"/>
        <v>0</v>
      </c>
      <c r="SN313" s="21">
        <f t="shared" si="776"/>
        <v>0</v>
      </c>
      <c r="SO313" s="21">
        <f t="shared" si="776"/>
        <v>0</v>
      </c>
      <c r="SP313" s="21">
        <f t="shared" si="776"/>
        <v>0</v>
      </c>
      <c r="SQ313" s="21">
        <f t="shared" si="776"/>
        <v>0</v>
      </c>
      <c r="SR313" s="21">
        <f t="shared" si="776"/>
        <v>0</v>
      </c>
      <c r="SS313" s="21">
        <f t="shared" si="776"/>
        <v>0</v>
      </c>
    </row>
    <row r="314" spans="2:513" ht="15" customHeight="1" x14ac:dyDescent="0.25">
      <c r="B314" s="21">
        <f t="shared" ref="B314:I314" si="777">IF($F$290, 0, IF($C$295, IF(AND(COLUMN($B$314)-COLUMN($B$311)=$Q$291,ROW($B$314)-ROW($B$311)=$K$291), U$290, B314), B314))</f>
        <v>0</v>
      </c>
      <c r="C314" s="21">
        <f t="shared" si="777"/>
        <v>0</v>
      </c>
      <c r="D314" s="21">
        <f t="shared" si="777"/>
        <v>0</v>
      </c>
      <c r="E314" s="21">
        <f t="shared" si="777"/>
        <v>0</v>
      </c>
      <c r="F314" s="21">
        <f t="shared" si="777"/>
        <v>0</v>
      </c>
      <c r="G314" s="21">
        <f t="shared" si="777"/>
        <v>0</v>
      </c>
      <c r="H314" s="21">
        <f t="shared" si="777"/>
        <v>0</v>
      </c>
      <c r="I314" s="21">
        <f t="shared" si="777"/>
        <v>0</v>
      </c>
      <c r="J314" s="21">
        <f t="shared" ref="J314:Q314" si="778">IF($F$290, 0, IF($C$295, IF(AND(COLUMN($J$314)-COLUMN($B$311)=$Q$291,ROW($J$314)-ROW($B$311)=$K$291), U$290, J314), J314))</f>
        <v>0</v>
      </c>
      <c r="K314" s="21">
        <f t="shared" si="778"/>
        <v>0</v>
      </c>
      <c r="L314" s="21">
        <f t="shared" si="778"/>
        <v>0</v>
      </c>
      <c r="M314" s="21">
        <f t="shared" si="778"/>
        <v>0</v>
      </c>
      <c r="N314" s="21">
        <f t="shared" si="778"/>
        <v>0</v>
      </c>
      <c r="O314" s="21">
        <f t="shared" si="778"/>
        <v>0</v>
      </c>
      <c r="P314" s="21">
        <f t="shared" si="778"/>
        <v>0</v>
      </c>
      <c r="Q314" s="21">
        <f t="shared" si="778"/>
        <v>0</v>
      </c>
      <c r="R314" s="21">
        <f>IF($F$290, 0, IF($C$295, IF(AND(COLUMN($R$314)-COLUMN($B$311)=$Q$291,ROW($R$314)-ROW($B$311)=$K$291), U$290, R314), R314))</f>
        <v>0</v>
      </c>
      <c r="S314" s="21">
        <f t="shared" ref="S314:Y314" si="779">IF($F$290, 0, IF($C$295, IF(AND(COLUMN($R$314)-COLUMN($B$311)=$Q$291,ROW($R$314)-ROW($B$311)=$K$291), V$290, S314), S314))</f>
        <v>0</v>
      </c>
      <c r="T314" s="21">
        <f t="shared" si="779"/>
        <v>0</v>
      </c>
      <c r="U314" s="21">
        <f t="shared" si="779"/>
        <v>0</v>
      </c>
      <c r="V314" s="21">
        <f t="shared" si="779"/>
        <v>0</v>
      </c>
      <c r="W314" s="21">
        <f t="shared" si="779"/>
        <v>0</v>
      </c>
      <c r="X314" s="21">
        <f t="shared" si="779"/>
        <v>0</v>
      </c>
      <c r="Y314" s="21">
        <f t="shared" si="779"/>
        <v>0</v>
      </c>
      <c r="Z314" s="21">
        <f t="shared" ref="Z314:AG314" si="780">IF($F$290, 0, IF($C$295, IF(AND(COLUMN($Z$314)-COLUMN($B$311)=$Q$291,ROW($Z$314)-ROW($B$311)=$K$291), U$290, Z314), Z314))</f>
        <v>0</v>
      </c>
      <c r="AA314" s="21">
        <f t="shared" si="780"/>
        <v>0</v>
      </c>
      <c r="AB314" s="21">
        <f t="shared" si="780"/>
        <v>0</v>
      </c>
      <c r="AC314" s="21">
        <f t="shared" si="780"/>
        <v>0</v>
      </c>
      <c r="AD314" s="21">
        <f t="shared" si="780"/>
        <v>0</v>
      </c>
      <c r="AE314" s="21">
        <f t="shared" si="780"/>
        <v>0</v>
      </c>
      <c r="AF314" s="21">
        <f t="shared" si="780"/>
        <v>0</v>
      </c>
      <c r="AG314" s="21">
        <f t="shared" si="780"/>
        <v>0</v>
      </c>
      <c r="AH314" s="21">
        <f t="shared" ref="AH314:AO314" si="781">IF($F$290, 0, IF($C$295, IF(AND(COLUMN($AH$314)-COLUMN($B$311)=$Q$291,ROW($AH$314)-ROW($B$311)=$K$291), U$290, AH314), AH314))</f>
        <v>0</v>
      </c>
      <c r="AI314" s="21">
        <f t="shared" si="781"/>
        <v>0</v>
      </c>
      <c r="AJ314" s="21">
        <f t="shared" si="781"/>
        <v>0</v>
      </c>
      <c r="AK314" s="21">
        <f t="shared" si="781"/>
        <v>0</v>
      </c>
      <c r="AL314" s="21">
        <f t="shared" si="781"/>
        <v>0</v>
      </c>
      <c r="AM314" s="21">
        <f t="shared" si="781"/>
        <v>0</v>
      </c>
      <c r="AN314" s="21">
        <f t="shared" si="781"/>
        <v>0</v>
      </c>
      <c r="AO314" s="21">
        <f t="shared" si="781"/>
        <v>0</v>
      </c>
      <c r="AP314" s="21">
        <f t="shared" ref="AP314:AW314" si="782">IF($F$290, 0, IF($C$295, IF(AND(COLUMN($AP$314)-COLUMN($B$311)=$Q$291,ROW($AP$314)-ROW($B$311)=$K$291), U$290, AP314), AP314))</f>
        <v>0</v>
      </c>
      <c r="AQ314" s="21">
        <f t="shared" si="782"/>
        <v>0</v>
      </c>
      <c r="AR314" s="21">
        <f t="shared" si="782"/>
        <v>0</v>
      </c>
      <c r="AS314" s="21">
        <f t="shared" si="782"/>
        <v>0</v>
      </c>
      <c r="AT314" s="21">
        <f t="shared" si="782"/>
        <v>0</v>
      </c>
      <c r="AU314" s="21">
        <f t="shared" si="782"/>
        <v>0</v>
      </c>
      <c r="AV314" s="21">
        <f t="shared" si="782"/>
        <v>0</v>
      </c>
      <c r="AW314" s="21">
        <f t="shared" si="782"/>
        <v>0</v>
      </c>
      <c r="AX314" s="21">
        <f t="shared" ref="AX314:BE314" si="783">IF($F$290, 0, IF($C$295, IF(AND(COLUMN($AX$314)-COLUMN($B$311)=$Q$291,ROW($AX$314)-ROW($B$311)=$K$291), U$290, AX314), AX314))</f>
        <v>0</v>
      </c>
      <c r="AY314" s="21">
        <f t="shared" si="783"/>
        <v>0</v>
      </c>
      <c r="AZ314" s="21">
        <f t="shared" si="783"/>
        <v>0</v>
      </c>
      <c r="BA314" s="21">
        <f t="shared" si="783"/>
        <v>0</v>
      </c>
      <c r="BB314" s="21">
        <f t="shared" si="783"/>
        <v>0</v>
      </c>
      <c r="BC314" s="21">
        <f t="shared" si="783"/>
        <v>0</v>
      </c>
      <c r="BD314" s="21">
        <f t="shared" si="783"/>
        <v>0</v>
      </c>
      <c r="BE314" s="21">
        <f t="shared" si="783"/>
        <v>0</v>
      </c>
      <c r="BF314" s="21">
        <f t="shared" ref="BF314:BM314" si="784">IF($F$290, 0, IF($C$295, IF(AND(COLUMN($BF$314)-COLUMN($B$311)=$Q$291,ROW($BF$314)-ROW($B$311)=$K$291), U$290, BF314), BF314))</f>
        <v>0</v>
      </c>
      <c r="BG314" s="21">
        <f t="shared" si="784"/>
        <v>0</v>
      </c>
      <c r="BH314" s="21">
        <f t="shared" si="784"/>
        <v>0</v>
      </c>
      <c r="BI314" s="21">
        <f t="shared" si="784"/>
        <v>0</v>
      </c>
      <c r="BJ314" s="21">
        <f t="shared" si="784"/>
        <v>0</v>
      </c>
      <c r="BK314" s="21">
        <f t="shared" si="784"/>
        <v>0</v>
      </c>
      <c r="BL314" s="21">
        <f t="shared" si="784"/>
        <v>0</v>
      </c>
      <c r="BM314" s="21">
        <f t="shared" si="784"/>
        <v>0</v>
      </c>
      <c r="BN314" s="21">
        <f t="shared" ref="BN314:BU314" si="785">IF($F$290, 0, IF($D$295, IF(AND(COLUMN($BN$314)-COLUMN($BN$311)=$Q$291,ROW($BN$314)-ROW($BN$311)=$K$291), U$290, BN314), BN314))</f>
        <v>0</v>
      </c>
      <c r="BO314" s="21">
        <f t="shared" si="785"/>
        <v>0</v>
      </c>
      <c r="BP314" s="21">
        <f t="shared" si="785"/>
        <v>0</v>
      </c>
      <c r="BQ314" s="21">
        <f t="shared" si="785"/>
        <v>0</v>
      </c>
      <c r="BR314" s="21">
        <f t="shared" si="785"/>
        <v>0</v>
      </c>
      <c r="BS314" s="21">
        <f t="shared" si="785"/>
        <v>0</v>
      </c>
      <c r="BT314" s="21">
        <f t="shared" si="785"/>
        <v>0</v>
      </c>
      <c r="BU314" s="21">
        <f t="shared" si="785"/>
        <v>0</v>
      </c>
      <c r="BV314" s="21">
        <f t="shared" ref="BV314:CC314" si="786">IF($F$290, 0, IF($D$295, IF(AND(COLUMN($BV$314)-COLUMN($BN$311)=$Q$291,ROW($BV$314)-ROW($BN$311)=$K$291), U$290, BV314), BV314))</f>
        <v>0</v>
      </c>
      <c r="BW314" s="21">
        <f t="shared" si="786"/>
        <v>0</v>
      </c>
      <c r="BX314" s="21">
        <f t="shared" si="786"/>
        <v>0</v>
      </c>
      <c r="BY314" s="21">
        <f t="shared" si="786"/>
        <v>0</v>
      </c>
      <c r="BZ314" s="21">
        <f t="shared" si="786"/>
        <v>0</v>
      </c>
      <c r="CA314" s="21">
        <f t="shared" si="786"/>
        <v>0</v>
      </c>
      <c r="CB314" s="21">
        <f t="shared" si="786"/>
        <v>0</v>
      </c>
      <c r="CC314" s="21">
        <f t="shared" si="786"/>
        <v>0</v>
      </c>
      <c r="CD314" s="21">
        <f t="shared" ref="CD314:CK314" si="787">IF($F$290, 0, IF($D$295, IF(AND(COLUMN($CD$314)-COLUMN($BN$311)=$Q$291,ROW($CD$314)-ROW($BN$311)=$K$291), U$290, CD314), CD314))</f>
        <v>0</v>
      </c>
      <c r="CE314" s="21">
        <f t="shared" si="787"/>
        <v>0</v>
      </c>
      <c r="CF314" s="21">
        <f t="shared" si="787"/>
        <v>0</v>
      </c>
      <c r="CG314" s="21">
        <f t="shared" si="787"/>
        <v>0</v>
      </c>
      <c r="CH314" s="21">
        <f t="shared" si="787"/>
        <v>0</v>
      </c>
      <c r="CI314" s="21">
        <f t="shared" si="787"/>
        <v>0</v>
      </c>
      <c r="CJ314" s="21">
        <f t="shared" si="787"/>
        <v>0</v>
      </c>
      <c r="CK314" s="21">
        <f t="shared" si="787"/>
        <v>0</v>
      </c>
      <c r="CL314" s="21">
        <f t="shared" ref="CL314:CS314" si="788">IF($F$290, 0, IF($D$295, IF(AND(COLUMN($CL$314)-COLUMN($BN$311)=$Q$291,ROW($CL$314)-ROW($BN$311)=$K$291), U$290, CL314), CL314))</f>
        <v>0</v>
      </c>
      <c r="CM314" s="21">
        <f t="shared" si="788"/>
        <v>0</v>
      </c>
      <c r="CN314" s="21">
        <f t="shared" si="788"/>
        <v>0</v>
      </c>
      <c r="CO314" s="21">
        <f t="shared" si="788"/>
        <v>0</v>
      </c>
      <c r="CP314" s="21">
        <f t="shared" si="788"/>
        <v>0</v>
      </c>
      <c r="CQ314" s="21">
        <f t="shared" si="788"/>
        <v>0</v>
      </c>
      <c r="CR314" s="21">
        <f t="shared" si="788"/>
        <v>0</v>
      </c>
      <c r="CS314" s="21">
        <f t="shared" si="788"/>
        <v>0</v>
      </c>
      <c r="CT314" s="21">
        <f t="shared" ref="CT314:DA314" si="789">IF($F$290, 0, IF($D$295, IF(AND(COLUMN($CT$314)-COLUMN($BN$311)=$Q$291,ROW($CT$314)-ROW($BN$311)=$K$291), U$290, CT314), CT314))</f>
        <v>0</v>
      </c>
      <c r="CU314" s="21">
        <f t="shared" si="789"/>
        <v>0</v>
      </c>
      <c r="CV314" s="21">
        <f t="shared" si="789"/>
        <v>0</v>
      </c>
      <c r="CW314" s="21">
        <f t="shared" si="789"/>
        <v>0</v>
      </c>
      <c r="CX314" s="21">
        <f t="shared" si="789"/>
        <v>0</v>
      </c>
      <c r="CY314" s="21">
        <f t="shared" si="789"/>
        <v>0</v>
      </c>
      <c r="CZ314" s="21">
        <f t="shared" si="789"/>
        <v>0</v>
      </c>
      <c r="DA314" s="21">
        <f t="shared" si="789"/>
        <v>0</v>
      </c>
      <c r="DB314" s="21">
        <f t="shared" ref="DB314:DI314" si="790">IF($F$290, 0, IF($D$295, IF(AND(COLUMN($DB$314)-COLUMN($BN$311)=$Q$291,ROW($DB$314)-ROW($BN$311)=$K$291), U$290, DB314), DB314))</f>
        <v>0</v>
      </c>
      <c r="DC314" s="21">
        <f t="shared" si="790"/>
        <v>0</v>
      </c>
      <c r="DD314" s="21">
        <f t="shared" si="790"/>
        <v>0</v>
      </c>
      <c r="DE314" s="21">
        <f t="shared" si="790"/>
        <v>0</v>
      </c>
      <c r="DF314" s="21">
        <f t="shared" si="790"/>
        <v>0</v>
      </c>
      <c r="DG314" s="21">
        <f t="shared" si="790"/>
        <v>0</v>
      </c>
      <c r="DH314" s="21">
        <f t="shared" si="790"/>
        <v>0</v>
      </c>
      <c r="DI314" s="21">
        <f t="shared" si="790"/>
        <v>0</v>
      </c>
      <c r="DJ314" s="21">
        <f t="shared" ref="DJ314:DQ314" si="791">IF($F$290, 0, IF($D$295, IF(AND(COLUMN($DJ$314)-COLUMN($BN$311)=$Q$291,ROW($DJ$314)-ROW($BN$311)=$K$291), U$290, DJ314), DJ314))</f>
        <v>0</v>
      </c>
      <c r="DK314" s="21">
        <f t="shared" si="791"/>
        <v>0</v>
      </c>
      <c r="DL314" s="21">
        <f t="shared" si="791"/>
        <v>0</v>
      </c>
      <c r="DM314" s="21">
        <f t="shared" si="791"/>
        <v>0</v>
      </c>
      <c r="DN314" s="21">
        <f t="shared" si="791"/>
        <v>0</v>
      </c>
      <c r="DO314" s="21">
        <f t="shared" si="791"/>
        <v>0</v>
      </c>
      <c r="DP314" s="21">
        <f t="shared" si="791"/>
        <v>0</v>
      </c>
      <c r="DQ314" s="21">
        <f t="shared" si="791"/>
        <v>0</v>
      </c>
      <c r="DR314" s="21">
        <f t="shared" ref="DR314:DY314" si="792">IF($F$290, 0, IF($D$295, IF(AND(COLUMN($DR$314)-COLUMN($BN$311)=$Q$291,ROW($DR$314)-ROW($BN$311)=$K$291), U$290, DR314), DR314))</f>
        <v>0</v>
      </c>
      <c r="DS314" s="21">
        <f t="shared" si="792"/>
        <v>0</v>
      </c>
      <c r="DT314" s="21">
        <f t="shared" si="792"/>
        <v>0</v>
      </c>
      <c r="DU314" s="21">
        <f t="shared" si="792"/>
        <v>0</v>
      </c>
      <c r="DV314" s="21">
        <f t="shared" si="792"/>
        <v>0</v>
      </c>
      <c r="DW314" s="21">
        <f t="shared" si="792"/>
        <v>0</v>
      </c>
      <c r="DX314" s="21">
        <f t="shared" si="792"/>
        <v>0</v>
      </c>
      <c r="DY314" s="21">
        <f t="shared" si="792"/>
        <v>0</v>
      </c>
      <c r="DZ314" s="21">
        <f t="shared" ref="DZ314:EG314" si="793">IF($F$290, 0, IF($E$295, IF(AND(COLUMN($DZ$314)-COLUMN($DZ$311)=$Q$291,ROW($DZ$314)-ROW($DZ$311)=$K$291), U$290, DZ314), DZ314))</f>
        <v>0</v>
      </c>
      <c r="EA314" s="21">
        <f t="shared" si="793"/>
        <v>0</v>
      </c>
      <c r="EB314" s="21">
        <f t="shared" si="793"/>
        <v>0</v>
      </c>
      <c r="EC314" s="21">
        <f t="shared" si="793"/>
        <v>0</v>
      </c>
      <c r="ED314" s="21">
        <f t="shared" si="793"/>
        <v>0</v>
      </c>
      <c r="EE314" s="21">
        <f t="shared" si="793"/>
        <v>0</v>
      </c>
      <c r="EF314" s="21">
        <f t="shared" si="793"/>
        <v>0</v>
      </c>
      <c r="EG314" s="21">
        <f t="shared" si="793"/>
        <v>0</v>
      </c>
      <c r="EH314" s="21">
        <f t="shared" ref="EH314:EO314" si="794">IF($F$290, 0, IF($E$295, IF(AND(COLUMN($EH$314)-COLUMN($DZ$311)=$Q$291,ROW($EH$314)-ROW($DZ$311)=$K$291), U$290, EH314), EH314))</f>
        <v>0</v>
      </c>
      <c r="EI314" s="21">
        <f t="shared" si="794"/>
        <v>0</v>
      </c>
      <c r="EJ314" s="21">
        <f t="shared" si="794"/>
        <v>0</v>
      </c>
      <c r="EK314" s="21">
        <f t="shared" si="794"/>
        <v>0</v>
      </c>
      <c r="EL314" s="21">
        <f t="shared" si="794"/>
        <v>0</v>
      </c>
      <c r="EM314" s="21">
        <f t="shared" si="794"/>
        <v>0</v>
      </c>
      <c r="EN314" s="21">
        <f t="shared" si="794"/>
        <v>0</v>
      </c>
      <c r="EO314" s="21">
        <f t="shared" si="794"/>
        <v>0</v>
      </c>
      <c r="EP314" s="21">
        <f t="shared" ref="EP314:EW314" si="795">IF($F$290, 0, IF($E$295, IF(AND(COLUMN($EP$314)-COLUMN($DZ$311)=$Q$291,ROW($EP$314)-ROW($DZ$311)=$K$291), U$290, EP314), EP314))</f>
        <v>0</v>
      </c>
      <c r="EQ314" s="21">
        <f t="shared" si="795"/>
        <v>0</v>
      </c>
      <c r="ER314" s="21">
        <f t="shared" si="795"/>
        <v>0</v>
      </c>
      <c r="ES314" s="21">
        <f t="shared" si="795"/>
        <v>0</v>
      </c>
      <c r="ET314" s="21">
        <f t="shared" si="795"/>
        <v>0</v>
      </c>
      <c r="EU314" s="21">
        <f t="shared" si="795"/>
        <v>0</v>
      </c>
      <c r="EV314" s="21">
        <f t="shared" si="795"/>
        <v>0</v>
      </c>
      <c r="EW314" s="21">
        <f t="shared" si="795"/>
        <v>0</v>
      </c>
      <c r="EX314" s="21">
        <f t="shared" ref="EX314:FE314" si="796">IF($F$290, 0, IF($E$295, IF(AND(COLUMN($EX$314)-COLUMN($DZ$311)=$Q$291,ROW($EX$314)-ROW($DZ$311)=$K$291), U$290, EX314), EX314))</f>
        <v>0</v>
      </c>
      <c r="EY314" s="21">
        <f t="shared" si="796"/>
        <v>0</v>
      </c>
      <c r="EZ314" s="21">
        <f t="shared" si="796"/>
        <v>0</v>
      </c>
      <c r="FA314" s="21">
        <f t="shared" si="796"/>
        <v>0</v>
      </c>
      <c r="FB314" s="21">
        <f t="shared" si="796"/>
        <v>0</v>
      </c>
      <c r="FC314" s="21">
        <f t="shared" si="796"/>
        <v>0</v>
      </c>
      <c r="FD314" s="21">
        <f t="shared" si="796"/>
        <v>0</v>
      </c>
      <c r="FE314" s="21">
        <f t="shared" si="796"/>
        <v>0</v>
      </c>
      <c r="FF314" s="21">
        <f t="shared" ref="FF314:FM314" si="797">IF($F$290, 0, IF($E$295, IF(AND(COLUMN($FF$314)-COLUMN($DZ$311)=$Q$291,ROW($FF$314)-ROW($DZ$311)=$K$291), U$290, FF314), FF314))</f>
        <v>0</v>
      </c>
      <c r="FG314" s="21">
        <f t="shared" si="797"/>
        <v>0</v>
      </c>
      <c r="FH314" s="21">
        <f t="shared" si="797"/>
        <v>0</v>
      </c>
      <c r="FI314" s="21">
        <f t="shared" si="797"/>
        <v>0</v>
      </c>
      <c r="FJ314" s="21">
        <f t="shared" si="797"/>
        <v>0</v>
      </c>
      <c r="FK314" s="21">
        <f t="shared" si="797"/>
        <v>0</v>
      </c>
      <c r="FL314" s="21">
        <f t="shared" si="797"/>
        <v>0</v>
      </c>
      <c r="FM314" s="21">
        <f t="shared" si="797"/>
        <v>0</v>
      </c>
      <c r="FN314" s="21">
        <f t="shared" ref="FN314:FU314" si="798">IF($F$290, 0, IF($E$295, IF(AND(COLUMN($FN$314)-COLUMN($DZ$311)=$Q$291,ROW($FN$314)-ROW($DZ$311)=$K$291), U$290, FN314), FN314))</f>
        <v>0</v>
      </c>
      <c r="FO314" s="21">
        <f t="shared" si="798"/>
        <v>0</v>
      </c>
      <c r="FP314" s="21">
        <f t="shared" si="798"/>
        <v>0</v>
      </c>
      <c r="FQ314" s="21">
        <f t="shared" si="798"/>
        <v>0</v>
      </c>
      <c r="FR314" s="21">
        <f t="shared" si="798"/>
        <v>0</v>
      </c>
      <c r="FS314" s="21">
        <f t="shared" si="798"/>
        <v>0</v>
      </c>
      <c r="FT314" s="21">
        <f t="shared" si="798"/>
        <v>0</v>
      </c>
      <c r="FU314" s="21">
        <f t="shared" si="798"/>
        <v>0</v>
      </c>
      <c r="FV314" s="21">
        <f t="shared" ref="FV314:GC314" si="799">IF($F$290, 0, IF($E$295, IF(AND(COLUMN($FV$314)-COLUMN($DZ$311)=$Q$291,ROW($FV$314)-ROW($DZ$311)=$K$291), U$290, FV314), FV314))</f>
        <v>0</v>
      </c>
      <c r="FW314" s="21">
        <f t="shared" si="799"/>
        <v>0</v>
      </c>
      <c r="FX314" s="21">
        <f t="shared" si="799"/>
        <v>0</v>
      </c>
      <c r="FY314" s="21">
        <f t="shared" si="799"/>
        <v>0</v>
      </c>
      <c r="FZ314" s="21">
        <f t="shared" si="799"/>
        <v>0</v>
      </c>
      <c r="GA314" s="21">
        <f t="shared" si="799"/>
        <v>0</v>
      </c>
      <c r="GB314" s="21">
        <f t="shared" si="799"/>
        <v>0</v>
      </c>
      <c r="GC314" s="21">
        <f t="shared" si="799"/>
        <v>0</v>
      </c>
      <c r="GD314" s="21">
        <f t="shared" ref="GD314:GK314" si="800">IF($F$290, 0, IF($E$295, IF(AND(COLUMN($GD$314)-COLUMN($DZ$311)=$Q$291,ROW($GD$314)-ROW($DZ$311)=$K$291), U$290, GD314), GD314))</f>
        <v>0</v>
      </c>
      <c r="GE314" s="21">
        <f t="shared" si="800"/>
        <v>0</v>
      </c>
      <c r="GF314" s="21">
        <f t="shared" si="800"/>
        <v>0</v>
      </c>
      <c r="GG314" s="21">
        <f t="shared" si="800"/>
        <v>0</v>
      </c>
      <c r="GH314" s="21">
        <f t="shared" si="800"/>
        <v>0</v>
      </c>
      <c r="GI314" s="21">
        <f t="shared" si="800"/>
        <v>0</v>
      </c>
      <c r="GJ314" s="21">
        <f t="shared" si="800"/>
        <v>0</v>
      </c>
      <c r="GK314" s="21">
        <f t="shared" si="800"/>
        <v>0</v>
      </c>
      <c r="GL314" s="21">
        <f t="shared" ref="GL314:GS314" si="801">IF($F$290, 0, IF($F$295, IF(AND(COLUMN($GL$314)-COLUMN($GL$311)=$Q$291,ROW($GL$314)-ROW($GL$311)=$K$291), U$290, GL314), GL314))</f>
        <v>0</v>
      </c>
      <c r="GM314" s="21">
        <f t="shared" si="801"/>
        <v>0</v>
      </c>
      <c r="GN314" s="21">
        <f t="shared" si="801"/>
        <v>0</v>
      </c>
      <c r="GO314" s="21">
        <f t="shared" si="801"/>
        <v>0</v>
      </c>
      <c r="GP314" s="21">
        <f t="shared" si="801"/>
        <v>0</v>
      </c>
      <c r="GQ314" s="21">
        <f t="shared" si="801"/>
        <v>0</v>
      </c>
      <c r="GR314" s="21">
        <f t="shared" si="801"/>
        <v>0</v>
      </c>
      <c r="GS314" s="21">
        <f t="shared" si="801"/>
        <v>0</v>
      </c>
      <c r="GT314" s="21">
        <f t="shared" ref="GT314:HA314" si="802">IF($F$290, 0, IF($F$295, IF(AND(COLUMN($GT$314)-COLUMN($GL$311)=$Q$291,ROW($GT$314)-ROW($GL$311)=$K$291), U$290, GT314), GT314))</f>
        <v>0</v>
      </c>
      <c r="GU314" s="21">
        <f t="shared" si="802"/>
        <v>0</v>
      </c>
      <c r="GV314" s="21">
        <f t="shared" si="802"/>
        <v>0</v>
      </c>
      <c r="GW314" s="21">
        <f t="shared" si="802"/>
        <v>0</v>
      </c>
      <c r="GX314" s="21">
        <f t="shared" si="802"/>
        <v>0</v>
      </c>
      <c r="GY314" s="21">
        <f t="shared" si="802"/>
        <v>0</v>
      </c>
      <c r="GZ314" s="21">
        <f t="shared" si="802"/>
        <v>0</v>
      </c>
      <c r="HA314" s="21">
        <f t="shared" si="802"/>
        <v>0</v>
      </c>
      <c r="HB314" s="21">
        <f t="shared" ref="HB314:HI314" si="803">IF($F$290, 0, IF($F$295, IF(AND(COLUMN($HB$314)-COLUMN($GL$311)=$Q$291,ROW($HB$314)-ROW($GL$311)=$K$291), U$290, HB314), HB314))</f>
        <v>0</v>
      </c>
      <c r="HC314" s="21">
        <f t="shared" si="803"/>
        <v>0</v>
      </c>
      <c r="HD314" s="21">
        <f t="shared" si="803"/>
        <v>0</v>
      </c>
      <c r="HE314" s="21">
        <f t="shared" si="803"/>
        <v>0</v>
      </c>
      <c r="HF314" s="21">
        <f t="shared" si="803"/>
        <v>0</v>
      </c>
      <c r="HG314" s="21">
        <f t="shared" si="803"/>
        <v>0</v>
      </c>
      <c r="HH314" s="21">
        <f t="shared" si="803"/>
        <v>0</v>
      </c>
      <c r="HI314" s="21">
        <f t="shared" si="803"/>
        <v>0</v>
      </c>
      <c r="HJ314" s="21">
        <f t="shared" ref="HJ314:HQ314" si="804">IF($F$290, 0, IF($F$295, IF(AND(COLUMN($HJ$314)-COLUMN($GL$311)=$Q$291,ROW($HJ$314)-ROW($GL$311)=$K$291), U$290, HJ314), HJ314))</f>
        <v>0</v>
      </c>
      <c r="HK314" s="21">
        <f t="shared" si="804"/>
        <v>0</v>
      </c>
      <c r="HL314" s="21">
        <f t="shared" si="804"/>
        <v>0</v>
      </c>
      <c r="HM314" s="21">
        <f t="shared" si="804"/>
        <v>0</v>
      </c>
      <c r="HN314" s="21">
        <f t="shared" si="804"/>
        <v>0</v>
      </c>
      <c r="HO314" s="21">
        <f t="shared" si="804"/>
        <v>0</v>
      </c>
      <c r="HP314" s="21">
        <f t="shared" si="804"/>
        <v>0</v>
      </c>
      <c r="HQ314" s="21">
        <f t="shared" si="804"/>
        <v>0</v>
      </c>
      <c r="HR314" s="21">
        <f t="shared" ref="HR314:HY314" si="805">IF($F$290, 0, IF($F$295, IF(AND(COLUMN($HR$314)-COLUMN($GL$311)=$Q$291,ROW($HR$314)-ROW($GL$311)=$K$291), U$290, HR314), HR314))</f>
        <v>0</v>
      </c>
      <c r="HS314" s="21">
        <f t="shared" si="805"/>
        <v>0</v>
      </c>
      <c r="HT314" s="21">
        <f t="shared" si="805"/>
        <v>0</v>
      </c>
      <c r="HU314" s="21">
        <f t="shared" si="805"/>
        <v>0</v>
      </c>
      <c r="HV314" s="21">
        <f t="shared" si="805"/>
        <v>0</v>
      </c>
      <c r="HW314" s="21">
        <f t="shared" si="805"/>
        <v>0</v>
      </c>
      <c r="HX314" s="21">
        <f t="shared" si="805"/>
        <v>0</v>
      </c>
      <c r="HY314" s="21">
        <f t="shared" si="805"/>
        <v>0</v>
      </c>
      <c r="HZ314" s="21">
        <f t="shared" ref="HZ314:IG314" si="806">IF($F$290, 0, IF($F$295, IF(AND(COLUMN($HZ$314)-COLUMN($GL$311)=$Q$291,ROW($HZ$314)-ROW($GL$311)=$K$291), U$290, HZ314), HZ314))</f>
        <v>0</v>
      </c>
      <c r="IA314" s="21">
        <f t="shared" si="806"/>
        <v>0</v>
      </c>
      <c r="IB314" s="21">
        <f t="shared" si="806"/>
        <v>0</v>
      </c>
      <c r="IC314" s="21">
        <f t="shared" si="806"/>
        <v>0</v>
      </c>
      <c r="ID314" s="21">
        <f t="shared" si="806"/>
        <v>0</v>
      </c>
      <c r="IE314" s="21">
        <f t="shared" si="806"/>
        <v>0</v>
      </c>
      <c r="IF314" s="21">
        <f t="shared" si="806"/>
        <v>0</v>
      </c>
      <c r="IG314" s="21">
        <f t="shared" si="806"/>
        <v>0</v>
      </c>
      <c r="IH314" s="21">
        <f t="shared" ref="IH314:IO314" si="807">IF($F$290, 0, IF($F$295, IF(AND(COLUMN($IH$314)-COLUMN($GL$311)=$Q$291,ROW($IH$314)-ROW($GL$311)=$K$291), U$290, IH314), IH314))</f>
        <v>0</v>
      </c>
      <c r="II314" s="21">
        <f t="shared" si="807"/>
        <v>0</v>
      </c>
      <c r="IJ314" s="21">
        <f t="shared" si="807"/>
        <v>0</v>
      </c>
      <c r="IK314" s="21">
        <f t="shared" si="807"/>
        <v>0</v>
      </c>
      <c r="IL314" s="21">
        <f t="shared" si="807"/>
        <v>0</v>
      </c>
      <c r="IM314" s="21">
        <f t="shared" si="807"/>
        <v>0</v>
      </c>
      <c r="IN314" s="21">
        <f t="shared" si="807"/>
        <v>0</v>
      </c>
      <c r="IO314" s="21">
        <f t="shared" si="807"/>
        <v>0</v>
      </c>
      <c r="IP314" s="21">
        <f t="shared" ref="IP314:IW314" si="808">IF($F$290, 0, IF($F$295, IF(AND(COLUMN($IP$314)-COLUMN($GL$311)=$Q$291,ROW($IP$314)-ROW($GL$311)=$K$291), U$290, IP314), IP314))</f>
        <v>0</v>
      </c>
      <c r="IQ314" s="21">
        <f t="shared" si="808"/>
        <v>0</v>
      </c>
      <c r="IR314" s="21">
        <f t="shared" si="808"/>
        <v>0</v>
      </c>
      <c r="IS314" s="21">
        <f t="shared" si="808"/>
        <v>0</v>
      </c>
      <c r="IT314" s="21">
        <f t="shared" si="808"/>
        <v>0</v>
      </c>
      <c r="IU314" s="21">
        <f t="shared" si="808"/>
        <v>0</v>
      </c>
      <c r="IV314" s="21">
        <f t="shared" si="808"/>
        <v>0</v>
      </c>
      <c r="IW314" s="21">
        <f t="shared" si="808"/>
        <v>0</v>
      </c>
      <c r="IX314" s="21">
        <f t="shared" ref="IX314:JE314" si="809">IF($F$290, 0, IF($G$295, IF(AND(COLUMN($IX$314)-COLUMN($IX$311)=$Q$291,ROW($IX$314)-ROW($IX$311)=$K$291), U$290, IX314), IX314))</f>
        <v>0</v>
      </c>
      <c r="IY314" s="21">
        <f t="shared" si="809"/>
        <v>0</v>
      </c>
      <c r="IZ314" s="21">
        <f t="shared" si="809"/>
        <v>0</v>
      </c>
      <c r="JA314" s="21">
        <f t="shared" si="809"/>
        <v>0</v>
      </c>
      <c r="JB314" s="21">
        <f t="shared" si="809"/>
        <v>0</v>
      </c>
      <c r="JC314" s="21">
        <f t="shared" si="809"/>
        <v>0</v>
      </c>
      <c r="JD314" s="21">
        <f t="shared" si="809"/>
        <v>0</v>
      </c>
      <c r="JE314" s="21">
        <f t="shared" si="809"/>
        <v>0</v>
      </c>
      <c r="JF314" s="21">
        <f t="shared" ref="JF314:JM314" si="810">IF($F$290, 0, IF($G$295, IF(AND(COLUMN($JF$314)-COLUMN($IX$311)=$Q$291,ROW($JF$314)-ROW($IX$311)=$K$291), U$290, JF314), JF314))</f>
        <v>0</v>
      </c>
      <c r="JG314" s="21">
        <f t="shared" si="810"/>
        <v>0</v>
      </c>
      <c r="JH314" s="21">
        <f t="shared" si="810"/>
        <v>0</v>
      </c>
      <c r="JI314" s="21">
        <f t="shared" si="810"/>
        <v>0</v>
      </c>
      <c r="JJ314" s="21">
        <f t="shared" si="810"/>
        <v>0</v>
      </c>
      <c r="JK314" s="21">
        <f t="shared" si="810"/>
        <v>0</v>
      </c>
      <c r="JL314" s="21">
        <f t="shared" si="810"/>
        <v>0</v>
      </c>
      <c r="JM314" s="21">
        <f t="shared" si="810"/>
        <v>0</v>
      </c>
      <c r="JN314" s="21">
        <f t="shared" ref="JN314:JU314" si="811">IF($F$290, 0, IF($G$295, IF(AND(COLUMN($JN$314)-COLUMN($IX$311)=$Q$291,ROW($JN$314)-ROW($IX$311)=$K$291), U$290, JN314), JN314))</f>
        <v>0</v>
      </c>
      <c r="JO314" s="21">
        <f t="shared" si="811"/>
        <v>0</v>
      </c>
      <c r="JP314" s="21">
        <f t="shared" si="811"/>
        <v>0</v>
      </c>
      <c r="JQ314" s="21">
        <f t="shared" si="811"/>
        <v>0</v>
      </c>
      <c r="JR314" s="21">
        <f t="shared" si="811"/>
        <v>0</v>
      </c>
      <c r="JS314" s="21">
        <f t="shared" si="811"/>
        <v>0</v>
      </c>
      <c r="JT314" s="21">
        <f t="shared" si="811"/>
        <v>0</v>
      </c>
      <c r="JU314" s="21">
        <f t="shared" si="811"/>
        <v>0</v>
      </c>
      <c r="JV314" s="21">
        <f t="shared" ref="JV314:KC314" si="812">IF($F$290, 0, IF($G$295, IF(AND(COLUMN($JV$314)-COLUMN($IX$311)=$Q$291,ROW($JV$314)-ROW($IX$311)=$K$291), U$290, JV314), JV314))</f>
        <v>0</v>
      </c>
      <c r="JW314" s="21">
        <f t="shared" si="812"/>
        <v>0</v>
      </c>
      <c r="JX314" s="21">
        <f t="shared" si="812"/>
        <v>0</v>
      </c>
      <c r="JY314" s="21">
        <f t="shared" si="812"/>
        <v>0</v>
      </c>
      <c r="JZ314" s="21">
        <f t="shared" si="812"/>
        <v>0</v>
      </c>
      <c r="KA314" s="21">
        <f t="shared" si="812"/>
        <v>0</v>
      </c>
      <c r="KB314" s="21">
        <f t="shared" si="812"/>
        <v>0</v>
      </c>
      <c r="KC314" s="21">
        <f t="shared" si="812"/>
        <v>0</v>
      </c>
      <c r="KD314" s="21">
        <f t="shared" ref="KD314:KK314" si="813">IF($F$290, 0, IF($G$295, IF(AND(COLUMN($KD$314)-COLUMN($IX$311)=$Q$291,ROW($KD$314)-ROW($IX$311)=$K$291), U$290, KD314), KD314))</f>
        <v>0</v>
      </c>
      <c r="KE314" s="21">
        <f t="shared" si="813"/>
        <v>0</v>
      </c>
      <c r="KF314" s="21">
        <f t="shared" si="813"/>
        <v>0</v>
      </c>
      <c r="KG314" s="21">
        <f t="shared" si="813"/>
        <v>0</v>
      </c>
      <c r="KH314" s="21">
        <f t="shared" si="813"/>
        <v>0</v>
      </c>
      <c r="KI314" s="21">
        <f t="shared" si="813"/>
        <v>0</v>
      </c>
      <c r="KJ314" s="21">
        <f t="shared" si="813"/>
        <v>0</v>
      </c>
      <c r="KK314" s="21">
        <f t="shared" si="813"/>
        <v>0</v>
      </c>
      <c r="KL314" s="21">
        <f t="shared" ref="KL314:KS314" si="814">IF($F$290, 0, IF($G$295, IF(AND(COLUMN($KL$314)-COLUMN($IX$311)=$Q$291,ROW($KL$314)-ROW($IX$311)=$K$291), U$290, KL314), KL314))</f>
        <v>0</v>
      </c>
      <c r="KM314" s="21">
        <f t="shared" si="814"/>
        <v>0</v>
      </c>
      <c r="KN314" s="21">
        <f t="shared" si="814"/>
        <v>0</v>
      </c>
      <c r="KO314" s="21">
        <f t="shared" si="814"/>
        <v>0</v>
      </c>
      <c r="KP314" s="21">
        <f t="shared" si="814"/>
        <v>0</v>
      </c>
      <c r="KQ314" s="21">
        <f t="shared" si="814"/>
        <v>0</v>
      </c>
      <c r="KR314" s="21">
        <f t="shared" si="814"/>
        <v>0</v>
      </c>
      <c r="KS314" s="21">
        <f t="shared" si="814"/>
        <v>0</v>
      </c>
      <c r="KT314" s="21">
        <f t="shared" ref="KT314:LA314" si="815">IF($F$290, 0, IF($G$295, IF(AND(COLUMN($KT$314)-COLUMN($IX$311)=$Q$291,ROW($KT$314)-ROW($IX$311)=$K$291), U$290, KT314), KT314))</f>
        <v>0</v>
      </c>
      <c r="KU314" s="21">
        <f t="shared" si="815"/>
        <v>0</v>
      </c>
      <c r="KV314" s="21">
        <f t="shared" si="815"/>
        <v>0</v>
      </c>
      <c r="KW314" s="21">
        <f t="shared" si="815"/>
        <v>0</v>
      </c>
      <c r="KX314" s="21">
        <f t="shared" si="815"/>
        <v>0</v>
      </c>
      <c r="KY314" s="21">
        <f t="shared" si="815"/>
        <v>0</v>
      </c>
      <c r="KZ314" s="21">
        <f t="shared" si="815"/>
        <v>0</v>
      </c>
      <c r="LA314" s="21">
        <f t="shared" si="815"/>
        <v>0</v>
      </c>
      <c r="LB314" s="21">
        <f t="shared" ref="LB314:LI314" si="816">IF($F$290, 0, IF($G$295, IF(AND(COLUMN($LB$314)-COLUMN($IX$311)=$Q$291,ROW($LB$314)-ROW($IX$311)=$K$291), U$290, LB314), LB314))</f>
        <v>0</v>
      </c>
      <c r="LC314" s="21">
        <f t="shared" si="816"/>
        <v>0</v>
      </c>
      <c r="LD314" s="21">
        <f t="shared" si="816"/>
        <v>0</v>
      </c>
      <c r="LE314" s="21">
        <f t="shared" si="816"/>
        <v>0</v>
      </c>
      <c r="LF314" s="21">
        <f t="shared" si="816"/>
        <v>0</v>
      </c>
      <c r="LG314" s="21">
        <f t="shared" si="816"/>
        <v>0</v>
      </c>
      <c r="LH314" s="21">
        <f t="shared" si="816"/>
        <v>0</v>
      </c>
      <c r="LI314" s="21">
        <f t="shared" si="816"/>
        <v>0</v>
      </c>
      <c r="LJ314" s="21">
        <f t="shared" ref="LJ314:LQ314" si="817">IF($F$290, 0, IF($H$295, IF(AND(COLUMN($LJ$314)-COLUMN($LJ$311)=$Q$291,ROW($LJ$314)-ROW($LJ$311)=$K$291), U$290, LJ314), LJ314))</f>
        <v>0</v>
      </c>
      <c r="LK314" s="21">
        <f t="shared" si="817"/>
        <v>0</v>
      </c>
      <c r="LL314" s="21">
        <f t="shared" si="817"/>
        <v>0</v>
      </c>
      <c r="LM314" s="21">
        <f t="shared" si="817"/>
        <v>0</v>
      </c>
      <c r="LN314" s="21">
        <f t="shared" si="817"/>
        <v>0</v>
      </c>
      <c r="LO314" s="21">
        <f t="shared" si="817"/>
        <v>0</v>
      </c>
      <c r="LP314" s="21">
        <f t="shared" si="817"/>
        <v>0</v>
      </c>
      <c r="LQ314" s="21">
        <f t="shared" si="817"/>
        <v>0</v>
      </c>
      <c r="LR314" s="21">
        <f t="shared" ref="LR314:LY314" si="818">IF($F$290, 0, IF($H$295, IF(AND(COLUMN($LR$314)-COLUMN($LJ$311)=$Q$291,ROW($LR$314)-ROW($LJ$311)=$K$291), U$290, LR314), LR314))</f>
        <v>0</v>
      </c>
      <c r="LS314" s="21">
        <f t="shared" si="818"/>
        <v>0</v>
      </c>
      <c r="LT314" s="21">
        <f t="shared" si="818"/>
        <v>0</v>
      </c>
      <c r="LU314" s="21">
        <f t="shared" si="818"/>
        <v>0</v>
      </c>
      <c r="LV314" s="21">
        <f t="shared" si="818"/>
        <v>0</v>
      </c>
      <c r="LW314" s="21">
        <f t="shared" si="818"/>
        <v>0</v>
      </c>
      <c r="LX314" s="21">
        <f t="shared" si="818"/>
        <v>0</v>
      </c>
      <c r="LY314" s="21">
        <f t="shared" si="818"/>
        <v>0</v>
      </c>
      <c r="LZ314" s="21">
        <f t="shared" ref="LZ314:MG314" si="819">IF($F$290, 0, IF($H$295, IF(AND(COLUMN($LZ$314)-COLUMN($LJ$311)=$Q$291,ROW($LZ$314)-ROW($LJ$311)=$K$291), U$290, LZ314), LZ314))</f>
        <v>0</v>
      </c>
      <c r="MA314" s="21">
        <f t="shared" si="819"/>
        <v>0</v>
      </c>
      <c r="MB314" s="21">
        <f t="shared" si="819"/>
        <v>0</v>
      </c>
      <c r="MC314" s="21">
        <f t="shared" si="819"/>
        <v>0</v>
      </c>
      <c r="MD314" s="21">
        <f t="shared" si="819"/>
        <v>0</v>
      </c>
      <c r="ME314" s="21">
        <f t="shared" si="819"/>
        <v>0</v>
      </c>
      <c r="MF314" s="21">
        <f t="shared" si="819"/>
        <v>0</v>
      </c>
      <c r="MG314" s="21">
        <f t="shared" si="819"/>
        <v>0</v>
      </c>
      <c r="MH314" s="21">
        <f t="shared" ref="MH314:MO314" si="820">IF($F$290, 0, IF($H$295, IF(AND(COLUMN($MH$314)-COLUMN($LJ$311)=$Q$291,ROW($MH$314)-ROW($LJ$311)=$K$291), U$290, MH314), MH314))</f>
        <v>0</v>
      </c>
      <c r="MI314" s="21">
        <f t="shared" si="820"/>
        <v>0</v>
      </c>
      <c r="MJ314" s="21">
        <f t="shared" si="820"/>
        <v>0</v>
      </c>
      <c r="MK314" s="21">
        <f t="shared" si="820"/>
        <v>0</v>
      </c>
      <c r="ML314" s="21">
        <f t="shared" si="820"/>
        <v>0</v>
      </c>
      <c r="MM314" s="21">
        <f t="shared" si="820"/>
        <v>0</v>
      </c>
      <c r="MN314" s="21">
        <f t="shared" si="820"/>
        <v>0</v>
      </c>
      <c r="MO314" s="21">
        <f t="shared" si="820"/>
        <v>0</v>
      </c>
      <c r="MP314" s="21">
        <f t="shared" ref="MP314:MW314" si="821">IF($F$290, 0, IF($H$295, IF(AND(COLUMN($MP$314)-COLUMN($LJ$311)=$Q$291,ROW($MP$314)-ROW($LJ$311)=$K$291), U$290, MP314), MP314))</f>
        <v>0</v>
      </c>
      <c r="MQ314" s="21">
        <f t="shared" si="821"/>
        <v>0</v>
      </c>
      <c r="MR314" s="21">
        <f t="shared" si="821"/>
        <v>0</v>
      </c>
      <c r="MS314" s="21">
        <f t="shared" si="821"/>
        <v>0</v>
      </c>
      <c r="MT314" s="21">
        <f t="shared" si="821"/>
        <v>0</v>
      </c>
      <c r="MU314" s="21">
        <f t="shared" si="821"/>
        <v>0</v>
      </c>
      <c r="MV314" s="21">
        <f t="shared" si="821"/>
        <v>0</v>
      </c>
      <c r="MW314" s="21">
        <f t="shared" si="821"/>
        <v>0</v>
      </c>
      <c r="MX314" s="21">
        <f t="shared" ref="MX314:NE314" si="822">IF($F$290, 0, IF($H$295, IF(AND(COLUMN($MX$314)-COLUMN($LJ$311)=$Q$291,ROW($MX$314)-ROW($LJ$311)=$K$291), U$290, MX314), MX314))</f>
        <v>0</v>
      </c>
      <c r="MY314" s="21">
        <f t="shared" si="822"/>
        <v>0</v>
      </c>
      <c r="MZ314" s="21">
        <f t="shared" si="822"/>
        <v>0</v>
      </c>
      <c r="NA314" s="21">
        <f t="shared" si="822"/>
        <v>0</v>
      </c>
      <c r="NB314" s="21">
        <f t="shared" si="822"/>
        <v>0</v>
      </c>
      <c r="NC314" s="21">
        <f t="shared" si="822"/>
        <v>0</v>
      </c>
      <c r="ND314" s="21">
        <f t="shared" si="822"/>
        <v>0</v>
      </c>
      <c r="NE314" s="21">
        <f t="shared" si="822"/>
        <v>0</v>
      </c>
      <c r="NF314" s="21">
        <f t="shared" ref="NF314:NM314" si="823">IF($F$290, 0, IF($H$295, IF(AND(COLUMN($NF$314)-COLUMN($LJ$311)=$Q$291,ROW($NF$314)-ROW($LJ$311)=$K$291), U$290, NF314), NF314))</f>
        <v>0</v>
      </c>
      <c r="NG314" s="21">
        <f t="shared" si="823"/>
        <v>0</v>
      </c>
      <c r="NH314" s="21">
        <f t="shared" si="823"/>
        <v>0</v>
      </c>
      <c r="NI314" s="21">
        <f t="shared" si="823"/>
        <v>0</v>
      </c>
      <c r="NJ314" s="21">
        <f t="shared" si="823"/>
        <v>0</v>
      </c>
      <c r="NK314" s="21">
        <f t="shared" si="823"/>
        <v>0</v>
      </c>
      <c r="NL314" s="21">
        <f t="shared" si="823"/>
        <v>0</v>
      </c>
      <c r="NM314" s="21">
        <f t="shared" si="823"/>
        <v>0</v>
      </c>
      <c r="NN314" s="21">
        <f t="shared" ref="NN314:NU314" si="824">IF($F$290, 0, IF($H$295, IF(AND(COLUMN($NN$314)-COLUMN($LJ$311)=$Q$291,ROW($NN$314)-ROW($LJ$311)=$K$291), U$290, NN314), NN314))</f>
        <v>0</v>
      </c>
      <c r="NO314" s="21">
        <f t="shared" si="824"/>
        <v>0</v>
      </c>
      <c r="NP314" s="21">
        <f t="shared" si="824"/>
        <v>0</v>
      </c>
      <c r="NQ314" s="21">
        <f t="shared" si="824"/>
        <v>0</v>
      </c>
      <c r="NR314" s="21">
        <f t="shared" si="824"/>
        <v>0</v>
      </c>
      <c r="NS314" s="21">
        <f t="shared" si="824"/>
        <v>0</v>
      </c>
      <c r="NT314" s="21">
        <f t="shared" si="824"/>
        <v>0</v>
      </c>
      <c r="NU314" s="21">
        <f t="shared" si="824"/>
        <v>0</v>
      </c>
      <c r="NV314" s="21">
        <f t="shared" ref="NV314:OC314" si="825">IF($F$290, 0, IF($I$295, IF(AND(COLUMN($NV$314)-COLUMN($NV$311)=$Q$291,ROW($NV$314)-ROW($NV$311)=$K$291), U$290, NV314), NV314))</f>
        <v>0</v>
      </c>
      <c r="NW314" s="21">
        <f t="shared" si="825"/>
        <v>0</v>
      </c>
      <c r="NX314" s="21">
        <f t="shared" si="825"/>
        <v>0</v>
      </c>
      <c r="NY314" s="21">
        <f t="shared" si="825"/>
        <v>0</v>
      </c>
      <c r="NZ314" s="21">
        <f t="shared" si="825"/>
        <v>0</v>
      </c>
      <c r="OA314" s="21">
        <f t="shared" si="825"/>
        <v>0</v>
      </c>
      <c r="OB314" s="21">
        <f t="shared" si="825"/>
        <v>0</v>
      </c>
      <c r="OC314" s="21">
        <f t="shared" si="825"/>
        <v>0</v>
      </c>
      <c r="OD314" s="21">
        <f t="shared" ref="OD314:OK314" si="826">IF($F$290, 0, IF($I$295, IF(AND(COLUMN($OD$314)-COLUMN($NV$311)=$Q$291,ROW($OD$314)-ROW($NV$311)=$K$291), U$290, OD314), OD314))</f>
        <v>0</v>
      </c>
      <c r="OE314" s="21">
        <f t="shared" si="826"/>
        <v>0</v>
      </c>
      <c r="OF314" s="21">
        <f t="shared" si="826"/>
        <v>0</v>
      </c>
      <c r="OG314" s="21">
        <f t="shared" si="826"/>
        <v>0</v>
      </c>
      <c r="OH314" s="21">
        <f t="shared" si="826"/>
        <v>0</v>
      </c>
      <c r="OI314" s="21">
        <f t="shared" si="826"/>
        <v>0</v>
      </c>
      <c r="OJ314" s="21">
        <f t="shared" si="826"/>
        <v>0</v>
      </c>
      <c r="OK314" s="21">
        <f t="shared" si="826"/>
        <v>0</v>
      </c>
      <c r="OL314" s="21">
        <f t="shared" ref="OL314:OS314" si="827">IF($F$290, 0, IF($I$295, IF(AND(COLUMN($OL$314)-COLUMN($NV$311)=$Q$291,ROW($OL$314)-ROW($NV$311)=$K$291), U$290, OL314), OL314))</f>
        <v>0</v>
      </c>
      <c r="OM314" s="21">
        <f t="shared" si="827"/>
        <v>0</v>
      </c>
      <c r="ON314" s="21">
        <f t="shared" si="827"/>
        <v>0</v>
      </c>
      <c r="OO314" s="21">
        <f t="shared" si="827"/>
        <v>0</v>
      </c>
      <c r="OP314" s="21">
        <f t="shared" si="827"/>
        <v>0</v>
      </c>
      <c r="OQ314" s="21">
        <f t="shared" si="827"/>
        <v>0</v>
      </c>
      <c r="OR314" s="21">
        <f t="shared" si="827"/>
        <v>0</v>
      </c>
      <c r="OS314" s="21">
        <f t="shared" si="827"/>
        <v>0</v>
      </c>
      <c r="OT314" s="21">
        <f t="shared" ref="OT314:PA314" si="828">IF($F$290, 0, IF($I$295, IF(AND(COLUMN($OT$314)-COLUMN($NV$311)=$Q$291,ROW($OT$314)-ROW($NV$311)=$K$291), U$290, OT314), OT314))</f>
        <v>0</v>
      </c>
      <c r="OU314" s="21">
        <f t="shared" si="828"/>
        <v>0</v>
      </c>
      <c r="OV314" s="21">
        <f t="shared" si="828"/>
        <v>0</v>
      </c>
      <c r="OW314" s="21">
        <f t="shared" si="828"/>
        <v>0</v>
      </c>
      <c r="OX314" s="21">
        <f t="shared" si="828"/>
        <v>0</v>
      </c>
      <c r="OY314" s="21">
        <f t="shared" si="828"/>
        <v>0</v>
      </c>
      <c r="OZ314" s="21">
        <f t="shared" si="828"/>
        <v>0</v>
      </c>
      <c r="PA314" s="21">
        <f t="shared" si="828"/>
        <v>0</v>
      </c>
      <c r="PB314" s="21">
        <f t="shared" ref="PB314:PI314" si="829">IF($F$290, 0, IF($I$295, IF(AND(COLUMN($PB$314)-COLUMN($NV$311)=$Q$291,ROW($PB$314)-ROW($NV$311)=$K$291), U$290, PB314), PB314))</f>
        <v>0</v>
      </c>
      <c r="PC314" s="21">
        <f t="shared" si="829"/>
        <v>0</v>
      </c>
      <c r="PD314" s="21">
        <f t="shared" si="829"/>
        <v>0</v>
      </c>
      <c r="PE314" s="21">
        <f t="shared" si="829"/>
        <v>0</v>
      </c>
      <c r="PF314" s="21">
        <f t="shared" si="829"/>
        <v>0</v>
      </c>
      <c r="PG314" s="21">
        <f t="shared" si="829"/>
        <v>0</v>
      </c>
      <c r="PH314" s="21">
        <f t="shared" si="829"/>
        <v>0</v>
      </c>
      <c r="PI314" s="21">
        <f t="shared" si="829"/>
        <v>0</v>
      </c>
      <c r="PJ314" s="21">
        <f t="shared" ref="PJ314:PQ314" si="830">IF($F$290, 0, IF($I$295, IF(AND(COLUMN($PJ$314)-COLUMN($NV$311)=$Q$291,ROW($PJ$314)-ROW($NV$311)=$K$291), U$290, PJ314), PJ314))</f>
        <v>0</v>
      </c>
      <c r="PK314" s="21">
        <f t="shared" si="830"/>
        <v>0</v>
      </c>
      <c r="PL314" s="21">
        <f t="shared" si="830"/>
        <v>0</v>
      </c>
      <c r="PM314" s="21">
        <f t="shared" si="830"/>
        <v>0</v>
      </c>
      <c r="PN314" s="21">
        <f t="shared" si="830"/>
        <v>0</v>
      </c>
      <c r="PO314" s="21">
        <f t="shared" si="830"/>
        <v>0</v>
      </c>
      <c r="PP314" s="21">
        <f t="shared" si="830"/>
        <v>0</v>
      </c>
      <c r="PQ314" s="21">
        <f t="shared" si="830"/>
        <v>0</v>
      </c>
      <c r="PR314" s="21">
        <f t="shared" ref="PR314:PY314" si="831">IF($F$290, 0, IF($I$295, IF(AND(COLUMN($PR$314)-COLUMN($NV$311)=$Q$291,ROW($PR$314)-ROW($NV$311)=$K$291), U$290, PR314), PR314))</f>
        <v>0</v>
      </c>
      <c r="PS314" s="21">
        <f t="shared" si="831"/>
        <v>0</v>
      </c>
      <c r="PT314" s="21">
        <f t="shared" si="831"/>
        <v>0</v>
      </c>
      <c r="PU314" s="21">
        <f t="shared" si="831"/>
        <v>0</v>
      </c>
      <c r="PV314" s="21">
        <f t="shared" si="831"/>
        <v>0</v>
      </c>
      <c r="PW314" s="21">
        <f t="shared" si="831"/>
        <v>0</v>
      </c>
      <c r="PX314" s="21">
        <f t="shared" si="831"/>
        <v>0</v>
      </c>
      <c r="PY314" s="21">
        <f t="shared" si="831"/>
        <v>0</v>
      </c>
      <c r="PZ314" s="21">
        <f t="shared" ref="PZ314:QG314" si="832">IF($F$290, 0, IF($I$295, IF(AND(COLUMN($PZ$314)-COLUMN($NV$311)=$Q$291,ROW($PZ$314)-ROW($NV$311)=$K$291), U$290, PZ314), PZ314))</f>
        <v>0</v>
      </c>
      <c r="QA314" s="21">
        <f t="shared" si="832"/>
        <v>0</v>
      </c>
      <c r="QB314" s="21">
        <f t="shared" si="832"/>
        <v>0</v>
      </c>
      <c r="QC314" s="21">
        <f t="shared" si="832"/>
        <v>0</v>
      </c>
      <c r="QD314" s="21">
        <f t="shared" si="832"/>
        <v>0</v>
      </c>
      <c r="QE314" s="21">
        <f t="shared" si="832"/>
        <v>0</v>
      </c>
      <c r="QF314" s="21">
        <f t="shared" si="832"/>
        <v>0</v>
      </c>
      <c r="QG314" s="21">
        <f t="shared" si="832"/>
        <v>0</v>
      </c>
      <c r="QH314" s="21">
        <f t="shared" ref="QH314:QO314" si="833">IF($F$290, 0, IF($J$295, IF(AND(COLUMN($QH$314)-COLUMN($QH$311)=$Q$291,ROW($QH$314)-ROW($QH$311)=$K$291), U$290, QH314), QH314))</f>
        <v>0</v>
      </c>
      <c r="QI314" s="21">
        <f t="shared" si="833"/>
        <v>0</v>
      </c>
      <c r="QJ314" s="21">
        <f t="shared" si="833"/>
        <v>0</v>
      </c>
      <c r="QK314" s="21">
        <f t="shared" si="833"/>
        <v>0</v>
      </c>
      <c r="QL314" s="21">
        <f t="shared" si="833"/>
        <v>0</v>
      </c>
      <c r="QM314" s="21">
        <f t="shared" si="833"/>
        <v>0</v>
      </c>
      <c r="QN314" s="21">
        <f t="shared" si="833"/>
        <v>0</v>
      </c>
      <c r="QO314" s="21">
        <f t="shared" si="833"/>
        <v>0</v>
      </c>
      <c r="QP314" s="21">
        <f t="shared" ref="QP314:QW314" si="834">IF($F$290, 0, IF($J$295, IF(AND(COLUMN($QP$314)-COLUMN($QH$311)=$Q$291,ROW($QP$314)-ROW($QH$311)=$K$291), U$290, QP314), QP314))</f>
        <v>0</v>
      </c>
      <c r="QQ314" s="21">
        <f t="shared" si="834"/>
        <v>0</v>
      </c>
      <c r="QR314" s="21">
        <f t="shared" si="834"/>
        <v>0</v>
      </c>
      <c r="QS314" s="21">
        <f t="shared" si="834"/>
        <v>0</v>
      </c>
      <c r="QT314" s="21">
        <f t="shared" si="834"/>
        <v>0</v>
      </c>
      <c r="QU314" s="21">
        <f t="shared" si="834"/>
        <v>0</v>
      </c>
      <c r="QV314" s="21">
        <f t="shared" si="834"/>
        <v>0</v>
      </c>
      <c r="QW314" s="21">
        <f t="shared" si="834"/>
        <v>0</v>
      </c>
      <c r="QX314" s="21">
        <f t="shared" ref="QX314:RE314" si="835">IF($F$290, 0, IF($J$295, IF(AND(COLUMN($QX$314)-COLUMN($QH$311)=$Q$291,ROW($QX$314)-ROW($QH$311)=$K$291), U$290, QX314), QX314))</f>
        <v>0</v>
      </c>
      <c r="QY314" s="21">
        <f t="shared" si="835"/>
        <v>0</v>
      </c>
      <c r="QZ314" s="21">
        <f t="shared" si="835"/>
        <v>0</v>
      </c>
      <c r="RA314" s="21">
        <f t="shared" si="835"/>
        <v>0</v>
      </c>
      <c r="RB314" s="21">
        <f t="shared" si="835"/>
        <v>0</v>
      </c>
      <c r="RC314" s="21">
        <f t="shared" si="835"/>
        <v>0</v>
      </c>
      <c r="RD314" s="21">
        <f t="shared" si="835"/>
        <v>0</v>
      </c>
      <c r="RE314" s="21">
        <f t="shared" si="835"/>
        <v>0</v>
      </c>
      <c r="RF314" s="21">
        <f t="shared" ref="RF314:RM314" si="836">IF($F$290, 0, IF($J$295, IF(AND(COLUMN($RF$314)-COLUMN($QH$311)=$Q$291,ROW($RF$314)-ROW($QH$311)=$K$291), U$290, RF314), RF314))</f>
        <v>0</v>
      </c>
      <c r="RG314" s="21">
        <f t="shared" si="836"/>
        <v>0</v>
      </c>
      <c r="RH314" s="21">
        <f t="shared" si="836"/>
        <v>0</v>
      </c>
      <c r="RI314" s="21">
        <f t="shared" si="836"/>
        <v>0</v>
      </c>
      <c r="RJ314" s="21">
        <f t="shared" si="836"/>
        <v>0</v>
      </c>
      <c r="RK314" s="21">
        <f t="shared" si="836"/>
        <v>0</v>
      </c>
      <c r="RL314" s="21">
        <f t="shared" si="836"/>
        <v>0</v>
      </c>
      <c r="RM314" s="21">
        <f t="shared" si="836"/>
        <v>0</v>
      </c>
      <c r="RN314" s="21">
        <f t="shared" ref="RN314:RU314" si="837">IF($F$290, 0, IF($J$295, IF(AND(COLUMN($RN$314)-COLUMN($QH$311)=$Q$291,ROW($RN$314)-ROW($QH$311)=$K$291), U$290, RN314), RN314))</f>
        <v>0</v>
      </c>
      <c r="RO314" s="21">
        <f t="shared" si="837"/>
        <v>0</v>
      </c>
      <c r="RP314" s="21">
        <f t="shared" si="837"/>
        <v>0</v>
      </c>
      <c r="RQ314" s="21">
        <f t="shared" si="837"/>
        <v>0</v>
      </c>
      <c r="RR314" s="21">
        <f t="shared" si="837"/>
        <v>0</v>
      </c>
      <c r="RS314" s="21">
        <f t="shared" si="837"/>
        <v>0</v>
      </c>
      <c r="RT314" s="21">
        <f t="shared" si="837"/>
        <v>0</v>
      </c>
      <c r="RU314" s="21">
        <f t="shared" si="837"/>
        <v>0</v>
      </c>
      <c r="RV314" s="21">
        <f t="shared" ref="RV314:SC314" si="838">IF($F$290, 0, IF($J$295, IF(AND(COLUMN($RV$314)-COLUMN($QH$311)=$Q$291,ROW($RV$314)-ROW($QH$311)=$K$291), U$290, RV314), RV314))</f>
        <v>0</v>
      </c>
      <c r="RW314" s="21">
        <f t="shared" si="838"/>
        <v>0</v>
      </c>
      <c r="RX314" s="21">
        <f t="shared" si="838"/>
        <v>0</v>
      </c>
      <c r="RY314" s="21">
        <f t="shared" si="838"/>
        <v>0</v>
      </c>
      <c r="RZ314" s="21">
        <f t="shared" si="838"/>
        <v>0</v>
      </c>
      <c r="SA314" s="21">
        <f t="shared" si="838"/>
        <v>0</v>
      </c>
      <c r="SB314" s="21">
        <f t="shared" si="838"/>
        <v>0</v>
      </c>
      <c r="SC314" s="21">
        <f t="shared" si="838"/>
        <v>0</v>
      </c>
      <c r="SD314" s="21">
        <f t="shared" ref="SD314:SK314" si="839">IF($F$290, 0, IF($J$295, IF(AND(COLUMN($SD$314)-COLUMN($QH$311)=$Q$291,ROW($SD$314)-ROW($QH$311)=$K$291), U$290, SD314), SD314))</f>
        <v>0</v>
      </c>
      <c r="SE314" s="21">
        <f t="shared" si="839"/>
        <v>0</v>
      </c>
      <c r="SF314" s="21">
        <f t="shared" si="839"/>
        <v>0</v>
      </c>
      <c r="SG314" s="21">
        <f t="shared" si="839"/>
        <v>0</v>
      </c>
      <c r="SH314" s="21">
        <f t="shared" si="839"/>
        <v>0</v>
      </c>
      <c r="SI314" s="21">
        <f t="shared" si="839"/>
        <v>0</v>
      </c>
      <c r="SJ314" s="21">
        <f t="shared" si="839"/>
        <v>0</v>
      </c>
      <c r="SK314" s="21">
        <f t="shared" si="839"/>
        <v>0</v>
      </c>
      <c r="SL314" s="21">
        <f t="shared" ref="SL314:SS314" si="840">IF($F$290, 0, IF($J$295, IF(AND(COLUMN($SL$314)-COLUMN($QH$311)=$Q$291,ROW($SL$314)-ROW($QH$311)=$K$291), U$290, SL314), SL314))</f>
        <v>0</v>
      </c>
      <c r="SM314" s="21">
        <f t="shared" si="840"/>
        <v>0</v>
      </c>
      <c r="SN314" s="21">
        <f t="shared" si="840"/>
        <v>0</v>
      </c>
      <c r="SO314" s="21">
        <f t="shared" si="840"/>
        <v>0</v>
      </c>
      <c r="SP314" s="21">
        <f t="shared" si="840"/>
        <v>0</v>
      </c>
      <c r="SQ314" s="21">
        <f t="shared" si="840"/>
        <v>0</v>
      </c>
      <c r="SR314" s="21">
        <f t="shared" si="840"/>
        <v>0</v>
      </c>
      <c r="SS314" s="21">
        <f t="shared" si="840"/>
        <v>0</v>
      </c>
    </row>
    <row r="315" spans="2:513" ht="15" customHeight="1" x14ac:dyDescent="0.25">
      <c r="B315" s="21">
        <f t="shared" ref="B315:I315" si="841">IF($F$290, 0, IF($C$295, IF(AND(COLUMN($B$315)-COLUMN($B$311)=$Q$291,ROW($B$315)-ROW($B$311)=$K$291), U$290, B315), B315))</f>
        <v>0</v>
      </c>
      <c r="C315" s="21">
        <f t="shared" si="841"/>
        <v>0</v>
      </c>
      <c r="D315" s="21">
        <f t="shared" si="841"/>
        <v>0</v>
      </c>
      <c r="E315" s="21">
        <f t="shared" si="841"/>
        <v>0</v>
      </c>
      <c r="F315" s="21">
        <f t="shared" si="841"/>
        <v>0</v>
      </c>
      <c r="G315" s="21">
        <f t="shared" si="841"/>
        <v>0</v>
      </c>
      <c r="H315" s="21">
        <f t="shared" si="841"/>
        <v>0</v>
      </c>
      <c r="I315" s="21">
        <f t="shared" si="841"/>
        <v>0</v>
      </c>
      <c r="J315" s="21">
        <f t="shared" ref="J315:Q315" si="842">IF($F$290, 0, IF($C$295, IF(AND(COLUMN($J$315)-COLUMN($B$311)=$Q$291,ROW($J$315)-ROW($B$311)=$K$291), U$290, J315), J315))</f>
        <v>0</v>
      </c>
      <c r="K315" s="21">
        <f t="shared" si="842"/>
        <v>0</v>
      </c>
      <c r="L315" s="21">
        <f t="shared" si="842"/>
        <v>0</v>
      </c>
      <c r="M315" s="21">
        <f t="shared" si="842"/>
        <v>0</v>
      </c>
      <c r="N315" s="21">
        <f t="shared" si="842"/>
        <v>0</v>
      </c>
      <c r="O315" s="21">
        <f t="shared" si="842"/>
        <v>0</v>
      </c>
      <c r="P315" s="21">
        <f t="shared" si="842"/>
        <v>0</v>
      </c>
      <c r="Q315" s="21">
        <f t="shared" si="842"/>
        <v>0</v>
      </c>
      <c r="R315" s="21">
        <f>IF($F$290, 0, IF($C$295, IF(AND(COLUMN($R$315)-COLUMN($B$311)=$Q$291,ROW($R$315)-ROW($B$311)=$K$291), U$290, R315), R315))</f>
        <v>0</v>
      </c>
      <c r="S315" s="21">
        <f t="shared" ref="S315:Y315" si="843">IF($F$290, 0, IF($C$295, IF(AND(COLUMN($R$315)-COLUMN($B$311)=$Q$291,ROW($R$315)-ROW($B$311)=$K$291), V$290, S315), S315))</f>
        <v>0</v>
      </c>
      <c r="T315" s="21">
        <f t="shared" si="843"/>
        <v>0</v>
      </c>
      <c r="U315" s="21">
        <f t="shared" si="843"/>
        <v>0</v>
      </c>
      <c r="V315" s="21">
        <f t="shared" si="843"/>
        <v>0</v>
      </c>
      <c r="W315" s="21">
        <f t="shared" si="843"/>
        <v>0</v>
      </c>
      <c r="X315" s="21">
        <f t="shared" si="843"/>
        <v>0</v>
      </c>
      <c r="Y315" s="21">
        <f t="shared" si="843"/>
        <v>0</v>
      </c>
      <c r="Z315" s="21">
        <f t="shared" ref="Z315:AG315" si="844">IF($F$290, 0, IF($C$295, IF(AND(COLUMN($Z$315)-COLUMN($B$311)=$Q$291,ROW($Z$315)-ROW($B$311)=$K$291), U$290, Z315), Z315))</f>
        <v>0</v>
      </c>
      <c r="AA315" s="21">
        <f t="shared" si="844"/>
        <v>0</v>
      </c>
      <c r="AB315" s="21">
        <f t="shared" si="844"/>
        <v>0</v>
      </c>
      <c r="AC315" s="21">
        <f t="shared" si="844"/>
        <v>0</v>
      </c>
      <c r="AD315" s="21">
        <f t="shared" si="844"/>
        <v>0</v>
      </c>
      <c r="AE315" s="21">
        <f t="shared" si="844"/>
        <v>0</v>
      </c>
      <c r="AF315" s="21">
        <f t="shared" si="844"/>
        <v>0</v>
      </c>
      <c r="AG315" s="21">
        <f t="shared" si="844"/>
        <v>0</v>
      </c>
      <c r="AH315" s="21">
        <f t="shared" ref="AH315:AO315" si="845">IF($F$290, 0, IF($C$295, IF(AND(COLUMN($AH$315)-COLUMN($B$311)=$Q$291,ROW($AH$315)-ROW($B$311)=$K$291), U$290, AH315), AH315))</f>
        <v>0</v>
      </c>
      <c r="AI315" s="21">
        <f t="shared" si="845"/>
        <v>0</v>
      </c>
      <c r="AJ315" s="21">
        <f t="shared" si="845"/>
        <v>0</v>
      </c>
      <c r="AK315" s="21">
        <f t="shared" si="845"/>
        <v>0</v>
      </c>
      <c r="AL315" s="21">
        <f t="shared" si="845"/>
        <v>0</v>
      </c>
      <c r="AM315" s="21">
        <f t="shared" si="845"/>
        <v>0</v>
      </c>
      <c r="AN315" s="21">
        <f t="shared" si="845"/>
        <v>0</v>
      </c>
      <c r="AO315" s="21">
        <f t="shared" si="845"/>
        <v>0</v>
      </c>
      <c r="AP315" s="21">
        <f t="shared" ref="AP315:AW315" si="846">IF($F$290, 0, IF($C$295, IF(AND(COLUMN($AP$315)-COLUMN($B$311)=$Q$291,ROW($AP$315)-ROW($B$311)=$K$291), U$290, AP315), AP315))</f>
        <v>0</v>
      </c>
      <c r="AQ315" s="21">
        <f t="shared" si="846"/>
        <v>0</v>
      </c>
      <c r="AR315" s="21">
        <f t="shared" si="846"/>
        <v>0</v>
      </c>
      <c r="AS315" s="21">
        <f t="shared" si="846"/>
        <v>0</v>
      </c>
      <c r="AT315" s="21">
        <f t="shared" si="846"/>
        <v>0</v>
      </c>
      <c r="AU315" s="21">
        <f t="shared" si="846"/>
        <v>0</v>
      </c>
      <c r="AV315" s="21">
        <f t="shared" si="846"/>
        <v>0</v>
      </c>
      <c r="AW315" s="21">
        <f t="shared" si="846"/>
        <v>0</v>
      </c>
      <c r="AX315" s="21">
        <f t="shared" ref="AX315:BE315" si="847">IF($F$290, 0, IF($C$295, IF(AND(COLUMN($AX$315)-COLUMN($B$311)=$Q$291,ROW($AX$315)-ROW($B$311)=$K$291), U$290, AX315), AX315))</f>
        <v>0</v>
      </c>
      <c r="AY315" s="21">
        <f t="shared" si="847"/>
        <v>0</v>
      </c>
      <c r="AZ315" s="21">
        <f t="shared" si="847"/>
        <v>0</v>
      </c>
      <c r="BA315" s="21">
        <f t="shared" si="847"/>
        <v>0</v>
      </c>
      <c r="BB315" s="21">
        <f t="shared" si="847"/>
        <v>0</v>
      </c>
      <c r="BC315" s="21">
        <f t="shared" si="847"/>
        <v>0</v>
      </c>
      <c r="BD315" s="21">
        <f t="shared" si="847"/>
        <v>0</v>
      </c>
      <c r="BE315" s="21">
        <f t="shared" si="847"/>
        <v>0</v>
      </c>
      <c r="BF315" s="21">
        <f t="shared" ref="BF315:BM315" si="848">IF($F$290, 0, IF($C$295, IF(AND(COLUMN($BF$315)-COLUMN($B$311)=$Q$291,ROW($BF$315)-ROW($B$311)=$K$291), U$290, BF315), BF315))</f>
        <v>0</v>
      </c>
      <c r="BG315" s="21">
        <f t="shared" si="848"/>
        <v>0</v>
      </c>
      <c r="BH315" s="21">
        <f t="shared" si="848"/>
        <v>0</v>
      </c>
      <c r="BI315" s="21">
        <f t="shared" si="848"/>
        <v>0</v>
      </c>
      <c r="BJ315" s="21">
        <f t="shared" si="848"/>
        <v>0</v>
      </c>
      <c r="BK315" s="21">
        <f t="shared" si="848"/>
        <v>0</v>
      </c>
      <c r="BL315" s="21">
        <f t="shared" si="848"/>
        <v>0</v>
      </c>
      <c r="BM315" s="21">
        <f t="shared" si="848"/>
        <v>0</v>
      </c>
      <c r="BN315" s="21">
        <f t="shared" ref="BN315:BU315" si="849">IF($F$290, 0, IF($D$295, IF(AND(COLUMN($BN$315)-COLUMN($BN$311)=$Q$291,ROW($BN$315)-ROW($BN$311)=$K$291), U$290, BN315), BN315))</f>
        <v>0</v>
      </c>
      <c r="BO315" s="21">
        <f t="shared" si="849"/>
        <v>0</v>
      </c>
      <c r="BP315" s="21">
        <f t="shared" si="849"/>
        <v>0</v>
      </c>
      <c r="BQ315" s="21">
        <f t="shared" si="849"/>
        <v>0</v>
      </c>
      <c r="BR315" s="21">
        <f t="shared" si="849"/>
        <v>0</v>
      </c>
      <c r="BS315" s="21">
        <f t="shared" si="849"/>
        <v>0</v>
      </c>
      <c r="BT315" s="21">
        <f t="shared" si="849"/>
        <v>0</v>
      </c>
      <c r="BU315" s="21">
        <f t="shared" si="849"/>
        <v>0</v>
      </c>
      <c r="BV315" s="21">
        <f t="shared" ref="BV315:CC315" si="850">IF($F$290, 0, IF($D$295, IF(AND(COLUMN($BV$315)-COLUMN($BN$311)=$Q$291,ROW($BV$315)-ROW($BN$311)=$K$291), U$290, BV315), BV315))</f>
        <v>0</v>
      </c>
      <c r="BW315" s="21">
        <f t="shared" si="850"/>
        <v>0</v>
      </c>
      <c r="BX315" s="21">
        <f t="shared" si="850"/>
        <v>0</v>
      </c>
      <c r="BY315" s="21">
        <f t="shared" si="850"/>
        <v>0</v>
      </c>
      <c r="BZ315" s="21">
        <f t="shared" si="850"/>
        <v>0</v>
      </c>
      <c r="CA315" s="21">
        <f t="shared" si="850"/>
        <v>0</v>
      </c>
      <c r="CB315" s="21">
        <f t="shared" si="850"/>
        <v>0</v>
      </c>
      <c r="CC315" s="21">
        <f t="shared" si="850"/>
        <v>0</v>
      </c>
      <c r="CD315" s="21">
        <f t="shared" ref="CD315:CK315" si="851">IF($F$290, 0, IF($D$295, IF(AND(COLUMN($CD$315)-COLUMN($BN$311)=$Q$291,ROW($CD$315)-ROW($BN$311)=$K$291), U$290, CD315), CD315))</f>
        <v>0</v>
      </c>
      <c r="CE315" s="21">
        <f t="shared" si="851"/>
        <v>0</v>
      </c>
      <c r="CF315" s="21">
        <f t="shared" si="851"/>
        <v>0</v>
      </c>
      <c r="CG315" s="21">
        <f t="shared" si="851"/>
        <v>0</v>
      </c>
      <c r="CH315" s="21">
        <f t="shared" si="851"/>
        <v>0</v>
      </c>
      <c r="CI315" s="21">
        <f t="shared" si="851"/>
        <v>0</v>
      </c>
      <c r="CJ315" s="21">
        <f t="shared" si="851"/>
        <v>0</v>
      </c>
      <c r="CK315" s="21">
        <f t="shared" si="851"/>
        <v>0</v>
      </c>
      <c r="CL315" s="21">
        <f t="shared" ref="CL315:CS315" si="852">IF($F$290, 0, IF($D$295, IF(AND(COLUMN($CL$315)-COLUMN($BN$311)=$Q$291,ROW($CL$315)-ROW($BN$311)=$K$291), U$290, CL315), CL315))</f>
        <v>0</v>
      </c>
      <c r="CM315" s="21">
        <f t="shared" si="852"/>
        <v>0</v>
      </c>
      <c r="CN315" s="21">
        <f t="shared" si="852"/>
        <v>0</v>
      </c>
      <c r="CO315" s="21">
        <f t="shared" si="852"/>
        <v>0</v>
      </c>
      <c r="CP315" s="21">
        <f t="shared" si="852"/>
        <v>0</v>
      </c>
      <c r="CQ315" s="21">
        <f t="shared" si="852"/>
        <v>0</v>
      </c>
      <c r="CR315" s="21">
        <f t="shared" si="852"/>
        <v>0</v>
      </c>
      <c r="CS315" s="21">
        <f t="shared" si="852"/>
        <v>0</v>
      </c>
      <c r="CT315" s="21">
        <f t="shared" ref="CT315:DA315" si="853">IF($F$290, 0, IF($D$295, IF(AND(COLUMN($CT$315)-COLUMN($BN$311)=$Q$291,ROW($CT$315)-ROW($BN$311)=$K$291), U$290, CT315), CT315))</f>
        <v>0</v>
      </c>
      <c r="CU315" s="21">
        <f t="shared" si="853"/>
        <v>0</v>
      </c>
      <c r="CV315" s="21">
        <f t="shared" si="853"/>
        <v>0</v>
      </c>
      <c r="CW315" s="21">
        <f t="shared" si="853"/>
        <v>0</v>
      </c>
      <c r="CX315" s="21">
        <f t="shared" si="853"/>
        <v>0</v>
      </c>
      <c r="CY315" s="21">
        <f t="shared" si="853"/>
        <v>0</v>
      </c>
      <c r="CZ315" s="21">
        <f t="shared" si="853"/>
        <v>0</v>
      </c>
      <c r="DA315" s="21">
        <f t="shared" si="853"/>
        <v>0</v>
      </c>
      <c r="DB315" s="21">
        <f t="shared" ref="DB315:DI315" si="854">IF($F$290, 0, IF($D$295, IF(AND(COLUMN($DB$315)-COLUMN($BN$311)=$Q$291,ROW($DB$315)-ROW($BN$311)=$K$291), U$290, DB315), DB315))</f>
        <v>0</v>
      </c>
      <c r="DC315" s="21">
        <f t="shared" si="854"/>
        <v>0</v>
      </c>
      <c r="DD315" s="21">
        <f t="shared" si="854"/>
        <v>0</v>
      </c>
      <c r="DE315" s="21">
        <f t="shared" si="854"/>
        <v>0</v>
      </c>
      <c r="DF315" s="21">
        <f t="shared" si="854"/>
        <v>0</v>
      </c>
      <c r="DG315" s="21">
        <f t="shared" si="854"/>
        <v>0</v>
      </c>
      <c r="DH315" s="21">
        <f t="shared" si="854"/>
        <v>0</v>
      </c>
      <c r="DI315" s="21">
        <f t="shared" si="854"/>
        <v>0</v>
      </c>
      <c r="DJ315" s="21">
        <f t="shared" ref="DJ315:DQ315" si="855">IF($F$290, 0, IF($D$295, IF(AND(COLUMN($DJ$315)-COLUMN($BN$311)=$Q$291,ROW($DJ$315)-ROW($BN$311)=$K$291), U$290, DJ315), DJ315))</f>
        <v>0</v>
      </c>
      <c r="DK315" s="21">
        <f t="shared" si="855"/>
        <v>0</v>
      </c>
      <c r="DL315" s="21">
        <f t="shared" si="855"/>
        <v>0</v>
      </c>
      <c r="DM315" s="21">
        <f t="shared" si="855"/>
        <v>0</v>
      </c>
      <c r="DN315" s="21">
        <f t="shared" si="855"/>
        <v>0</v>
      </c>
      <c r="DO315" s="21">
        <f t="shared" si="855"/>
        <v>0</v>
      </c>
      <c r="DP315" s="21">
        <f t="shared" si="855"/>
        <v>0</v>
      </c>
      <c r="DQ315" s="21">
        <f t="shared" si="855"/>
        <v>0</v>
      </c>
      <c r="DR315" s="21">
        <f t="shared" ref="DR315:DY315" si="856">IF($F$290, 0, IF($D$295, IF(AND(COLUMN($DR$315)-COLUMN($BN$311)=$Q$291,ROW($DR$315)-ROW($BN$311)=$K$291), U$290, DR315), DR315))</f>
        <v>0</v>
      </c>
      <c r="DS315" s="21">
        <f t="shared" si="856"/>
        <v>0</v>
      </c>
      <c r="DT315" s="21">
        <f t="shared" si="856"/>
        <v>0</v>
      </c>
      <c r="DU315" s="21">
        <f t="shared" si="856"/>
        <v>0</v>
      </c>
      <c r="DV315" s="21">
        <f t="shared" si="856"/>
        <v>0</v>
      </c>
      <c r="DW315" s="21">
        <f t="shared" si="856"/>
        <v>0</v>
      </c>
      <c r="DX315" s="21">
        <f t="shared" si="856"/>
        <v>0</v>
      </c>
      <c r="DY315" s="21">
        <f t="shared" si="856"/>
        <v>0</v>
      </c>
      <c r="DZ315" s="21">
        <f t="shared" ref="DZ315:EG315" si="857">IF($F$290, 0, IF($E$295, IF(AND(COLUMN($DZ$315)-COLUMN($DZ$311)=$Q$291,ROW($DZ$315)-ROW($DZ$311)=$K$291), U$290, DZ315), DZ315))</f>
        <v>0</v>
      </c>
      <c r="EA315" s="21">
        <f t="shared" si="857"/>
        <v>0</v>
      </c>
      <c r="EB315" s="21">
        <f t="shared" si="857"/>
        <v>0</v>
      </c>
      <c r="EC315" s="21">
        <f t="shared" si="857"/>
        <v>0</v>
      </c>
      <c r="ED315" s="21">
        <f t="shared" si="857"/>
        <v>0</v>
      </c>
      <c r="EE315" s="21">
        <f t="shared" si="857"/>
        <v>0</v>
      </c>
      <c r="EF315" s="21">
        <f t="shared" si="857"/>
        <v>0</v>
      </c>
      <c r="EG315" s="21">
        <f t="shared" si="857"/>
        <v>0</v>
      </c>
      <c r="EH315" s="21">
        <f t="shared" ref="EH315:EO315" si="858">IF($F$290, 0, IF($E$295, IF(AND(COLUMN($EH$315)-COLUMN($DZ$311)=$Q$291,ROW($EH$315)-ROW($DZ$311)=$K$291), U$290, EH315), EH315))</f>
        <v>0</v>
      </c>
      <c r="EI315" s="21">
        <f t="shared" si="858"/>
        <v>0</v>
      </c>
      <c r="EJ315" s="21">
        <f t="shared" si="858"/>
        <v>0</v>
      </c>
      <c r="EK315" s="21">
        <f t="shared" si="858"/>
        <v>0</v>
      </c>
      <c r="EL315" s="21">
        <f t="shared" si="858"/>
        <v>0</v>
      </c>
      <c r="EM315" s="21">
        <f t="shared" si="858"/>
        <v>0</v>
      </c>
      <c r="EN315" s="21">
        <f t="shared" si="858"/>
        <v>0</v>
      </c>
      <c r="EO315" s="21">
        <f t="shared" si="858"/>
        <v>0</v>
      </c>
      <c r="EP315" s="21">
        <f t="shared" ref="EP315:EW315" si="859">IF($F$290, 0, IF($E$295, IF(AND(COLUMN($EP$315)-COLUMN($DZ$311)=$Q$291,ROW($EP$315)-ROW($DZ$311)=$K$291), U$290, EP315), EP315))</f>
        <v>0</v>
      </c>
      <c r="EQ315" s="21">
        <f t="shared" si="859"/>
        <v>0</v>
      </c>
      <c r="ER315" s="21">
        <f t="shared" si="859"/>
        <v>0</v>
      </c>
      <c r="ES315" s="21">
        <f t="shared" si="859"/>
        <v>0</v>
      </c>
      <c r="ET315" s="21">
        <f t="shared" si="859"/>
        <v>0</v>
      </c>
      <c r="EU315" s="21">
        <f t="shared" si="859"/>
        <v>0</v>
      </c>
      <c r="EV315" s="21">
        <f t="shared" si="859"/>
        <v>0</v>
      </c>
      <c r="EW315" s="21">
        <f t="shared" si="859"/>
        <v>0</v>
      </c>
      <c r="EX315" s="21">
        <f t="shared" ref="EX315:FE315" si="860">IF($F$290, 0, IF($E$295, IF(AND(COLUMN($EX$315)-COLUMN($DZ$311)=$Q$291,ROW($EX$315)-ROW($DZ$311)=$K$291), U$290, EX315), EX315))</f>
        <v>0</v>
      </c>
      <c r="EY315" s="21">
        <f t="shared" si="860"/>
        <v>0</v>
      </c>
      <c r="EZ315" s="21">
        <f t="shared" si="860"/>
        <v>0</v>
      </c>
      <c r="FA315" s="21">
        <f t="shared" si="860"/>
        <v>0</v>
      </c>
      <c r="FB315" s="21">
        <f t="shared" si="860"/>
        <v>0</v>
      </c>
      <c r="FC315" s="21">
        <f t="shared" si="860"/>
        <v>0</v>
      </c>
      <c r="FD315" s="21">
        <f t="shared" si="860"/>
        <v>0</v>
      </c>
      <c r="FE315" s="21">
        <f t="shared" si="860"/>
        <v>0</v>
      </c>
      <c r="FF315" s="21">
        <f t="shared" ref="FF315:FM315" si="861">IF($F$290, 0, IF($E$295, IF(AND(COLUMN($FF$315)-COLUMN($DZ$311)=$Q$291,ROW($FF$315)-ROW($DZ$311)=$K$291), U$290, FF315), FF315))</f>
        <v>0</v>
      </c>
      <c r="FG315" s="21">
        <f t="shared" si="861"/>
        <v>0</v>
      </c>
      <c r="FH315" s="21">
        <f t="shared" si="861"/>
        <v>0</v>
      </c>
      <c r="FI315" s="21">
        <f t="shared" si="861"/>
        <v>0</v>
      </c>
      <c r="FJ315" s="21">
        <f t="shared" si="861"/>
        <v>0</v>
      </c>
      <c r="FK315" s="21">
        <f t="shared" si="861"/>
        <v>0</v>
      </c>
      <c r="FL315" s="21">
        <f t="shared" si="861"/>
        <v>0</v>
      </c>
      <c r="FM315" s="21">
        <f t="shared" si="861"/>
        <v>0</v>
      </c>
      <c r="FN315" s="21">
        <f t="shared" ref="FN315:FU315" si="862">IF($F$290, 0, IF($E$295, IF(AND(COLUMN($FN$315)-COLUMN($DZ$311)=$Q$291,ROW($FN$315)-ROW($DZ$311)=$K$291), U$290, FN315), FN315))</f>
        <v>0</v>
      </c>
      <c r="FO315" s="21">
        <f t="shared" si="862"/>
        <v>0</v>
      </c>
      <c r="FP315" s="21">
        <f t="shared" si="862"/>
        <v>0</v>
      </c>
      <c r="FQ315" s="21">
        <f t="shared" si="862"/>
        <v>0</v>
      </c>
      <c r="FR315" s="21">
        <f t="shared" si="862"/>
        <v>0</v>
      </c>
      <c r="FS315" s="21">
        <f t="shared" si="862"/>
        <v>0</v>
      </c>
      <c r="FT315" s="21">
        <f t="shared" si="862"/>
        <v>0</v>
      </c>
      <c r="FU315" s="21">
        <f t="shared" si="862"/>
        <v>0</v>
      </c>
      <c r="FV315" s="21">
        <f t="shared" ref="FV315:GC315" si="863">IF($F$290, 0, IF($E$295, IF(AND(COLUMN($FV$315)-COLUMN($DZ$311)=$Q$291,ROW($FV$315)-ROW($DZ$311)=$K$291), U$290, FV315), FV315))</f>
        <v>0</v>
      </c>
      <c r="FW315" s="21">
        <f t="shared" si="863"/>
        <v>0</v>
      </c>
      <c r="FX315" s="21">
        <f t="shared" si="863"/>
        <v>0</v>
      </c>
      <c r="FY315" s="21">
        <f t="shared" si="863"/>
        <v>0</v>
      </c>
      <c r="FZ315" s="21">
        <f t="shared" si="863"/>
        <v>0</v>
      </c>
      <c r="GA315" s="21">
        <f t="shared" si="863"/>
        <v>0</v>
      </c>
      <c r="GB315" s="21">
        <f t="shared" si="863"/>
        <v>0</v>
      </c>
      <c r="GC315" s="21">
        <f t="shared" si="863"/>
        <v>0</v>
      </c>
      <c r="GD315" s="21">
        <f t="shared" ref="GD315:GK315" si="864">IF($F$290, 0, IF($E$295, IF(AND(COLUMN($GD$315)-COLUMN($DZ$311)=$Q$291,ROW($GD$315)-ROW($DZ$311)=$K$291), U$290, GD315), GD315))</f>
        <v>0</v>
      </c>
      <c r="GE315" s="21">
        <f t="shared" si="864"/>
        <v>0</v>
      </c>
      <c r="GF315" s="21">
        <f t="shared" si="864"/>
        <v>0</v>
      </c>
      <c r="GG315" s="21">
        <f t="shared" si="864"/>
        <v>0</v>
      </c>
      <c r="GH315" s="21">
        <f t="shared" si="864"/>
        <v>0</v>
      </c>
      <c r="GI315" s="21">
        <f t="shared" si="864"/>
        <v>0</v>
      </c>
      <c r="GJ315" s="21">
        <f t="shared" si="864"/>
        <v>0</v>
      </c>
      <c r="GK315" s="21">
        <f t="shared" si="864"/>
        <v>0</v>
      </c>
      <c r="GL315" s="21">
        <f t="shared" ref="GL315:GS315" si="865">IF($F$290, 0, IF($F$295, IF(AND(COLUMN($GL$315)-COLUMN($GL$311)=$Q$291,ROW($GL$315)-ROW($GL$311)=$K$291), U$290, GL315), GL315))</f>
        <v>0</v>
      </c>
      <c r="GM315" s="21">
        <f t="shared" si="865"/>
        <v>0</v>
      </c>
      <c r="GN315" s="21">
        <f t="shared" si="865"/>
        <v>0</v>
      </c>
      <c r="GO315" s="21">
        <f t="shared" si="865"/>
        <v>0</v>
      </c>
      <c r="GP315" s="21">
        <f t="shared" si="865"/>
        <v>0</v>
      </c>
      <c r="GQ315" s="21">
        <f t="shared" si="865"/>
        <v>0</v>
      </c>
      <c r="GR315" s="21">
        <f t="shared" si="865"/>
        <v>0</v>
      </c>
      <c r="GS315" s="21">
        <f t="shared" si="865"/>
        <v>0</v>
      </c>
      <c r="GT315" s="21">
        <f t="shared" ref="GT315:HA315" si="866">IF($F$290, 0, IF($F$295, IF(AND(COLUMN($GT$315)-COLUMN($GL$311)=$Q$291,ROW($GT$315)-ROW($GL$311)=$K$291), U$290, GT315), GT315))</f>
        <v>0</v>
      </c>
      <c r="GU315" s="21">
        <f t="shared" si="866"/>
        <v>0</v>
      </c>
      <c r="GV315" s="21">
        <f t="shared" si="866"/>
        <v>0</v>
      </c>
      <c r="GW315" s="21">
        <f t="shared" si="866"/>
        <v>0</v>
      </c>
      <c r="GX315" s="21">
        <f t="shared" si="866"/>
        <v>0</v>
      </c>
      <c r="GY315" s="21">
        <f t="shared" si="866"/>
        <v>0</v>
      </c>
      <c r="GZ315" s="21">
        <f t="shared" si="866"/>
        <v>0</v>
      </c>
      <c r="HA315" s="21">
        <f t="shared" si="866"/>
        <v>0</v>
      </c>
      <c r="HB315" s="21">
        <f t="shared" ref="HB315:HI315" si="867">IF($F$290, 0, IF($F$295, IF(AND(COLUMN($HB$315)-COLUMN($GL$311)=$Q$291,ROW($HB$315)-ROW($GL$311)=$K$291), U$290, HB315), HB315))</f>
        <v>0</v>
      </c>
      <c r="HC315" s="21">
        <f t="shared" si="867"/>
        <v>0</v>
      </c>
      <c r="HD315" s="21">
        <f t="shared" si="867"/>
        <v>0</v>
      </c>
      <c r="HE315" s="21">
        <f t="shared" si="867"/>
        <v>0</v>
      </c>
      <c r="HF315" s="21">
        <f t="shared" si="867"/>
        <v>0</v>
      </c>
      <c r="HG315" s="21">
        <f t="shared" si="867"/>
        <v>0</v>
      </c>
      <c r="HH315" s="21">
        <f t="shared" si="867"/>
        <v>0</v>
      </c>
      <c r="HI315" s="21">
        <f t="shared" si="867"/>
        <v>0</v>
      </c>
      <c r="HJ315" s="21">
        <f t="shared" ref="HJ315:HQ315" si="868">IF($F$290, 0, IF($F$295, IF(AND(COLUMN($HJ$315)-COLUMN($GL$311)=$Q$291,ROW($HJ$315)-ROW($GL$311)=$K$291), U$290, HJ315), HJ315))</f>
        <v>0</v>
      </c>
      <c r="HK315" s="21">
        <f t="shared" si="868"/>
        <v>0</v>
      </c>
      <c r="HL315" s="21">
        <f t="shared" si="868"/>
        <v>0</v>
      </c>
      <c r="HM315" s="21">
        <f t="shared" si="868"/>
        <v>0</v>
      </c>
      <c r="HN315" s="21">
        <f t="shared" si="868"/>
        <v>0</v>
      </c>
      <c r="HO315" s="21">
        <f t="shared" si="868"/>
        <v>0</v>
      </c>
      <c r="HP315" s="21">
        <f t="shared" si="868"/>
        <v>0</v>
      </c>
      <c r="HQ315" s="21">
        <f t="shared" si="868"/>
        <v>0</v>
      </c>
      <c r="HR315" s="21">
        <f t="shared" ref="HR315:HY315" si="869">IF($F$290, 0, IF($F$295, IF(AND(COLUMN($HR$315)-COLUMN($GL$311)=$Q$291,ROW($HR$315)-ROW($GL$311)=$K$291), U$290, HR315), HR315))</f>
        <v>0</v>
      </c>
      <c r="HS315" s="21">
        <f t="shared" si="869"/>
        <v>0</v>
      </c>
      <c r="HT315" s="21">
        <f t="shared" si="869"/>
        <v>0</v>
      </c>
      <c r="HU315" s="21">
        <f t="shared" si="869"/>
        <v>0</v>
      </c>
      <c r="HV315" s="21">
        <f t="shared" si="869"/>
        <v>0</v>
      </c>
      <c r="HW315" s="21">
        <f t="shared" si="869"/>
        <v>0</v>
      </c>
      <c r="HX315" s="21">
        <f t="shared" si="869"/>
        <v>0</v>
      </c>
      <c r="HY315" s="21">
        <f t="shared" si="869"/>
        <v>0</v>
      </c>
      <c r="HZ315" s="21">
        <f t="shared" ref="HZ315:IG315" si="870">IF($F$290, 0, IF($F$295, IF(AND(COLUMN($HZ$315)-COLUMN($GL$311)=$Q$291,ROW($HZ$315)-ROW($GL$311)=$K$291), U$290, HZ315), HZ315))</f>
        <v>0</v>
      </c>
      <c r="IA315" s="21">
        <f t="shared" si="870"/>
        <v>0</v>
      </c>
      <c r="IB315" s="21">
        <f t="shared" si="870"/>
        <v>0</v>
      </c>
      <c r="IC315" s="21">
        <f t="shared" si="870"/>
        <v>0</v>
      </c>
      <c r="ID315" s="21">
        <f t="shared" si="870"/>
        <v>0</v>
      </c>
      <c r="IE315" s="21">
        <f t="shared" si="870"/>
        <v>0</v>
      </c>
      <c r="IF315" s="21">
        <f t="shared" si="870"/>
        <v>0</v>
      </c>
      <c r="IG315" s="21">
        <f t="shared" si="870"/>
        <v>0</v>
      </c>
      <c r="IH315" s="21">
        <f t="shared" ref="IH315:IO315" si="871">IF($F$290, 0, IF($F$295, IF(AND(COLUMN($IH$315)-COLUMN($GL$311)=$Q$291,ROW($IH$315)-ROW($GL$311)=$K$291), U$290, IH315), IH315))</f>
        <v>0</v>
      </c>
      <c r="II315" s="21">
        <f t="shared" si="871"/>
        <v>0</v>
      </c>
      <c r="IJ315" s="21">
        <f t="shared" si="871"/>
        <v>0</v>
      </c>
      <c r="IK315" s="21">
        <f t="shared" si="871"/>
        <v>0</v>
      </c>
      <c r="IL315" s="21">
        <f t="shared" si="871"/>
        <v>0</v>
      </c>
      <c r="IM315" s="21">
        <f t="shared" si="871"/>
        <v>0</v>
      </c>
      <c r="IN315" s="21">
        <f t="shared" si="871"/>
        <v>0</v>
      </c>
      <c r="IO315" s="21">
        <f t="shared" si="871"/>
        <v>0</v>
      </c>
      <c r="IP315" s="21">
        <f t="shared" ref="IP315:IW315" si="872">IF($F$290, 0, IF($F$295, IF(AND(COLUMN($IP$315)-COLUMN($GL$311)=$Q$291,ROW($IP$315)-ROW($GL$311)=$K$291), U$290, IP315), IP315))</f>
        <v>0</v>
      </c>
      <c r="IQ315" s="21">
        <f t="shared" si="872"/>
        <v>0</v>
      </c>
      <c r="IR315" s="21">
        <f t="shared" si="872"/>
        <v>0</v>
      </c>
      <c r="IS315" s="21">
        <f t="shared" si="872"/>
        <v>0</v>
      </c>
      <c r="IT315" s="21">
        <f t="shared" si="872"/>
        <v>0</v>
      </c>
      <c r="IU315" s="21">
        <f t="shared" si="872"/>
        <v>0</v>
      </c>
      <c r="IV315" s="21">
        <f t="shared" si="872"/>
        <v>0</v>
      </c>
      <c r="IW315" s="21">
        <f t="shared" si="872"/>
        <v>0</v>
      </c>
      <c r="IX315" s="21">
        <f t="shared" ref="IX315:JE315" si="873">IF($F$290, 0, IF($G$295, IF(AND(COLUMN($IX$315)-COLUMN($IX$311)=$Q$291,ROW($IX$315)-ROW($IX$311)=$K$291), U$290, IX315), IX315))</f>
        <v>0</v>
      </c>
      <c r="IY315" s="21">
        <f t="shared" si="873"/>
        <v>0</v>
      </c>
      <c r="IZ315" s="21">
        <f t="shared" si="873"/>
        <v>0</v>
      </c>
      <c r="JA315" s="21">
        <f t="shared" si="873"/>
        <v>0</v>
      </c>
      <c r="JB315" s="21">
        <f t="shared" si="873"/>
        <v>0</v>
      </c>
      <c r="JC315" s="21">
        <f t="shared" si="873"/>
        <v>0</v>
      </c>
      <c r="JD315" s="21">
        <f t="shared" si="873"/>
        <v>0</v>
      </c>
      <c r="JE315" s="21">
        <f t="shared" si="873"/>
        <v>0</v>
      </c>
      <c r="JF315" s="21">
        <f t="shared" ref="JF315:JM315" si="874">IF($F$290, 0, IF($G$295, IF(AND(COLUMN($JF$315)-COLUMN($IX$311)=$Q$291,ROW($JF$315)-ROW($IX$311)=$K$291), U$290, JF315), JF315))</f>
        <v>0</v>
      </c>
      <c r="JG315" s="21">
        <f t="shared" si="874"/>
        <v>0</v>
      </c>
      <c r="JH315" s="21">
        <f t="shared" si="874"/>
        <v>0</v>
      </c>
      <c r="JI315" s="21">
        <f t="shared" si="874"/>
        <v>0</v>
      </c>
      <c r="JJ315" s="21">
        <f t="shared" si="874"/>
        <v>0</v>
      </c>
      <c r="JK315" s="21">
        <f t="shared" si="874"/>
        <v>0</v>
      </c>
      <c r="JL315" s="21">
        <f t="shared" si="874"/>
        <v>0</v>
      </c>
      <c r="JM315" s="21">
        <f t="shared" si="874"/>
        <v>0</v>
      </c>
      <c r="JN315" s="21">
        <f t="shared" ref="JN315:JU315" si="875">IF($F$290, 0, IF($G$295, IF(AND(COLUMN($JN$315)-COLUMN($IX$311)=$Q$291,ROW($JN$315)-ROW($IX$311)=$K$291), U$290, JN315), JN315))</f>
        <v>0</v>
      </c>
      <c r="JO315" s="21">
        <f t="shared" si="875"/>
        <v>0</v>
      </c>
      <c r="JP315" s="21">
        <f t="shared" si="875"/>
        <v>0</v>
      </c>
      <c r="JQ315" s="21">
        <f t="shared" si="875"/>
        <v>0</v>
      </c>
      <c r="JR315" s="21">
        <f t="shared" si="875"/>
        <v>0</v>
      </c>
      <c r="JS315" s="21">
        <f t="shared" si="875"/>
        <v>0</v>
      </c>
      <c r="JT315" s="21">
        <f t="shared" si="875"/>
        <v>0</v>
      </c>
      <c r="JU315" s="21">
        <f t="shared" si="875"/>
        <v>0</v>
      </c>
      <c r="JV315" s="21">
        <f t="shared" ref="JV315:KC315" si="876">IF($F$290, 0, IF($G$295, IF(AND(COLUMN($JV$315)-COLUMN($IX$311)=$Q$291,ROW($JV$315)-ROW($IX$311)=$K$291), U$290, JV315), JV315))</f>
        <v>0</v>
      </c>
      <c r="JW315" s="21">
        <f t="shared" si="876"/>
        <v>0</v>
      </c>
      <c r="JX315" s="21">
        <f t="shared" si="876"/>
        <v>0</v>
      </c>
      <c r="JY315" s="21">
        <f t="shared" si="876"/>
        <v>0</v>
      </c>
      <c r="JZ315" s="21">
        <f t="shared" si="876"/>
        <v>0</v>
      </c>
      <c r="KA315" s="21">
        <f t="shared" si="876"/>
        <v>0</v>
      </c>
      <c r="KB315" s="21">
        <f t="shared" si="876"/>
        <v>0</v>
      </c>
      <c r="KC315" s="21">
        <f t="shared" si="876"/>
        <v>0</v>
      </c>
      <c r="KD315" s="21">
        <f t="shared" ref="KD315:KK315" si="877">IF($F$290, 0, IF($G$295, IF(AND(COLUMN($KD$315)-COLUMN($IX$311)=$Q$291,ROW($KD$315)-ROW($IX$311)=$K$291), U$290, KD315), KD315))</f>
        <v>0</v>
      </c>
      <c r="KE315" s="21">
        <f t="shared" si="877"/>
        <v>0</v>
      </c>
      <c r="KF315" s="21">
        <f t="shared" si="877"/>
        <v>0</v>
      </c>
      <c r="KG315" s="21">
        <f t="shared" si="877"/>
        <v>0</v>
      </c>
      <c r="KH315" s="21">
        <f t="shared" si="877"/>
        <v>0</v>
      </c>
      <c r="KI315" s="21">
        <f t="shared" si="877"/>
        <v>0</v>
      </c>
      <c r="KJ315" s="21">
        <f t="shared" si="877"/>
        <v>0</v>
      </c>
      <c r="KK315" s="21">
        <f t="shared" si="877"/>
        <v>0</v>
      </c>
      <c r="KL315" s="21">
        <f t="shared" ref="KL315:KS315" si="878">IF($F$290, 0, IF($G$295, IF(AND(COLUMN($KL$315)-COLUMN($IX$311)=$Q$291,ROW($KL$315)-ROW($IX$311)=$K$291), U$290, KL315), KL315))</f>
        <v>0</v>
      </c>
      <c r="KM315" s="21">
        <f t="shared" si="878"/>
        <v>0</v>
      </c>
      <c r="KN315" s="21">
        <f t="shared" si="878"/>
        <v>0</v>
      </c>
      <c r="KO315" s="21">
        <f t="shared" si="878"/>
        <v>0</v>
      </c>
      <c r="KP315" s="21">
        <f t="shared" si="878"/>
        <v>0</v>
      </c>
      <c r="KQ315" s="21">
        <f t="shared" si="878"/>
        <v>0</v>
      </c>
      <c r="KR315" s="21">
        <f t="shared" si="878"/>
        <v>0</v>
      </c>
      <c r="KS315" s="21">
        <f t="shared" si="878"/>
        <v>0</v>
      </c>
      <c r="KT315" s="21">
        <f t="shared" ref="KT315:LA315" si="879">IF($F$290, 0, IF($G$295, IF(AND(COLUMN($KT$315)-COLUMN($IX$311)=$Q$291,ROW($KT$315)-ROW($IX$311)=$K$291), U$290, KT315), KT315))</f>
        <v>0</v>
      </c>
      <c r="KU315" s="21">
        <f t="shared" si="879"/>
        <v>0</v>
      </c>
      <c r="KV315" s="21">
        <f t="shared" si="879"/>
        <v>0</v>
      </c>
      <c r="KW315" s="21">
        <f t="shared" si="879"/>
        <v>0</v>
      </c>
      <c r="KX315" s="21">
        <f t="shared" si="879"/>
        <v>0</v>
      </c>
      <c r="KY315" s="21">
        <f t="shared" si="879"/>
        <v>0</v>
      </c>
      <c r="KZ315" s="21">
        <f t="shared" si="879"/>
        <v>0</v>
      </c>
      <c r="LA315" s="21">
        <f t="shared" si="879"/>
        <v>0</v>
      </c>
      <c r="LB315" s="21">
        <f t="shared" ref="LB315:LI315" si="880">IF($F$290, 0, IF($G$295, IF(AND(COLUMN($LB$315)-COLUMN($IX$311)=$Q$291,ROW($LB$315)-ROW($IX$311)=$K$291), U$290, LB315), LB315))</f>
        <v>0</v>
      </c>
      <c r="LC315" s="21">
        <f t="shared" si="880"/>
        <v>0</v>
      </c>
      <c r="LD315" s="21">
        <f t="shared" si="880"/>
        <v>0</v>
      </c>
      <c r="LE315" s="21">
        <f t="shared" si="880"/>
        <v>0</v>
      </c>
      <c r="LF315" s="21">
        <f t="shared" si="880"/>
        <v>0</v>
      </c>
      <c r="LG315" s="21">
        <f t="shared" si="880"/>
        <v>0</v>
      </c>
      <c r="LH315" s="21">
        <f t="shared" si="880"/>
        <v>0</v>
      </c>
      <c r="LI315" s="21">
        <f t="shared" si="880"/>
        <v>0</v>
      </c>
      <c r="LJ315" s="21">
        <f t="shared" ref="LJ315:LQ315" si="881">IF($F$290, 0, IF($H$295, IF(AND(COLUMN($LJ$315)-COLUMN($LJ$311)=$Q$291,ROW($LJ$315)-ROW($LJ$311)=$K$291), U$290, LJ315), LJ315))</f>
        <v>0</v>
      </c>
      <c r="LK315" s="21">
        <f t="shared" si="881"/>
        <v>0</v>
      </c>
      <c r="LL315" s="21">
        <f t="shared" si="881"/>
        <v>0</v>
      </c>
      <c r="LM315" s="21">
        <f t="shared" si="881"/>
        <v>0</v>
      </c>
      <c r="LN315" s="21">
        <f t="shared" si="881"/>
        <v>0</v>
      </c>
      <c r="LO315" s="21">
        <f t="shared" si="881"/>
        <v>0</v>
      </c>
      <c r="LP315" s="21">
        <f t="shared" si="881"/>
        <v>0</v>
      </c>
      <c r="LQ315" s="21">
        <f t="shared" si="881"/>
        <v>0</v>
      </c>
      <c r="LR315" s="21">
        <f t="shared" ref="LR315:LY315" si="882">IF($F$290, 0, IF($H$295, IF(AND(COLUMN($LR$315)-COLUMN($LJ$311)=$Q$291,ROW($LR$315)-ROW($LJ$311)=$K$291), U$290, LR315), LR315))</f>
        <v>0</v>
      </c>
      <c r="LS315" s="21">
        <f t="shared" si="882"/>
        <v>0</v>
      </c>
      <c r="LT315" s="21">
        <f t="shared" si="882"/>
        <v>0</v>
      </c>
      <c r="LU315" s="21">
        <f t="shared" si="882"/>
        <v>0</v>
      </c>
      <c r="LV315" s="21">
        <f t="shared" si="882"/>
        <v>0</v>
      </c>
      <c r="LW315" s="21">
        <f t="shared" si="882"/>
        <v>0</v>
      </c>
      <c r="LX315" s="21">
        <f t="shared" si="882"/>
        <v>0</v>
      </c>
      <c r="LY315" s="21">
        <f t="shared" si="882"/>
        <v>0</v>
      </c>
      <c r="LZ315" s="21">
        <f t="shared" ref="LZ315:MG315" si="883">IF($F$290, 0, IF($H$295, IF(AND(COLUMN($LZ$315)-COLUMN($LJ$311)=$Q$291,ROW($LZ$315)-ROW($LJ$311)=$K$291), U$290, LZ315), LZ315))</f>
        <v>0</v>
      </c>
      <c r="MA315" s="21">
        <f t="shared" si="883"/>
        <v>0</v>
      </c>
      <c r="MB315" s="21">
        <f t="shared" si="883"/>
        <v>0</v>
      </c>
      <c r="MC315" s="21">
        <f t="shared" si="883"/>
        <v>0</v>
      </c>
      <c r="MD315" s="21">
        <f t="shared" si="883"/>
        <v>0</v>
      </c>
      <c r="ME315" s="21">
        <f t="shared" si="883"/>
        <v>0</v>
      </c>
      <c r="MF315" s="21">
        <f t="shared" si="883"/>
        <v>0</v>
      </c>
      <c r="MG315" s="21">
        <f t="shared" si="883"/>
        <v>0</v>
      </c>
      <c r="MH315" s="21">
        <f t="shared" ref="MH315:MO315" si="884">IF($F$290, 0, IF($H$295, IF(AND(COLUMN($MH$315)-COLUMN($LJ$311)=$Q$291,ROW($MH$315)-ROW($LJ$311)=$K$291), U$290, MH315), MH315))</f>
        <v>0</v>
      </c>
      <c r="MI315" s="21">
        <f t="shared" si="884"/>
        <v>0</v>
      </c>
      <c r="MJ315" s="21">
        <f t="shared" si="884"/>
        <v>0</v>
      </c>
      <c r="MK315" s="21">
        <f t="shared" si="884"/>
        <v>0</v>
      </c>
      <c r="ML315" s="21">
        <f t="shared" si="884"/>
        <v>0</v>
      </c>
      <c r="MM315" s="21">
        <f t="shared" si="884"/>
        <v>0</v>
      </c>
      <c r="MN315" s="21">
        <f t="shared" si="884"/>
        <v>0</v>
      </c>
      <c r="MO315" s="21">
        <f t="shared" si="884"/>
        <v>0</v>
      </c>
      <c r="MP315" s="21">
        <f t="shared" ref="MP315:MW315" si="885">IF($F$290, 0, IF($H$295, IF(AND(COLUMN($MP$315)-COLUMN($LJ$311)=$Q$291,ROW($MP$315)-ROW($LJ$311)=$K$291), U$290, MP315), MP315))</f>
        <v>0</v>
      </c>
      <c r="MQ315" s="21">
        <f t="shared" si="885"/>
        <v>0</v>
      </c>
      <c r="MR315" s="21">
        <f t="shared" si="885"/>
        <v>0</v>
      </c>
      <c r="MS315" s="21">
        <f t="shared" si="885"/>
        <v>0</v>
      </c>
      <c r="MT315" s="21">
        <f t="shared" si="885"/>
        <v>0</v>
      </c>
      <c r="MU315" s="21">
        <f t="shared" si="885"/>
        <v>0</v>
      </c>
      <c r="MV315" s="21">
        <f t="shared" si="885"/>
        <v>0</v>
      </c>
      <c r="MW315" s="21">
        <f t="shared" si="885"/>
        <v>0</v>
      </c>
      <c r="MX315" s="21">
        <f t="shared" ref="MX315:NE315" si="886">IF($F$290, 0, IF($H$295, IF(AND(COLUMN($MX$315)-COLUMN($LJ$311)=$Q$291,ROW($MX$315)-ROW($LJ$311)=$K$291), U$290, MX315), MX315))</f>
        <v>0</v>
      </c>
      <c r="MY315" s="21">
        <f t="shared" si="886"/>
        <v>0</v>
      </c>
      <c r="MZ315" s="21">
        <f t="shared" si="886"/>
        <v>0</v>
      </c>
      <c r="NA315" s="21">
        <f t="shared" si="886"/>
        <v>0</v>
      </c>
      <c r="NB315" s="21">
        <f t="shared" si="886"/>
        <v>0</v>
      </c>
      <c r="NC315" s="21">
        <f t="shared" si="886"/>
        <v>0</v>
      </c>
      <c r="ND315" s="21">
        <f t="shared" si="886"/>
        <v>0</v>
      </c>
      <c r="NE315" s="21">
        <f t="shared" si="886"/>
        <v>0</v>
      </c>
      <c r="NF315" s="21">
        <f t="shared" ref="NF315:NM315" si="887">IF($F$290, 0, IF($H$295, IF(AND(COLUMN($NF$315)-COLUMN($LJ$311)=$Q$291,ROW($NF$315)-ROW($LJ$311)=$K$291), U$290, NF315), NF315))</f>
        <v>0</v>
      </c>
      <c r="NG315" s="21">
        <f t="shared" si="887"/>
        <v>0</v>
      </c>
      <c r="NH315" s="21">
        <f t="shared" si="887"/>
        <v>0</v>
      </c>
      <c r="NI315" s="21">
        <f t="shared" si="887"/>
        <v>0</v>
      </c>
      <c r="NJ315" s="21">
        <f t="shared" si="887"/>
        <v>0</v>
      </c>
      <c r="NK315" s="21">
        <f t="shared" si="887"/>
        <v>0</v>
      </c>
      <c r="NL315" s="21">
        <f t="shared" si="887"/>
        <v>0</v>
      </c>
      <c r="NM315" s="21">
        <f t="shared" si="887"/>
        <v>0</v>
      </c>
      <c r="NN315" s="21">
        <f t="shared" ref="NN315:NU315" si="888">IF($F$290, 0, IF($H$295, IF(AND(COLUMN($NN$315)-COLUMN($LJ$311)=$Q$291,ROW($NN$315)-ROW($LJ$311)=$K$291), U$290, NN315), NN315))</f>
        <v>0</v>
      </c>
      <c r="NO315" s="21">
        <f t="shared" si="888"/>
        <v>0</v>
      </c>
      <c r="NP315" s="21">
        <f t="shared" si="888"/>
        <v>0</v>
      </c>
      <c r="NQ315" s="21">
        <f t="shared" si="888"/>
        <v>0</v>
      </c>
      <c r="NR315" s="21">
        <f t="shared" si="888"/>
        <v>0</v>
      </c>
      <c r="NS315" s="21">
        <f t="shared" si="888"/>
        <v>0</v>
      </c>
      <c r="NT315" s="21">
        <f t="shared" si="888"/>
        <v>0</v>
      </c>
      <c r="NU315" s="21">
        <f t="shared" si="888"/>
        <v>0</v>
      </c>
      <c r="NV315" s="21">
        <f t="shared" ref="NV315:OC315" si="889">IF($F$290, 0, IF($I$295, IF(AND(COLUMN($NV$315)-COLUMN($NV$311)=$Q$291,ROW($NV$315)-ROW($NV$311)=$K$291), U$290, NV315), NV315))</f>
        <v>0</v>
      </c>
      <c r="NW315" s="21">
        <f t="shared" si="889"/>
        <v>0</v>
      </c>
      <c r="NX315" s="21">
        <f t="shared" si="889"/>
        <v>0</v>
      </c>
      <c r="NY315" s="21">
        <f t="shared" si="889"/>
        <v>0</v>
      </c>
      <c r="NZ315" s="21">
        <f t="shared" si="889"/>
        <v>0</v>
      </c>
      <c r="OA315" s="21">
        <f t="shared" si="889"/>
        <v>0</v>
      </c>
      <c r="OB315" s="21">
        <f t="shared" si="889"/>
        <v>0</v>
      </c>
      <c r="OC315" s="21">
        <f t="shared" si="889"/>
        <v>0</v>
      </c>
      <c r="OD315" s="21">
        <f t="shared" ref="OD315:OK315" si="890">IF($F$290, 0, IF($I$295, IF(AND(COLUMN($OD$315)-COLUMN($NV$311)=$Q$291,ROW($OD$315)-ROW($NV$311)=$K$291), U$290, OD315), OD315))</f>
        <v>0</v>
      </c>
      <c r="OE315" s="21">
        <f t="shared" si="890"/>
        <v>0</v>
      </c>
      <c r="OF315" s="21">
        <f t="shared" si="890"/>
        <v>0</v>
      </c>
      <c r="OG315" s="21">
        <f t="shared" si="890"/>
        <v>0</v>
      </c>
      <c r="OH315" s="21">
        <f t="shared" si="890"/>
        <v>0</v>
      </c>
      <c r="OI315" s="21">
        <f t="shared" si="890"/>
        <v>0</v>
      </c>
      <c r="OJ315" s="21">
        <f t="shared" si="890"/>
        <v>0</v>
      </c>
      <c r="OK315" s="21">
        <f t="shared" si="890"/>
        <v>0</v>
      </c>
      <c r="OL315" s="21">
        <f t="shared" ref="OL315:OS315" si="891">IF($F$290, 0, IF($I$295, IF(AND(COLUMN($OL$315)-COLUMN($NV$311)=$Q$291,ROW($OL$315)-ROW($NV$311)=$K$291), U$290, OL315), OL315))</f>
        <v>0</v>
      </c>
      <c r="OM315" s="21">
        <f t="shared" si="891"/>
        <v>0</v>
      </c>
      <c r="ON315" s="21">
        <f t="shared" si="891"/>
        <v>0</v>
      </c>
      <c r="OO315" s="21">
        <f t="shared" si="891"/>
        <v>0</v>
      </c>
      <c r="OP315" s="21">
        <f t="shared" si="891"/>
        <v>0</v>
      </c>
      <c r="OQ315" s="21">
        <f t="shared" si="891"/>
        <v>0</v>
      </c>
      <c r="OR315" s="21">
        <f t="shared" si="891"/>
        <v>0</v>
      </c>
      <c r="OS315" s="21">
        <f t="shared" si="891"/>
        <v>0</v>
      </c>
      <c r="OT315" s="21">
        <f t="shared" ref="OT315:PA315" si="892">IF($F$290, 0, IF($I$295, IF(AND(COLUMN($OT$315)-COLUMN($NV$311)=$Q$291,ROW($OT$315)-ROW($NV$311)=$K$291), U$290, OT315), OT315))</f>
        <v>0</v>
      </c>
      <c r="OU315" s="21">
        <f t="shared" si="892"/>
        <v>0</v>
      </c>
      <c r="OV315" s="21">
        <f t="shared" si="892"/>
        <v>0</v>
      </c>
      <c r="OW315" s="21">
        <f t="shared" si="892"/>
        <v>0</v>
      </c>
      <c r="OX315" s="21">
        <f t="shared" si="892"/>
        <v>0</v>
      </c>
      <c r="OY315" s="21">
        <f t="shared" si="892"/>
        <v>0</v>
      </c>
      <c r="OZ315" s="21">
        <f t="shared" si="892"/>
        <v>0</v>
      </c>
      <c r="PA315" s="21">
        <f t="shared" si="892"/>
        <v>0</v>
      </c>
      <c r="PB315" s="21">
        <f t="shared" ref="PB315:PI315" si="893">IF($F$290, 0, IF($I$295, IF(AND(COLUMN($PB$315)-COLUMN($NV$311)=$Q$291,ROW($PB$315)-ROW($NV$311)=$K$291), U$290, PB315), PB315))</f>
        <v>0</v>
      </c>
      <c r="PC315" s="21">
        <f t="shared" si="893"/>
        <v>0</v>
      </c>
      <c r="PD315" s="21">
        <f t="shared" si="893"/>
        <v>0</v>
      </c>
      <c r="PE315" s="21">
        <f t="shared" si="893"/>
        <v>0</v>
      </c>
      <c r="PF315" s="21">
        <f t="shared" si="893"/>
        <v>0</v>
      </c>
      <c r="PG315" s="21">
        <f t="shared" si="893"/>
        <v>0</v>
      </c>
      <c r="PH315" s="21">
        <f t="shared" si="893"/>
        <v>0</v>
      </c>
      <c r="PI315" s="21">
        <f t="shared" si="893"/>
        <v>0</v>
      </c>
      <c r="PJ315" s="21">
        <f t="shared" ref="PJ315:PQ315" si="894">IF($F$290, 0, IF($I$295, IF(AND(COLUMN($PJ$315)-COLUMN($NV$311)=$Q$291,ROW($PJ$315)-ROW($NV$311)=$K$291), U$290, PJ315), PJ315))</f>
        <v>0</v>
      </c>
      <c r="PK315" s="21">
        <f t="shared" si="894"/>
        <v>0</v>
      </c>
      <c r="PL315" s="21">
        <f t="shared" si="894"/>
        <v>0</v>
      </c>
      <c r="PM315" s="21">
        <f t="shared" si="894"/>
        <v>0</v>
      </c>
      <c r="PN315" s="21">
        <f t="shared" si="894"/>
        <v>0</v>
      </c>
      <c r="PO315" s="21">
        <f t="shared" si="894"/>
        <v>0</v>
      </c>
      <c r="PP315" s="21">
        <f t="shared" si="894"/>
        <v>0</v>
      </c>
      <c r="PQ315" s="21">
        <f t="shared" si="894"/>
        <v>0</v>
      </c>
      <c r="PR315" s="21">
        <f t="shared" ref="PR315:PY315" si="895">IF($F$290, 0, IF($I$295, IF(AND(COLUMN($PR$315)-COLUMN($NV$311)=$Q$291,ROW($PR$315)-ROW($NV$311)=$K$291), U$290, PR315), PR315))</f>
        <v>0</v>
      </c>
      <c r="PS315" s="21">
        <f t="shared" si="895"/>
        <v>0</v>
      </c>
      <c r="PT315" s="21">
        <f t="shared" si="895"/>
        <v>0</v>
      </c>
      <c r="PU315" s="21">
        <f t="shared" si="895"/>
        <v>0</v>
      </c>
      <c r="PV315" s="21">
        <f t="shared" si="895"/>
        <v>0</v>
      </c>
      <c r="PW315" s="21">
        <f t="shared" si="895"/>
        <v>0</v>
      </c>
      <c r="PX315" s="21">
        <f t="shared" si="895"/>
        <v>0</v>
      </c>
      <c r="PY315" s="21">
        <f t="shared" si="895"/>
        <v>0</v>
      </c>
      <c r="PZ315" s="21">
        <f t="shared" ref="PZ315:QG315" si="896">IF($F$290, 0, IF($I$295, IF(AND(COLUMN($PZ$315)-COLUMN($NV$311)=$Q$291,ROW($PZ$315)-ROW($NV$311)=$K$291), U$290, PZ315), PZ315))</f>
        <v>0</v>
      </c>
      <c r="QA315" s="21">
        <f t="shared" si="896"/>
        <v>0</v>
      </c>
      <c r="QB315" s="21">
        <f t="shared" si="896"/>
        <v>0</v>
      </c>
      <c r="QC315" s="21">
        <f t="shared" si="896"/>
        <v>0</v>
      </c>
      <c r="QD315" s="21">
        <f t="shared" si="896"/>
        <v>0</v>
      </c>
      <c r="QE315" s="21">
        <f t="shared" si="896"/>
        <v>0</v>
      </c>
      <c r="QF315" s="21">
        <f t="shared" si="896"/>
        <v>0</v>
      </c>
      <c r="QG315" s="21">
        <f t="shared" si="896"/>
        <v>0</v>
      </c>
      <c r="QH315" s="21">
        <f t="shared" ref="QH315:QO315" si="897">IF($F$290, 0, IF($J$295, IF(AND(COLUMN($QH$315)-COLUMN($QH$311)=$Q$291,ROW($QH$315)-ROW($QH$311)=$K$291), U$290, QH315), QH315))</f>
        <v>0</v>
      </c>
      <c r="QI315" s="21">
        <f t="shared" si="897"/>
        <v>0</v>
      </c>
      <c r="QJ315" s="21">
        <f t="shared" si="897"/>
        <v>0</v>
      </c>
      <c r="QK315" s="21">
        <f t="shared" si="897"/>
        <v>0</v>
      </c>
      <c r="QL315" s="21">
        <f t="shared" si="897"/>
        <v>0</v>
      </c>
      <c r="QM315" s="21">
        <f t="shared" si="897"/>
        <v>0</v>
      </c>
      <c r="QN315" s="21">
        <f t="shared" si="897"/>
        <v>0</v>
      </c>
      <c r="QO315" s="21">
        <f t="shared" si="897"/>
        <v>0</v>
      </c>
      <c r="QP315" s="21">
        <f t="shared" ref="QP315:QW315" si="898">IF($F$290, 0, IF($J$295, IF(AND(COLUMN($QP$315)-COLUMN($QH$311)=$Q$291,ROW($QP$315)-ROW($QH$311)=$K$291), U$290, QP315), QP315))</f>
        <v>0</v>
      </c>
      <c r="QQ315" s="21">
        <f t="shared" si="898"/>
        <v>0</v>
      </c>
      <c r="QR315" s="21">
        <f t="shared" si="898"/>
        <v>0</v>
      </c>
      <c r="QS315" s="21">
        <f t="shared" si="898"/>
        <v>0</v>
      </c>
      <c r="QT315" s="21">
        <f t="shared" si="898"/>
        <v>0</v>
      </c>
      <c r="QU315" s="21">
        <f t="shared" si="898"/>
        <v>0</v>
      </c>
      <c r="QV315" s="21">
        <f t="shared" si="898"/>
        <v>0</v>
      </c>
      <c r="QW315" s="21">
        <f t="shared" si="898"/>
        <v>0</v>
      </c>
      <c r="QX315" s="21">
        <f t="shared" ref="QX315:RE315" si="899">IF($F$290, 0, IF($J$295, IF(AND(COLUMN($QX$315)-COLUMN($QH$311)=$Q$291,ROW($QX$315)-ROW($QH$311)=$K$291), U$290, QX315), QX315))</f>
        <v>0</v>
      </c>
      <c r="QY315" s="21">
        <f t="shared" si="899"/>
        <v>0</v>
      </c>
      <c r="QZ315" s="21">
        <f t="shared" si="899"/>
        <v>0</v>
      </c>
      <c r="RA315" s="21">
        <f t="shared" si="899"/>
        <v>0</v>
      </c>
      <c r="RB315" s="21">
        <f t="shared" si="899"/>
        <v>0</v>
      </c>
      <c r="RC315" s="21">
        <f t="shared" si="899"/>
        <v>0</v>
      </c>
      <c r="RD315" s="21">
        <f t="shared" si="899"/>
        <v>0</v>
      </c>
      <c r="RE315" s="21">
        <f t="shared" si="899"/>
        <v>0</v>
      </c>
      <c r="RF315" s="21">
        <f t="shared" ref="RF315:RM315" si="900">IF($F$290, 0, IF($J$295, IF(AND(COLUMN($RF$315)-COLUMN($QH$311)=$Q$291,ROW($RF$315)-ROW($QH$311)=$K$291), U$290, RF315), RF315))</f>
        <v>0</v>
      </c>
      <c r="RG315" s="21">
        <f t="shared" si="900"/>
        <v>0</v>
      </c>
      <c r="RH315" s="21">
        <f t="shared" si="900"/>
        <v>0</v>
      </c>
      <c r="RI315" s="21">
        <f t="shared" si="900"/>
        <v>0</v>
      </c>
      <c r="RJ315" s="21">
        <f t="shared" si="900"/>
        <v>0</v>
      </c>
      <c r="RK315" s="21">
        <f t="shared" si="900"/>
        <v>0</v>
      </c>
      <c r="RL315" s="21">
        <f t="shared" si="900"/>
        <v>0</v>
      </c>
      <c r="RM315" s="21">
        <f t="shared" si="900"/>
        <v>0</v>
      </c>
      <c r="RN315" s="21">
        <f t="shared" ref="RN315:RU315" si="901">IF($F$290, 0, IF($J$295, IF(AND(COLUMN($RN$315)-COLUMN($QH$311)=$Q$291,ROW($RN$315)-ROW($QH$311)=$K$291), U$290, RN315), RN315))</f>
        <v>0</v>
      </c>
      <c r="RO315" s="21">
        <f t="shared" si="901"/>
        <v>0</v>
      </c>
      <c r="RP315" s="21">
        <f t="shared" si="901"/>
        <v>0</v>
      </c>
      <c r="RQ315" s="21">
        <f t="shared" si="901"/>
        <v>0</v>
      </c>
      <c r="RR315" s="21">
        <f t="shared" si="901"/>
        <v>0</v>
      </c>
      <c r="RS315" s="21">
        <f t="shared" si="901"/>
        <v>0</v>
      </c>
      <c r="RT315" s="21">
        <f t="shared" si="901"/>
        <v>0</v>
      </c>
      <c r="RU315" s="21">
        <f t="shared" si="901"/>
        <v>0</v>
      </c>
      <c r="RV315" s="21">
        <f t="shared" ref="RV315:SC315" si="902">IF($F$290, 0, IF($J$295, IF(AND(COLUMN($RV$315)-COLUMN($QH$311)=$Q$291,ROW($RV$315)-ROW($QH$311)=$K$291), U$290, RV315), RV315))</f>
        <v>0</v>
      </c>
      <c r="RW315" s="21">
        <f t="shared" si="902"/>
        <v>0</v>
      </c>
      <c r="RX315" s="21">
        <f t="shared" si="902"/>
        <v>0</v>
      </c>
      <c r="RY315" s="21">
        <f t="shared" si="902"/>
        <v>0</v>
      </c>
      <c r="RZ315" s="21">
        <f t="shared" si="902"/>
        <v>0</v>
      </c>
      <c r="SA315" s="21">
        <f t="shared" si="902"/>
        <v>0</v>
      </c>
      <c r="SB315" s="21">
        <f t="shared" si="902"/>
        <v>0</v>
      </c>
      <c r="SC315" s="21">
        <f t="shared" si="902"/>
        <v>0</v>
      </c>
      <c r="SD315" s="21">
        <f t="shared" ref="SD315:SK315" si="903">IF($F$290, 0, IF($J$295, IF(AND(COLUMN($SD$315)-COLUMN($QH$311)=$Q$291,ROW($SD$315)-ROW($QH$311)=$K$291), U$290, SD315), SD315))</f>
        <v>0</v>
      </c>
      <c r="SE315" s="21">
        <f t="shared" si="903"/>
        <v>0</v>
      </c>
      <c r="SF315" s="21">
        <f t="shared" si="903"/>
        <v>0</v>
      </c>
      <c r="SG315" s="21">
        <f t="shared" si="903"/>
        <v>0</v>
      </c>
      <c r="SH315" s="21">
        <f t="shared" si="903"/>
        <v>0</v>
      </c>
      <c r="SI315" s="21">
        <f t="shared" si="903"/>
        <v>0</v>
      </c>
      <c r="SJ315" s="21">
        <f t="shared" si="903"/>
        <v>0</v>
      </c>
      <c r="SK315" s="21">
        <f t="shared" si="903"/>
        <v>0</v>
      </c>
      <c r="SL315" s="21">
        <f t="shared" ref="SL315:SS315" si="904">IF($F$290, 0, IF($J$295, IF(AND(COLUMN($SL$315)-COLUMN($QH$311)=$Q$291,ROW($SL$315)-ROW($QH$311)=$K$291), U$290, SL315), SL315))</f>
        <v>0</v>
      </c>
      <c r="SM315" s="21">
        <f t="shared" si="904"/>
        <v>0</v>
      </c>
      <c r="SN315" s="21">
        <f t="shared" si="904"/>
        <v>0</v>
      </c>
      <c r="SO315" s="21">
        <f t="shared" si="904"/>
        <v>0</v>
      </c>
      <c r="SP315" s="21">
        <f t="shared" si="904"/>
        <v>0</v>
      </c>
      <c r="SQ315" s="21">
        <f t="shared" si="904"/>
        <v>0</v>
      </c>
      <c r="SR315" s="21">
        <f t="shared" si="904"/>
        <v>0</v>
      </c>
      <c r="SS315" s="21">
        <f t="shared" si="904"/>
        <v>0</v>
      </c>
    </row>
    <row r="316" spans="2:513" ht="15" customHeight="1" x14ac:dyDescent="0.25">
      <c r="B316" s="21">
        <f t="shared" ref="B316:I316" si="905">IF($F$290, 0, IF($C$295, IF(AND(COLUMN($B$316)-COLUMN($B$311)=$Q$291,ROW($B$316)-ROW($B$311)=$K$291), U$290, B316), B316))</f>
        <v>0</v>
      </c>
      <c r="C316" s="21">
        <f t="shared" si="905"/>
        <v>0</v>
      </c>
      <c r="D316" s="21">
        <f t="shared" si="905"/>
        <v>0</v>
      </c>
      <c r="E316" s="21">
        <f t="shared" si="905"/>
        <v>0</v>
      </c>
      <c r="F316" s="21">
        <f t="shared" si="905"/>
        <v>0</v>
      </c>
      <c r="G316" s="21">
        <f t="shared" si="905"/>
        <v>0</v>
      </c>
      <c r="H316" s="21">
        <f t="shared" si="905"/>
        <v>0</v>
      </c>
      <c r="I316" s="21">
        <f t="shared" si="905"/>
        <v>0</v>
      </c>
      <c r="J316" s="21">
        <f t="shared" ref="J316:Q316" si="906">IF($F$290, 0, IF($C$295, IF(AND(COLUMN($J$316)-COLUMN($B$311)=$Q$291,ROW($J$316)-ROW($B$311)=$K$291), U$290, J316), J316))</f>
        <v>0</v>
      </c>
      <c r="K316" s="21">
        <f t="shared" si="906"/>
        <v>0</v>
      </c>
      <c r="L316" s="21">
        <f t="shared" si="906"/>
        <v>0</v>
      </c>
      <c r="M316" s="21">
        <f t="shared" si="906"/>
        <v>0</v>
      </c>
      <c r="N316" s="21">
        <f t="shared" si="906"/>
        <v>0</v>
      </c>
      <c r="O316" s="21">
        <f t="shared" si="906"/>
        <v>0</v>
      </c>
      <c r="P316" s="21">
        <f t="shared" si="906"/>
        <v>0</v>
      </c>
      <c r="Q316" s="21">
        <f t="shared" si="906"/>
        <v>0</v>
      </c>
      <c r="R316" s="21">
        <f>IF($F$290, 0, IF($C$295, IF(AND(COLUMN($R$316)-COLUMN($B$311)=$Q$291,ROW($R$316)-ROW($B$311)=$K$291), U$290, R316), R316))</f>
        <v>0</v>
      </c>
      <c r="S316" s="21">
        <f t="shared" ref="S316:Y316" si="907">IF($F$290, 0, IF($C$295, IF(AND(COLUMN($R$316)-COLUMN($B$311)=$Q$291,ROW($R$316)-ROW($B$311)=$K$291), V$290, S316), S316))</f>
        <v>0</v>
      </c>
      <c r="T316" s="21">
        <f t="shared" si="907"/>
        <v>0</v>
      </c>
      <c r="U316" s="21">
        <f t="shared" si="907"/>
        <v>0</v>
      </c>
      <c r="V316" s="21">
        <f t="shared" si="907"/>
        <v>0</v>
      </c>
      <c r="W316" s="21">
        <f t="shared" si="907"/>
        <v>0</v>
      </c>
      <c r="X316" s="21">
        <f t="shared" si="907"/>
        <v>0</v>
      </c>
      <c r="Y316" s="21">
        <f t="shared" si="907"/>
        <v>0</v>
      </c>
      <c r="Z316" s="21">
        <f t="shared" ref="Z316:AG316" si="908">IF($F$290, 0, IF($C$295, IF(AND(COLUMN($Z$316)-COLUMN($B$311)=$Q$291,ROW($Z$316)-ROW($B$311)=$K$291), U$290, Z316), Z316))</f>
        <v>0</v>
      </c>
      <c r="AA316" s="21">
        <f t="shared" si="908"/>
        <v>0</v>
      </c>
      <c r="AB316" s="21">
        <f t="shared" si="908"/>
        <v>0</v>
      </c>
      <c r="AC316" s="21">
        <f t="shared" si="908"/>
        <v>0</v>
      </c>
      <c r="AD316" s="21">
        <f t="shared" si="908"/>
        <v>0</v>
      </c>
      <c r="AE316" s="21">
        <f t="shared" si="908"/>
        <v>0</v>
      </c>
      <c r="AF316" s="21">
        <f t="shared" si="908"/>
        <v>0</v>
      </c>
      <c r="AG316" s="21">
        <f t="shared" si="908"/>
        <v>0</v>
      </c>
      <c r="AH316" s="21">
        <f t="shared" ref="AH316:AO316" si="909">IF($F$290, 0, IF($C$295, IF(AND(COLUMN($AH$316)-COLUMN($B$311)=$Q$291,ROW($AH$316)-ROW($B$311)=$K$291), U$290, AH316), AH316))</f>
        <v>0</v>
      </c>
      <c r="AI316" s="21">
        <f t="shared" si="909"/>
        <v>0</v>
      </c>
      <c r="AJ316" s="21">
        <f t="shared" si="909"/>
        <v>0</v>
      </c>
      <c r="AK316" s="21">
        <f t="shared" si="909"/>
        <v>0</v>
      </c>
      <c r="AL316" s="21">
        <f t="shared" si="909"/>
        <v>0</v>
      </c>
      <c r="AM316" s="21">
        <f t="shared" si="909"/>
        <v>0</v>
      </c>
      <c r="AN316" s="21">
        <f t="shared" si="909"/>
        <v>0</v>
      </c>
      <c r="AO316" s="21">
        <f t="shared" si="909"/>
        <v>0</v>
      </c>
      <c r="AP316" s="21">
        <f t="shared" ref="AP316:AW316" si="910">IF($F$290, 0, IF($C$295, IF(AND(COLUMN($AP$316)-COLUMN($B$311)=$Q$291,ROW($AP$316)-ROW($B$311)=$K$291), U$290, AP316), AP316))</f>
        <v>0</v>
      </c>
      <c r="AQ316" s="21">
        <f t="shared" si="910"/>
        <v>0</v>
      </c>
      <c r="AR316" s="21">
        <f t="shared" si="910"/>
        <v>0</v>
      </c>
      <c r="AS316" s="21">
        <f t="shared" si="910"/>
        <v>0</v>
      </c>
      <c r="AT316" s="21">
        <f t="shared" si="910"/>
        <v>0</v>
      </c>
      <c r="AU316" s="21">
        <f t="shared" si="910"/>
        <v>0</v>
      </c>
      <c r="AV316" s="21">
        <f t="shared" si="910"/>
        <v>0</v>
      </c>
      <c r="AW316" s="21">
        <f t="shared" si="910"/>
        <v>0</v>
      </c>
      <c r="AX316" s="21">
        <f t="shared" ref="AX316:BE316" si="911">IF($F$290, 0, IF($C$295, IF(AND(COLUMN($AX$316)-COLUMN($B$311)=$Q$291,ROW($AX$316)-ROW($B$311)=$K$291), U$290, AX316), AX316))</f>
        <v>0</v>
      </c>
      <c r="AY316" s="21">
        <f t="shared" si="911"/>
        <v>0</v>
      </c>
      <c r="AZ316" s="21">
        <f t="shared" si="911"/>
        <v>0</v>
      </c>
      <c r="BA316" s="21">
        <f t="shared" si="911"/>
        <v>0</v>
      </c>
      <c r="BB316" s="21">
        <f t="shared" si="911"/>
        <v>0</v>
      </c>
      <c r="BC316" s="21">
        <f t="shared" si="911"/>
        <v>0</v>
      </c>
      <c r="BD316" s="21">
        <f t="shared" si="911"/>
        <v>0</v>
      </c>
      <c r="BE316" s="21">
        <f t="shared" si="911"/>
        <v>0</v>
      </c>
      <c r="BF316" s="21">
        <f t="shared" ref="BF316:BM316" si="912">IF($F$290, 0, IF($C$295, IF(AND(COLUMN($BF$316)-COLUMN($B$311)=$Q$291,ROW($BF$316)-ROW($B$311)=$K$291), U$290, BF316), BF316))</f>
        <v>0</v>
      </c>
      <c r="BG316" s="21">
        <f t="shared" si="912"/>
        <v>0</v>
      </c>
      <c r="BH316" s="21">
        <f t="shared" si="912"/>
        <v>0</v>
      </c>
      <c r="BI316" s="21">
        <f t="shared" si="912"/>
        <v>0</v>
      </c>
      <c r="BJ316" s="21">
        <f t="shared" si="912"/>
        <v>0</v>
      </c>
      <c r="BK316" s="21">
        <f t="shared" si="912"/>
        <v>0</v>
      </c>
      <c r="BL316" s="21">
        <f t="shared" si="912"/>
        <v>0</v>
      </c>
      <c r="BM316" s="21">
        <f t="shared" si="912"/>
        <v>0</v>
      </c>
      <c r="BN316" s="21">
        <f t="shared" ref="BN316:BU316" si="913">IF($F$290, 0, IF($D$295, IF(AND(COLUMN($BN$316)-COLUMN($BN$311)=$Q$291,ROW($BN$316)-ROW($BN$311)=$K$291), U$290, BN316), BN316))</f>
        <v>0</v>
      </c>
      <c r="BO316" s="21">
        <f t="shared" si="913"/>
        <v>0</v>
      </c>
      <c r="BP316" s="21">
        <f t="shared" si="913"/>
        <v>0</v>
      </c>
      <c r="BQ316" s="21">
        <f t="shared" si="913"/>
        <v>0</v>
      </c>
      <c r="BR316" s="21">
        <f t="shared" si="913"/>
        <v>0</v>
      </c>
      <c r="BS316" s="21">
        <f t="shared" si="913"/>
        <v>0</v>
      </c>
      <c r="BT316" s="21">
        <f t="shared" si="913"/>
        <v>0</v>
      </c>
      <c r="BU316" s="21">
        <f t="shared" si="913"/>
        <v>0</v>
      </c>
      <c r="BV316" s="21">
        <f t="shared" ref="BV316:CC316" si="914">IF($F$290, 0, IF($D$295, IF(AND(COLUMN($BV$316)-COLUMN($BN$311)=$Q$291,ROW($BV$316)-ROW($BN$311)=$K$291), U$290, BV316), BV316))</f>
        <v>0</v>
      </c>
      <c r="BW316" s="21">
        <f t="shared" si="914"/>
        <v>0</v>
      </c>
      <c r="BX316" s="21">
        <f t="shared" si="914"/>
        <v>0</v>
      </c>
      <c r="BY316" s="21">
        <f t="shared" si="914"/>
        <v>0</v>
      </c>
      <c r="BZ316" s="21">
        <f t="shared" si="914"/>
        <v>0</v>
      </c>
      <c r="CA316" s="21">
        <f t="shared" si="914"/>
        <v>0</v>
      </c>
      <c r="CB316" s="21">
        <f t="shared" si="914"/>
        <v>0</v>
      </c>
      <c r="CC316" s="21">
        <f t="shared" si="914"/>
        <v>0</v>
      </c>
      <c r="CD316" s="21">
        <f t="shared" ref="CD316:CK316" si="915">IF($F$290, 0, IF($D$295, IF(AND(COLUMN($CD$316)-COLUMN($BN$311)=$Q$291,ROW($CD$316)-ROW($BN$311)=$K$291), U$290, CD316), CD316))</f>
        <v>0</v>
      </c>
      <c r="CE316" s="21">
        <f t="shared" si="915"/>
        <v>0</v>
      </c>
      <c r="CF316" s="21">
        <f t="shared" si="915"/>
        <v>0</v>
      </c>
      <c r="CG316" s="21">
        <f t="shared" si="915"/>
        <v>0</v>
      </c>
      <c r="CH316" s="21">
        <f t="shared" si="915"/>
        <v>0</v>
      </c>
      <c r="CI316" s="21">
        <f t="shared" si="915"/>
        <v>0</v>
      </c>
      <c r="CJ316" s="21">
        <f t="shared" si="915"/>
        <v>0</v>
      </c>
      <c r="CK316" s="21">
        <f t="shared" si="915"/>
        <v>0</v>
      </c>
      <c r="CL316" s="21">
        <f t="shared" ref="CL316:CS316" si="916">IF($F$290, 0, IF($D$295, IF(AND(COLUMN($CL$316)-COLUMN($BN$311)=$Q$291,ROW($CL$316)-ROW($BN$311)=$K$291), U$290, CL316), CL316))</f>
        <v>0</v>
      </c>
      <c r="CM316" s="21">
        <f t="shared" si="916"/>
        <v>0</v>
      </c>
      <c r="CN316" s="21">
        <f t="shared" si="916"/>
        <v>0</v>
      </c>
      <c r="CO316" s="21">
        <f t="shared" si="916"/>
        <v>0</v>
      </c>
      <c r="CP316" s="21">
        <f t="shared" si="916"/>
        <v>0</v>
      </c>
      <c r="CQ316" s="21">
        <f t="shared" si="916"/>
        <v>0</v>
      </c>
      <c r="CR316" s="21">
        <f t="shared" si="916"/>
        <v>0</v>
      </c>
      <c r="CS316" s="21">
        <f t="shared" si="916"/>
        <v>0</v>
      </c>
      <c r="CT316" s="21">
        <f t="shared" ref="CT316:DA316" si="917">IF($F$290, 0, IF($D$295, IF(AND(COLUMN($CT$316)-COLUMN($BN$311)=$Q$291,ROW($CT$316)-ROW($BN$311)=$K$291), U$290, CT316), CT316))</f>
        <v>0</v>
      </c>
      <c r="CU316" s="21">
        <f t="shared" si="917"/>
        <v>0</v>
      </c>
      <c r="CV316" s="21">
        <f t="shared" si="917"/>
        <v>0</v>
      </c>
      <c r="CW316" s="21">
        <f t="shared" si="917"/>
        <v>0</v>
      </c>
      <c r="CX316" s="21">
        <f t="shared" si="917"/>
        <v>0</v>
      </c>
      <c r="CY316" s="21">
        <f t="shared" si="917"/>
        <v>0</v>
      </c>
      <c r="CZ316" s="21">
        <f t="shared" si="917"/>
        <v>0</v>
      </c>
      <c r="DA316" s="21">
        <f t="shared" si="917"/>
        <v>0</v>
      </c>
      <c r="DB316" s="21">
        <f t="shared" ref="DB316:DI316" si="918">IF($F$290, 0, IF($D$295, IF(AND(COLUMN($DB$316)-COLUMN($BN$311)=$Q$291,ROW($DB$316)-ROW($BN$311)=$K$291), U$290, DB316), DB316))</f>
        <v>0</v>
      </c>
      <c r="DC316" s="21">
        <f t="shared" si="918"/>
        <v>0</v>
      </c>
      <c r="DD316" s="21">
        <f t="shared" si="918"/>
        <v>0</v>
      </c>
      <c r="DE316" s="21">
        <f t="shared" si="918"/>
        <v>0</v>
      </c>
      <c r="DF316" s="21">
        <f t="shared" si="918"/>
        <v>0</v>
      </c>
      <c r="DG316" s="21">
        <f t="shared" si="918"/>
        <v>0</v>
      </c>
      <c r="DH316" s="21">
        <f t="shared" si="918"/>
        <v>0</v>
      </c>
      <c r="DI316" s="21">
        <f t="shared" si="918"/>
        <v>0</v>
      </c>
      <c r="DJ316" s="21">
        <f t="shared" ref="DJ316:DQ316" si="919">IF($F$290, 0, IF($D$295, IF(AND(COLUMN($DJ$316)-COLUMN($BN$311)=$Q$291,ROW($DJ$316)-ROW($BN$311)=$K$291), U$290, DJ316), DJ316))</f>
        <v>0</v>
      </c>
      <c r="DK316" s="21">
        <f t="shared" si="919"/>
        <v>0</v>
      </c>
      <c r="DL316" s="21">
        <f t="shared" si="919"/>
        <v>0</v>
      </c>
      <c r="DM316" s="21">
        <f t="shared" si="919"/>
        <v>0</v>
      </c>
      <c r="DN316" s="21">
        <f t="shared" si="919"/>
        <v>0</v>
      </c>
      <c r="DO316" s="21">
        <f t="shared" si="919"/>
        <v>0</v>
      </c>
      <c r="DP316" s="21">
        <f t="shared" si="919"/>
        <v>0</v>
      </c>
      <c r="DQ316" s="21">
        <f t="shared" si="919"/>
        <v>0</v>
      </c>
      <c r="DR316" s="21">
        <f t="shared" ref="DR316:DY316" si="920">IF($F$290, 0, IF($D$295, IF(AND(COLUMN($DR$316)-COLUMN($BN$311)=$Q$291,ROW($DR$316)-ROW($BN$311)=$K$291), U$290, DR316), DR316))</f>
        <v>0</v>
      </c>
      <c r="DS316" s="21">
        <f t="shared" si="920"/>
        <v>0</v>
      </c>
      <c r="DT316" s="21">
        <f t="shared" si="920"/>
        <v>0</v>
      </c>
      <c r="DU316" s="21">
        <f t="shared" si="920"/>
        <v>0</v>
      </c>
      <c r="DV316" s="21">
        <f t="shared" si="920"/>
        <v>0</v>
      </c>
      <c r="DW316" s="21">
        <f t="shared" si="920"/>
        <v>0</v>
      </c>
      <c r="DX316" s="21">
        <f t="shared" si="920"/>
        <v>0</v>
      </c>
      <c r="DY316" s="21">
        <f t="shared" si="920"/>
        <v>0</v>
      </c>
      <c r="DZ316" s="21">
        <f t="shared" ref="DZ316:EG316" si="921">IF($F$290, 0, IF($E$295, IF(AND(COLUMN($DZ$316)-COLUMN($DZ$311)=$Q$291,ROW($DZ$316)-ROW($DZ$311)=$K$291), U$290, DZ316), DZ316))</f>
        <v>0</v>
      </c>
      <c r="EA316" s="21">
        <f t="shared" si="921"/>
        <v>0</v>
      </c>
      <c r="EB316" s="21">
        <f t="shared" si="921"/>
        <v>0</v>
      </c>
      <c r="EC316" s="21">
        <f t="shared" si="921"/>
        <v>0</v>
      </c>
      <c r="ED316" s="21">
        <f t="shared" si="921"/>
        <v>0</v>
      </c>
      <c r="EE316" s="21">
        <f t="shared" si="921"/>
        <v>0</v>
      </c>
      <c r="EF316" s="21">
        <f t="shared" si="921"/>
        <v>0</v>
      </c>
      <c r="EG316" s="21">
        <f t="shared" si="921"/>
        <v>0</v>
      </c>
      <c r="EH316" s="21">
        <f t="shared" ref="EH316:EO316" si="922">IF($F$290, 0, IF($E$295, IF(AND(COLUMN($EH$316)-COLUMN($DZ$311)=$Q$291,ROW($EH$316)-ROW($DZ$311)=$K$291), U$290, EH316), EH316))</f>
        <v>0</v>
      </c>
      <c r="EI316" s="21">
        <f t="shared" si="922"/>
        <v>0</v>
      </c>
      <c r="EJ316" s="21">
        <f t="shared" si="922"/>
        <v>0</v>
      </c>
      <c r="EK316" s="21">
        <f t="shared" si="922"/>
        <v>0</v>
      </c>
      <c r="EL316" s="21">
        <f t="shared" si="922"/>
        <v>0</v>
      </c>
      <c r="EM316" s="21">
        <f t="shared" si="922"/>
        <v>0</v>
      </c>
      <c r="EN316" s="21">
        <f t="shared" si="922"/>
        <v>0</v>
      </c>
      <c r="EO316" s="21">
        <f t="shared" si="922"/>
        <v>0</v>
      </c>
      <c r="EP316" s="21">
        <f t="shared" ref="EP316:EW316" si="923">IF($F$290, 0, IF($E$295, IF(AND(COLUMN($EP$316)-COLUMN($DZ$311)=$Q$291,ROW($EP$316)-ROW($DZ$311)=$K$291), U$290, EP316), EP316))</f>
        <v>0</v>
      </c>
      <c r="EQ316" s="21">
        <f t="shared" si="923"/>
        <v>0</v>
      </c>
      <c r="ER316" s="21">
        <f t="shared" si="923"/>
        <v>0</v>
      </c>
      <c r="ES316" s="21">
        <f t="shared" si="923"/>
        <v>0</v>
      </c>
      <c r="ET316" s="21">
        <f t="shared" si="923"/>
        <v>0</v>
      </c>
      <c r="EU316" s="21">
        <f t="shared" si="923"/>
        <v>0</v>
      </c>
      <c r="EV316" s="21">
        <f t="shared" si="923"/>
        <v>0</v>
      </c>
      <c r="EW316" s="21">
        <f t="shared" si="923"/>
        <v>0</v>
      </c>
      <c r="EX316" s="21">
        <f t="shared" ref="EX316:FE316" si="924">IF($F$290, 0, IF($E$295, IF(AND(COLUMN($EX$316)-COLUMN($DZ$311)=$Q$291,ROW($EX$316)-ROW($DZ$311)=$K$291), U$290, EX316), EX316))</f>
        <v>0</v>
      </c>
      <c r="EY316" s="21">
        <f t="shared" si="924"/>
        <v>0</v>
      </c>
      <c r="EZ316" s="21">
        <f t="shared" si="924"/>
        <v>0</v>
      </c>
      <c r="FA316" s="21">
        <f t="shared" si="924"/>
        <v>0</v>
      </c>
      <c r="FB316" s="21">
        <f t="shared" si="924"/>
        <v>0</v>
      </c>
      <c r="FC316" s="21">
        <f t="shared" si="924"/>
        <v>0</v>
      </c>
      <c r="FD316" s="21">
        <f t="shared" si="924"/>
        <v>0</v>
      </c>
      <c r="FE316" s="21">
        <f t="shared" si="924"/>
        <v>0</v>
      </c>
      <c r="FF316" s="21">
        <f t="shared" ref="FF316:FM316" si="925">IF($F$290, 0, IF($E$295, IF(AND(COLUMN($FF$316)-COLUMN($DZ$311)=$Q$291,ROW($FF$316)-ROW($DZ$311)=$K$291), U$290, FF316), FF316))</f>
        <v>0</v>
      </c>
      <c r="FG316" s="21">
        <f t="shared" si="925"/>
        <v>0</v>
      </c>
      <c r="FH316" s="21">
        <f t="shared" si="925"/>
        <v>0</v>
      </c>
      <c r="FI316" s="21">
        <f t="shared" si="925"/>
        <v>0</v>
      </c>
      <c r="FJ316" s="21">
        <f t="shared" si="925"/>
        <v>0</v>
      </c>
      <c r="FK316" s="21">
        <f t="shared" si="925"/>
        <v>0</v>
      </c>
      <c r="FL316" s="21">
        <f t="shared" si="925"/>
        <v>0</v>
      </c>
      <c r="FM316" s="21">
        <f t="shared" si="925"/>
        <v>0</v>
      </c>
      <c r="FN316" s="21">
        <f t="shared" ref="FN316:FU316" si="926">IF($F$290, 0, IF($E$295, IF(AND(COLUMN($FN$316)-COLUMN($DZ$311)=$Q$291,ROW($FN$316)-ROW($DZ$311)=$K$291), U$290, FN316), FN316))</f>
        <v>0</v>
      </c>
      <c r="FO316" s="21">
        <f t="shared" si="926"/>
        <v>0</v>
      </c>
      <c r="FP316" s="21">
        <f t="shared" si="926"/>
        <v>0</v>
      </c>
      <c r="FQ316" s="21">
        <f t="shared" si="926"/>
        <v>0</v>
      </c>
      <c r="FR316" s="21">
        <f t="shared" si="926"/>
        <v>0</v>
      </c>
      <c r="FS316" s="21">
        <f t="shared" si="926"/>
        <v>0</v>
      </c>
      <c r="FT316" s="21">
        <f t="shared" si="926"/>
        <v>0</v>
      </c>
      <c r="FU316" s="21">
        <f t="shared" si="926"/>
        <v>0</v>
      </c>
      <c r="FV316" s="21">
        <f t="shared" ref="FV316:GC316" si="927">IF($F$290, 0, IF($E$295, IF(AND(COLUMN($FV$316)-COLUMN($DZ$311)=$Q$291,ROW($FV$316)-ROW($DZ$311)=$K$291), U$290, FV316), FV316))</f>
        <v>0</v>
      </c>
      <c r="FW316" s="21">
        <f t="shared" si="927"/>
        <v>0</v>
      </c>
      <c r="FX316" s="21">
        <f t="shared" si="927"/>
        <v>0</v>
      </c>
      <c r="FY316" s="21">
        <f t="shared" si="927"/>
        <v>0</v>
      </c>
      <c r="FZ316" s="21">
        <f t="shared" si="927"/>
        <v>0</v>
      </c>
      <c r="GA316" s="21">
        <f t="shared" si="927"/>
        <v>0</v>
      </c>
      <c r="GB316" s="21">
        <f t="shared" si="927"/>
        <v>0</v>
      </c>
      <c r="GC316" s="21">
        <f t="shared" si="927"/>
        <v>0</v>
      </c>
      <c r="GD316" s="21">
        <f t="shared" ref="GD316:GK316" si="928">IF($F$290, 0, IF($E$295, IF(AND(COLUMN($GD$316)-COLUMN($DZ$311)=$Q$291,ROW($GD$316)-ROW($DZ$311)=$K$291), U$290, GD316), GD316))</f>
        <v>0</v>
      </c>
      <c r="GE316" s="21">
        <f t="shared" si="928"/>
        <v>0</v>
      </c>
      <c r="GF316" s="21">
        <f t="shared" si="928"/>
        <v>0</v>
      </c>
      <c r="GG316" s="21">
        <f t="shared" si="928"/>
        <v>0</v>
      </c>
      <c r="GH316" s="21">
        <f t="shared" si="928"/>
        <v>0</v>
      </c>
      <c r="GI316" s="21">
        <f t="shared" si="928"/>
        <v>0</v>
      </c>
      <c r="GJ316" s="21">
        <f t="shared" si="928"/>
        <v>0</v>
      </c>
      <c r="GK316" s="21">
        <f t="shared" si="928"/>
        <v>0</v>
      </c>
      <c r="GL316" s="21">
        <f t="shared" ref="GL316:GS316" si="929">IF($F$290, 0, IF($F$295, IF(AND(COLUMN($GL$316)-COLUMN($GL$311)=$Q$291,ROW($GL$316)-ROW($GL$311)=$K$291), U$290, GL316), GL316))</f>
        <v>0</v>
      </c>
      <c r="GM316" s="21">
        <f t="shared" si="929"/>
        <v>0</v>
      </c>
      <c r="GN316" s="21">
        <f t="shared" si="929"/>
        <v>0</v>
      </c>
      <c r="GO316" s="21">
        <f t="shared" si="929"/>
        <v>0</v>
      </c>
      <c r="GP316" s="21">
        <f t="shared" si="929"/>
        <v>0</v>
      </c>
      <c r="GQ316" s="21">
        <f t="shared" si="929"/>
        <v>0</v>
      </c>
      <c r="GR316" s="21">
        <f t="shared" si="929"/>
        <v>0</v>
      </c>
      <c r="GS316" s="21">
        <f t="shared" si="929"/>
        <v>0</v>
      </c>
      <c r="GT316" s="21">
        <f t="shared" ref="GT316:HA316" si="930">IF($F$290, 0, IF($F$295, IF(AND(COLUMN($GT$316)-COLUMN($GL$311)=$Q$291,ROW($GT$316)-ROW($GL$311)=$K$291), U$290, GT316), GT316))</f>
        <v>0</v>
      </c>
      <c r="GU316" s="21">
        <f t="shared" si="930"/>
        <v>0</v>
      </c>
      <c r="GV316" s="21">
        <f t="shared" si="930"/>
        <v>0</v>
      </c>
      <c r="GW316" s="21">
        <f t="shared" si="930"/>
        <v>0</v>
      </c>
      <c r="GX316" s="21">
        <f t="shared" si="930"/>
        <v>0</v>
      </c>
      <c r="GY316" s="21">
        <f t="shared" si="930"/>
        <v>0</v>
      </c>
      <c r="GZ316" s="21">
        <f t="shared" si="930"/>
        <v>0</v>
      </c>
      <c r="HA316" s="21">
        <f t="shared" si="930"/>
        <v>0</v>
      </c>
      <c r="HB316" s="21">
        <f t="shared" ref="HB316:HI316" si="931">IF($F$290, 0, IF($F$295, IF(AND(COLUMN($HB$316)-COLUMN($GL$311)=$Q$291,ROW($HB$316)-ROW($GL$311)=$K$291), U$290, HB316), HB316))</f>
        <v>0</v>
      </c>
      <c r="HC316" s="21">
        <f t="shared" si="931"/>
        <v>0</v>
      </c>
      <c r="HD316" s="21">
        <f t="shared" si="931"/>
        <v>0</v>
      </c>
      <c r="HE316" s="21">
        <f t="shared" si="931"/>
        <v>0</v>
      </c>
      <c r="HF316" s="21">
        <f t="shared" si="931"/>
        <v>0</v>
      </c>
      <c r="HG316" s="21">
        <f t="shared" si="931"/>
        <v>0</v>
      </c>
      <c r="HH316" s="21">
        <f t="shared" si="931"/>
        <v>0</v>
      </c>
      <c r="HI316" s="21">
        <f t="shared" si="931"/>
        <v>0</v>
      </c>
      <c r="HJ316" s="21">
        <f t="shared" ref="HJ316:HQ316" si="932">IF($F$290, 0, IF($F$295, IF(AND(COLUMN($HJ$316)-COLUMN($GL$311)=$Q$291,ROW($HJ$316)-ROW($GL$311)=$K$291), U$290, HJ316), HJ316))</f>
        <v>0</v>
      </c>
      <c r="HK316" s="21">
        <f t="shared" si="932"/>
        <v>0</v>
      </c>
      <c r="HL316" s="21">
        <f t="shared" si="932"/>
        <v>0</v>
      </c>
      <c r="HM316" s="21">
        <f t="shared" si="932"/>
        <v>0</v>
      </c>
      <c r="HN316" s="21">
        <f t="shared" si="932"/>
        <v>0</v>
      </c>
      <c r="HO316" s="21">
        <f t="shared" si="932"/>
        <v>0</v>
      </c>
      <c r="HP316" s="21">
        <f t="shared" si="932"/>
        <v>0</v>
      </c>
      <c r="HQ316" s="21">
        <f t="shared" si="932"/>
        <v>0</v>
      </c>
      <c r="HR316" s="21">
        <f t="shared" ref="HR316:HY316" si="933">IF($F$290, 0, IF($F$295, IF(AND(COLUMN($HR$316)-COLUMN($GL$311)=$Q$291,ROW($HR$316)-ROW($GL$311)=$K$291), U$290, HR316), HR316))</f>
        <v>0</v>
      </c>
      <c r="HS316" s="21">
        <f t="shared" si="933"/>
        <v>0</v>
      </c>
      <c r="HT316" s="21">
        <f t="shared" si="933"/>
        <v>0</v>
      </c>
      <c r="HU316" s="21">
        <f t="shared" si="933"/>
        <v>0</v>
      </c>
      <c r="HV316" s="21">
        <f t="shared" si="933"/>
        <v>0</v>
      </c>
      <c r="HW316" s="21">
        <f t="shared" si="933"/>
        <v>0</v>
      </c>
      <c r="HX316" s="21">
        <f t="shared" si="933"/>
        <v>0</v>
      </c>
      <c r="HY316" s="21">
        <f t="shared" si="933"/>
        <v>0</v>
      </c>
      <c r="HZ316" s="21">
        <f t="shared" ref="HZ316:IG316" si="934">IF($F$290, 0, IF($F$295, IF(AND(COLUMN($HZ$316)-COLUMN($GL$311)=$Q$291,ROW($HZ$316)-ROW($GL$311)=$K$291), U$290, HZ316), HZ316))</f>
        <v>0</v>
      </c>
      <c r="IA316" s="21">
        <f t="shared" si="934"/>
        <v>0</v>
      </c>
      <c r="IB316" s="21">
        <f t="shared" si="934"/>
        <v>0</v>
      </c>
      <c r="IC316" s="21">
        <f t="shared" si="934"/>
        <v>0</v>
      </c>
      <c r="ID316" s="21">
        <f t="shared" si="934"/>
        <v>0</v>
      </c>
      <c r="IE316" s="21">
        <f t="shared" si="934"/>
        <v>0</v>
      </c>
      <c r="IF316" s="21">
        <f t="shared" si="934"/>
        <v>0</v>
      </c>
      <c r="IG316" s="21">
        <f t="shared" si="934"/>
        <v>0</v>
      </c>
      <c r="IH316" s="21">
        <f t="shared" ref="IH316:IO316" si="935">IF($F$290, 0, IF($F$295, IF(AND(COLUMN($IH$316)-COLUMN($GL$311)=$Q$291,ROW($IH$316)-ROW($GL$311)=$K$291), U$290, IH316), IH316))</f>
        <v>0</v>
      </c>
      <c r="II316" s="21">
        <f t="shared" si="935"/>
        <v>0</v>
      </c>
      <c r="IJ316" s="21">
        <f t="shared" si="935"/>
        <v>0</v>
      </c>
      <c r="IK316" s="21">
        <f t="shared" si="935"/>
        <v>0</v>
      </c>
      <c r="IL316" s="21">
        <f t="shared" si="935"/>
        <v>0</v>
      </c>
      <c r="IM316" s="21">
        <f t="shared" si="935"/>
        <v>0</v>
      </c>
      <c r="IN316" s="21">
        <f t="shared" si="935"/>
        <v>0</v>
      </c>
      <c r="IO316" s="21">
        <f t="shared" si="935"/>
        <v>0</v>
      </c>
      <c r="IP316" s="21">
        <f t="shared" ref="IP316:IW316" si="936">IF($F$290, 0, IF($F$295, IF(AND(COLUMN($IP$316)-COLUMN($GL$311)=$Q$291,ROW($IP$316)-ROW($GL$311)=$K$291), U$290, IP316), IP316))</f>
        <v>0</v>
      </c>
      <c r="IQ316" s="21">
        <f t="shared" si="936"/>
        <v>0</v>
      </c>
      <c r="IR316" s="21">
        <f t="shared" si="936"/>
        <v>0</v>
      </c>
      <c r="IS316" s="21">
        <f t="shared" si="936"/>
        <v>0</v>
      </c>
      <c r="IT316" s="21">
        <f t="shared" si="936"/>
        <v>0</v>
      </c>
      <c r="IU316" s="21">
        <f t="shared" si="936"/>
        <v>0</v>
      </c>
      <c r="IV316" s="21">
        <f t="shared" si="936"/>
        <v>0</v>
      </c>
      <c r="IW316" s="21">
        <f t="shared" si="936"/>
        <v>0</v>
      </c>
      <c r="IX316" s="21">
        <f t="shared" ref="IX316:JE316" si="937">IF($F$290, 0, IF($G$295, IF(AND(COLUMN($IX$316)-COLUMN($IX$311)=$Q$291,ROW($IX$316)-ROW($IX$311)=$K$291), U$290, IX316), IX316))</f>
        <v>0</v>
      </c>
      <c r="IY316" s="21">
        <f t="shared" si="937"/>
        <v>0</v>
      </c>
      <c r="IZ316" s="21">
        <f t="shared" si="937"/>
        <v>0</v>
      </c>
      <c r="JA316" s="21">
        <f t="shared" si="937"/>
        <v>0</v>
      </c>
      <c r="JB316" s="21">
        <f t="shared" si="937"/>
        <v>0</v>
      </c>
      <c r="JC316" s="21">
        <f t="shared" si="937"/>
        <v>0</v>
      </c>
      <c r="JD316" s="21">
        <f t="shared" si="937"/>
        <v>0</v>
      </c>
      <c r="JE316" s="21">
        <f t="shared" si="937"/>
        <v>0</v>
      </c>
      <c r="JF316" s="21">
        <f t="shared" ref="JF316:JM316" si="938">IF($F$290, 0, IF($G$295, IF(AND(COLUMN($JF$316)-COLUMN($IX$311)=$Q$291,ROW($JF$316)-ROW($IX$311)=$K$291), U$290, JF316), JF316))</f>
        <v>0</v>
      </c>
      <c r="JG316" s="21">
        <f t="shared" si="938"/>
        <v>0</v>
      </c>
      <c r="JH316" s="21">
        <f t="shared" si="938"/>
        <v>0</v>
      </c>
      <c r="JI316" s="21">
        <f t="shared" si="938"/>
        <v>0</v>
      </c>
      <c r="JJ316" s="21">
        <f t="shared" si="938"/>
        <v>0</v>
      </c>
      <c r="JK316" s="21">
        <f t="shared" si="938"/>
        <v>0</v>
      </c>
      <c r="JL316" s="21">
        <f t="shared" si="938"/>
        <v>0</v>
      </c>
      <c r="JM316" s="21">
        <f t="shared" si="938"/>
        <v>0</v>
      </c>
      <c r="JN316" s="21">
        <f t="shared" ref="JN316:JU316" si="939">IF($F$290, 0, IF($G$295, IF(AND(COLUMN($JN$316)-COLUMN($IX$311)=$Q$291,ROW($JN$316)-ROW($IX$311)=$K$291), U$290, JN316), JN316))</f>
        <v>0</v>
      </c>
      <c r="JO316" s="21">
        <f t="shared" si="939"/>
        <v>0</v>
      </c>
      <c r="JP316" s="21">
        <f t="shared" si="939"/>
        <v>0</v>
      </c>
      <c r="JQ316" s="21">
        <f t="shared" si="939"/>
        <v>0</v>
      </c>
      <c r="JR316" s="21">
        <f t="shared" si="939"/>
        <v>0</v>
      </c>
      <c r="JS316" s="21">
        <f t="shared" si="939"/>
        <v>0</v>
      </c>
      <c r="JT316" s="21">
        <f t="shared" si="939"/>
        <v>0</v>
      </c>
      <c r="JU316" s="21">
        <f t="shared" si="939"/>
        <v>0</v>
      </c>
      <c r="JV316" s="21">
        <f t="shared" ref="JV316:KC316" si="940">IF($F$290, 0, IF($G$295, IF(AND(COLUMN($JV$316)-COLUMN($IX$311)=$Q$291,ROW($JV$316)-ROW($IX$311)=$K$291), U$290, JV316), JV316))</f>
        <v>0</v>
      </c>
      <c r="JW316" s="21">
        <f t="shared" si="940"/>
        <v>0</v>
      </c>
      <c r="JX316" s="21">
        <f t="shared" si="940"/>
        <v>0</v>
      </c>
      <c r="JY316" s="21">
        <f t="shared" si="940"/>
        <v>0</v>
      </c>
      <c r="JZ316" s="21">
        <f t="shared" si="940"/>
        <v>0</v>
      </c>
      <c r="KA316" s="21">
        <f t="shared" si="940"/>
        <v>0</v>
      </c>
      <c r="KB316" s="21">
        <f t="shared" si="940"/>
        <v>0</v>
      </c>
      <c r="KC316" s="21">
        <f t="shared" si="940"/>
        <v>0</v>
      </c>
      <c r="KD316" s="21">
        <f t="shared" ref="KD316:KK316" si="941">IF($F$290, 0, IF($G$295, IF(AND(COLUMN($KD$316)-COLUMN($IX$311)=$Q$291,ROW($KD$316)-ROW($IX$311)=$K$291), U$290, KD316), KD316))</f>
        <v>0</v>
      </c>
      <c r="KE316" s="21">
        <f t="shared" si="941"/>
        <v>0</v>
      </c>
      <c r="KF316" s="21">
        <f t="shared" si="941"/>
        <v>0</v>
      </c>
      <c r="KG316" s="21">
        <f t="shared" si="941"/>
        <v>0</v>
      </c>
      <c r="KH316" s="21">
        <f t="shared" si="941"/>
        <v>0</v>
      </c>
      <c r="KI316" s="21">
        <f t="shared" si="941"/>
        <v>0</v>
      </c>
      <c r="KJ316" s="21">
        <f t="shared" si="941"/>
        <v>0</v>
      </c>
      <c r="KK316" s="21">
        <f t="shared" si="941"/>
        <v>0</v>
      </c>
      <c r="KL316" s="21">
        <f t="shared" ref="KL316:KS316" si="942">IF($F$290, 0, IF($G$295, IF(AND(COLUMN($KL$316)-COLUMN($IX$311)=$Q$291,ROW($KL$316)-ROW($IX$311)=$K$291), U$290, KL316), KL316))</f>
        <v>0</v>
      </c>
      <c r="KM316" s="21">
        <f t="shared" si="942"/>
        <v>0</v>
      </c>
      <c r="KN316" s="21">
        <f t="shared" si="942"/>
        <v>0</v>
      </c>
      <c r="KO316" s="21">
        <f t="shared" si="942"/>
        <v>0</v>
      </c>
      <c r="KP316" s="21">
        <f t="shared" si="942"/>
        <v>0</v>
      </c>
      <c r="KQ316" s="21">
        <f t="shared" si="942"/>
        <v>0</v>
      </c>
      <c r="KR316" s="21">
        <f t="shared" si="942"/>
        <v>0</v>
      </c>
      <c r="KS316" s="21">
        <f t="shared" si="942"/>
        <v>0</v>
      </c>
      <c r="KT316" s="21">
        <f t="shared" ref="KT316:LA316" si="943">IF($F$290, 0, IF($G$295, IF(AND(COLUMN($KT$316)-COLUMN($IX$311)=$Q$291,ROW($KT$316)-ROW($IX$311)=$K$291), U$290, KT316), KT316))</f>
        <v>0</v>
      </c>
      <c r="KU316" s="21">
        <f t="shared" si="943"/>
        <v>0</v>
      </c>
      <c r="KV316" s="21">
        <f t="shared" si="943"/>
        <v>0</v>
      </c>
      <c r="KW316" s="21">
        <f t="shared" si="943"/>
        <v>0</v>
      </c>
      <c r="KX316" s="21">
        <f t="shared" si="943"/>
        <v>0</v>
      </c>
      <c r="KY316" s="21">
        <f t="shared" si="943"/>
        <v>0</v>
      </c>
      <c r="KZ316" s="21">
        <f t="shared" si="943"/>
        <v>0</v>
      </c>
      <c r="LA316" s="21">
        <f t="shared" si="943"/>
        <v>0</v>
      </c>
      <c r="LB316" s="21">
        <f t="shared" ref="LB316:LI316" si="944">IF($F$290, 0, IF($G$295, IF(AND(COLUMN($LB$316)-COLUMN($IX$311)=$Q$291,ROW($LB$316)-ROW($IX$311)=$K$291), U$290, LB316), LB316))</f>
        <v>0</v>
      </c>
      <c r="LC316" s="21">
        <f t="shared" si="944"/>
        <v>0</v>
      </c>
      <c r="LD316" s="21">
        <f t="shared" si="944"/>
        <v>0</v>
      </c>
      <c r="LE316" s="21">
        <f t="shared" si="944"/>
        <v>0</v>
      </c>
      <c r="LF316" s="21">
        <f t="shared" si="944"/>
        <v>0</v>
      </c>
      <c r="LG316" s="21">
        <f t="shared" si="944"/>
        <v>0</v>
      </c>
      <c r="LH316" s="21">
        <f t="shared" si="944"/>
        <v>0</v>
      </c>
      <c r="LI316" s="21">
        <f t="shared" si="944"/>
        <v>0</v>
      </c>
      <c r="LJ316" s="21">
        <f t="shared" ref="LJ316:LQ316" si="945">IF($F$290, 0, IF($H$295, IF(AND(COLUMN($LJ$316)-COLUMN($LJ$311)=$Q$291,ROW($LJ$316)-ROW($LJ$311)=$K$291), U$290, LJ316), LJ316))</f>
        <v>0</v>
      </c>
      <c r="LK316" s="21">
        <f t="shared" si="945"/>
        <v>0</v>
      </c>
      <c r="LL316" s="21">
        <f t="shared" si="945"/>
        <v>0</v>
      </c>
      <c r="LM316" s="21">
        <f t="shared" si="945"/>
        <v>0</v>
      </c>
      <c r="LN316" s="21">
        <f t="shared" si="945"/>
        <v>0</v>
      </c>
      <c r="LO316" s="21">
        <f t="shared" si="945"/>
        <v>0</v>
      </c>
      <c r="LP316" s="21">
        <f t="shared" si="945"/>
        <v>0</v>
      </c>
      <c r="LQ316" s="21">
        <f t="shared" si="945"/>
        <v>0</v>
      </c>
      <c r="LR316" s="21">
        <f t="shared" ref="LR316:LY316" si="946">IF($F$290, 0, IF($H$295, IF(AND(COLUMN($LR$316)-COLUMN($LJ$311)=$Q$291,ROW($LR$316)-ROW($LJ$311)=$K$291), U$290, LR316), LR316))</f>
        <v>0</v>
      </c>
      <c r="LS316" s="21">
        <f t="shared" si="946"/>
        <v>0</v>
      </c>
      <c r="LT316" s="21">
        <f t="shared" si="946"/>
        <v>0</v>
      </c>
      <c r="LU316" s="21">
        <f t="shared" si="946"/>
        <v>0</v>
      </c>
      <c r="LV316" s="21">
        <f t="shared" si="946"/>
        <v>0</v>
      </c>
      <c r="LW316" s="21">
        <f t="shared" si="946"/>
        <v>0</v>
      </c>
      <c r="LX316" s="21">
        <f t="shared" si="946"/>
        <v>0</v>
      </c>
      <c r="LY316" s="21">
        <f t="shared" si="946"/>
        <v>0</v>
      </c>
      <c r="LZ316" s="21">
        <f t="shared" ref="LZ316:MG316" si="947">IF($F$290, 0, IF($H$295, IF(AND(COLUMN($LZ$316)-COLUMN($LJ$311)=$Q$291,ROW($LZ$316)-ROW($LJ$311)=$K$291), U$290, LZ316), LZ316))</f>
        <v>0</v>
      </c>
      <c r="MA316" s="21">
        <f t="shared" si="947"/>
        <v>0</v>
      </c>
      <c r="MB316" s="21">
        <f t="shared" si="947"/>
        <v>0</v>
      </c>
      <c r="MC316" s="21">
        <f t="shared" si="947"/>
        <v>0</v>
      </c>
      <c r="MD316" s="21">
        <f t="shared" si="947"/>
        <v>0</v>
      </c>
      <c r="ME316" s="21">
        <f t="shared" si="947"/>
        <v>0</v>
      </c>
      <c r="MF316" s="21">
        <f t="shared" si="947"/>
        <v>0</v>
      </c>
      <c r="MG316" s="21">
        <f t="shared" si="947"/>
        <v>0</v>
      </c>
      <c r="MH316" s="21">
        <f t="shared" ref="MH316:MO316" si="948">IF($F$290, 0, IF($H$295, IF(AND(COLUMN($MH$316)-COLUMN($LJ$311)=$Q$291,ROW($MH$316)-ROW($LJ$311)=$K$291), U$290, MH316), MH316))</f>
        <v>0</v>
      </c>
      <c r="MI316" s="21">
        <f t="shared" si="948"/>
        <v>0</v>
      </c>
      <c r="MJ316" s="21">
        <f t="shared" si="948"/>
        <v>0</v>
      </c>
      <c r="MK316" s="21">
        <f t="shared" si="948"/>
        <v>0</v>
      </c>
      <c r="ML316" s="21">
        <f t="shared" si="948"/>
        <v>0</v>
      </c>
      <c r="MM316" s="21">
        <f t="shared" si="948"/>
        <v>0</v>
      </c>
      <c r="MN316" s="21">
        <f t="shared" si="948"/>
        <v>0</v>
      </c>
      <c r="MO316" s="21">
        <f t="shared" si="948"/>
        <v>0</v>
      </c>
      <c r="MP316" s="21">
        <f t="shared" ref="MP316:MW316" si="949">IF($F$290, 0, IF($H$295, IF(AND(COLUMN($MP$316)-COLUMN($LJ$311)=$Q$291,ROW($MP$316)-ROW($LJ$311)=$K$291), U$290, MP316), MP316))</f>
        <v>0</v>
      </c>
      <c r="MQ316" s="21">
        <f t="shared" si="949"/>
        <v>0</v>
      </c>
      <c r="MR316" s="21">
        <f t="shared" si="949"/>
        <v>0</v>
      </c>
      <c r="MS316" s="21">
        <f t="shared" si="949"/>
        <v>0</v>
      </c>
      <c r="MT316" s="21">
        <f t="shared" si="949"/>
        <v>0</v>
      </c>
      <c r="MU316" s="21">
        <f t="shared" si="949"/>
        <v>0</v>
      </c>
      <c r="MV316" s="21">
        <f t="shared" si="949"/>
        <v>0</v>
      </c>
      <c r="MW316" s="21">
        <f t="shared" si="949"/>
        <v>0</v>
      </c>
      <c r="MX316" s="21">
        <f t="shared" ref="MX316:NE316" si="950">IF($F$290, 0, IF($H$295, IF(AND(COLUMN($MX$316)-COLUMN($LJ$311)=$Q$291,ROW($MX$316)-ROW($LJ$311)=$K$291), U$290, MX316), MX316))</f>
        <v>0</v>
      </c>
      <c r="MY316" s="21">
        <f t="shared" si="950"/>
        <v>0</v>
      </c>
      <c r="MZ316" s="21">
        <f t="shared" si="950"/>
        <v>0</v>
      </c>
      <c r="NA316" s="21">
        <f t="shared" si="950"/>
        <v>0</v>
      </c>
      <c r="NB316" s="21">
        <f t="shared" si="950"/>
        <v>0</v>
      </c>
      <c r="NC316" s="21">
        <f t="shared" si="950"/>
        <v>0</v>
      </c>
      <c r="ND316" s="21">
        <f t="shared" si="950"/>
        <v>0</v>
      </c>
      <c r="NE316" s="21">
        <f t="shared" si="950"/>
        <v>0</v>
      </c>
      <c r="NF316" s="21">
        <f t="shared" ref="NF316:NM316" si="951">IF($F$290, 0, IF($H$295, IF(AND(COLUMN($NF$316)-COLUMN($LJ$311)=$Q$291,ROW($NF$316)-ROW($LJ$311)=$K$291), U$290, NF316), NF316))</f>
        <v>0</v>
      </c>
      <c r="NG316" s="21">
        <f t="shared" si="951"/>
        <v>0</v>
      </c>
      <c r="NH316" s="21">
        <f t="shared" si="951"/>
        <v>0</v>
      </c>
      <c r="NI316" s="21">
        <f t="shared" si="951"/>
        <v>0</v>
      </c>
      <c r="NJ316" s="21">
        <f t="shared" si="951"/>
        <v>0</v>
      </c>
      <c r="NK316" s="21">
        <f t="shared" si="951"/>
        <v>0</v>
      </c>
      <c r="NL316" s="21">
        <f t="shared" si="951"/>
        <v>0</v>
      </c>
      <c r="NM316" s="21">
        <f t="shared" si="951"/>
        <v>0</v>
      </c>
      <c r="NN316" s="21">
        <f t="shared" ref="NN316:NU316" si="952">IF($F$290, 0, IF($H$295, IF(AND(COLUMN($NN$316)-COLUMN($LJ$311)=$Q$291,ROW($NN$316)-ROW($LJ$311)=$K$291), U$290, NN316), NN316))</f>
        <v>0</v>
      </c>
      <c r="NO316" s="21">
        <f t="shared" si="952"/>
        <v>0</v>
      </c>
      <c r="NP316" s="21">
        <f t="shared" si="952"/>
        <v>0</v>
      </c>
      <c r="NQ316" s="21">
        <f t="shared" si="952"/>
        <v>0</v>
      </c>
      <c r="NR316" s="21">
        <f t="shared" si="952"/>
        <v>0</v>
      </c>
      <c r="NS316" s="21">
        <f t="shared" si="952"/>
        <v>0</v>
      </c>
      <c r="NT316" s="21">
        <f t="shared" si="952"/>
        <v>0</v>
      </c>
      <c r="NU316" s="21">
        <f t="shared" si="952"/>
        <v>0</v>
      </c>
      <c r="NV316" s="21">
        <f t="shared" ref="NV316:OC316" si="953">IF($F$290, 0, IF($I$295, IF(AND(COLUMN($NV$316)-COLUMN($NV$311)=$Q$291,ROW($NV$316)-ROW($NV$311)=$K$291), U$290, NV316), NV316))</f>
        <v>0</v>
      </c>
      <c r="NW316" s="21">
        <f t="shared" si="953"/>
        <v>0</v>
      </c>
      <c r="NX316" s="21">
        <f t="shared" si="953"/>
        <v>0</v>
      </c>
      <c r="NY316" s="21">
        <f t="shared" si="953"/>
        <v>0</v>
      </c>
      <c r="NZ316" s="21">
        <f t="shared" si="953"/>
        <v>0</v>
      </c>
      <c r="OA316" s="21">
        <f t="shared" si="953"/>
        <v>0</v>
      </c>
      <c r="OB316" s="21">
        <f t="shared" si="953"/>
        <v>0</v>
      </c>
      <c r="OC316" s="21">
        <f t="shared" si="953"/>
        <v>0</v>
      </c>
      <c r="OD316" s="21">
        <f t="shared" ref="OD316:OK316" si="954">IF($F$290, 0, IF($I$295, IF(AND(COLUMN($OD$316)-COLUMN($NV$311)=$Q$291,ROW($OD$316)-ROW($NV$311)=$K$291), U$290, OD316), OD316))</f>
        <v>0</v>
      </c>
      <c r="OE316" s="21">
        <f t="shared" si="954"/>
        <v>0</v>
      </c>
      <c r="OF316" s="21">
        <f t="shared" si="954"/>
        <v>0</v>
      </c>
      <c r="OG316" s="21">
        <f t="shared" si="954"/>
        <v>0</v>
      </c>
      <c r="OH316" s="21">
        <f t="shared" si="954"/>
        <v>0</v>
      </c>
      <c r="OI316" s="21">
        <f t="shared" si="954"/>
        <v>0</v>
      </c>
      <c r="OJ316" s="21">
        <f t="shared" si="954"/>
        <v>0</v>
      </c>
      <c r="OK316" s="21">
        <f t="shared" si="954"/>
        <v>0</v>
      </c>
      <c r="OL316" s="21">
        <f t="shared" ref="OL316:OS316" si="955">IF($F$290, 0, IF($I$295, IF(AND(COLUMN($OL$316)-COLUMN($NV$311)=$Q$291,ROW($OL$316)-ROW($NV$311)=$K$291), U$290, OL316), OL316))</f>
        <v>0</v>
      </c>
      <c r="OM316" s="21">
        <f t="shared" si="955"/>
        <v>0</v>
      </c>
      <c r="ON316" s="21">
        <f t="shared" si="955"/>
        <v>0</v>
      </c>
      <c r="OO316" s="21">
        <f t="shared" si="955"/>
        <v>0</v>
      </c>
      <c r="OP316" s="21">
        <f t="shared" si="955"/>
        <v>0</v>
      </c>
      <c r="OQ316" s="21">
        <f t="shared" si="955"/>
        <v>0</v>
      </c>
      <c r="OR316" s="21">
        <f t="shared" si="955"/>
        <v>0</v>
      </c>
      <c r="OS316" s="21">
        <f t="shared" si="955"/>
        <v>0</v>
      </c>
      <c r="OT316" s="21">
        <f t="shared" ref="OT316:PA316" si="956">IF($F$290, 0, IF($I$295, IF(AND(COLUMN($OT$316)-COLUMN($NV$311)=$Q$291,ROW($OT$316)-ROW($NV$311)=$K$291), U$290, OT316), OT316))</f>
        <v>0</v>
      </c>
      <c r="OU316" s="21">
        <f t="shared" si="956"/>
        <v>0</v>
      </c>
      <c r="OV316" s="21">
        <f t="shared" si="956"/>
        <v>0</v>
      </c>
      <c r="OW316" s="21">
        <f t="shared" si="956"/>
        <v>0</v>
      </c>
      <c r="OX316" s="21">
        <f t="shared" si="956"/>
        <v>0</v>
      </c>
      <c r="OY316" s="21">
        <f t="shared" si="956"/>
        <v>0</v>
      </c>
      <c r="OZ316" s="21">
        <f t="shared" si="956"/>
        <v>0</v>
      </c>
      <c r="PA316" s="21">
        <f t="shared" si="956"/>
        <v>0</v>
      </c>
      <c r="PB316" s="21">
        <f t="shared" ref="PB316:PI316" si="957">IF($F$290, 0, IF($I$295, IF(AND(COLUMN($PB$316)-COLUMN($NV$311)=$Q$291,ROW($PB$316)-ROW($NV$311)=$K$291), U$290, PB316), PB316))</f>
        <v>0</v>
      </c>
      <c r="PC316" s="21">
        <f t="shared" si="957"/>
        <v>0</v>
      </c>
      <c r="PD316" s="21">
        <f t="shared" si="957"/>
        <v>0</v>
      </c>
      <c r="PE316" s="21">
        <f t="shared" si="957"/>
        <v>0</v>
      </c>
      <c r="PF316" s="21">
        <f t="shared" si="957"/>
        <v>0</v>
      </c>
      <c r="PG316" s="21">
        <f t="shared" si="957"/>
        <v>0</v>
      </c>
      <c r="PH316" s="21">
        <f t="shared" si="957"/>
        <v>0</v>
      </c>
      <c r="PI316" s="21">
        <f t="shared" si="957"/>
        <v>0</v>
      </c>
      <c r="PJ316" s="21">
        <f t="shared" ref="PJ316:PQ316" si="958">IF($F$290, 0, IF($I$295, IF(AND(COLUMN($PJ$316)-COLUMN($NV$311)=$Q$291,ROW($PJ$316)-ROW($NV$311)=$K$291), U$290, PJ316), PJ316))</f>
        <v>0</v>
      </c>
      <c r="PK316" s="21">
        <f t="shared" si="958"/>
        <v>0</v>
      </c>
      <c r="PL316" s="21">
        <f t="shared" si="958"/>
        <v>0</v>
      </c>
      <c r="PM316" s="21">
        <f t="shared" si="958"/>
        <v>0</v>
      </c>
      <c r="PN316" s="21">
        <f t="shared" si="958"/>
        <v>0</v>
      </c>
      <c r="PO316" s="21">
        <f t="shared" si="958"/>
        <v>0</v>
      </c>
      <c r="PP316" s="21">
        <f t="shared" si="958"/>
        <v>0</v>
      </c>
      <c r="PQ316" s="21">
        <f t="shared" si="958"/>
        <v>0</v>
      </c>
      <c r="PR316" s="21">
        <f t="shared" ref="PR316:PY316" si="959">IF($F$290, 0, IF($I$295, IF(AND(COLUMN($PR$316)-COLUMN($NV$311)=$Q$291,ROW($PR$316)-ROW($NV$311)=$K$291), U$290, PR316), PR316))</f>
        <v>0</v>
      </c>
      <c r="PS316" s="21">
        <f t="shared" si="959"/>
        <v>0</v>
      </c>
      <c r="PT316" s="21">
        <f t="shared" si="959"/>
        <v>0</v>
      </c>
      <c r="PU316" s="21">
        <f t="shared" si="959"/>
        <v>0</v>
      </c>
      <c r="PV316" s="21">
        <f t="shared" si="959"/>
        <v>0</v>
      </c>
      <c r="PW316" s="21">
        <f t="shared" si="959"/>
        <v>0</v>
      </c>
      <c r="PX316" s="21">
        <f t="shared" si="959"/>
        <v>0</v>
      </c>
      <c r="PY316" s="21">
        <f t="shared" si="959"/>
        <v>0</v>
      </c>
      <c r="PZ316" s="21">
        <f t="shared" ref="PZ316:QG316" si="960">IF($F$290, 0, IF($I$295, IF(AND(COLUMN($PZ$316)-COLUMN($NV$311)=$Q$291,ROW($PZ$316)-ROW($NV$311)=$K$291), U$290, PZ316), PZ316))</f>
        <v>0</v>
      </c>
      <c r="QA316" s="21">
        <f t="shared" si="960"/>
        <v>0</v>
      </c>
      <c r="QB316" s="21">
        <f t="shared" si="960"/>
        <v>0</v>
      </c>
      <c r="QC316" s="21">
        <f t="shared" si="960"/>
        <v>0</v>
      </c>
      <c r="QD316" s="21">
        <f t="shared" si="960"/>
        <v>0</v>
      </c>
      <c r="QE316" s="21">
        <f t="shared" si="960"/>
        <v>0</v>
      </c>
      <c r="QF316" s="21">
        <f t="shared" si="960"/>
        <v>0</v>
      </c>
      <c r="QG316" s="21">
        <f t="shared" si="960"/>
        <v>0</v>
      </c>
      <c r="QH316" s="21">
        <f t="shared" ref="QH316:QO316" si="961">IF($F$290, 0, IF($J$295, IF(AND(COLUMN($QH$316)-COLUMN($QH$311)=$Q$291,ROW($QH$316)-ROW($QH$311)=$K$291), U$290, QH316), QH316))</f>
        <v>0</v>
      </c>
      <c r="QI316" s="21">
        <f t="shared" si="961"/>
        <v>0</v>
      </c>
      <c r="QJ316" s="21">
        <f t="shared" si="961"/>
        <v>0</v>
      </c>
      <c r="QK316" s="21">
        <f t="shared" si="961"/>
        <v>0</v>
      </c>
      <c r="QL316" s="21">
        <f t="shared" si="961"/>
        <v>0</v>
      </c>
      <c r="QM316" s="21">
        <f t="shared" si="961"/>
        <v>0</v>
      </c>
      <c r="QN316" s="21">
        <f t="shared" si="961"/>
        <v>0</v>
      </c>
      <c r="QO316" s="21">
        <f t="shared" si="961"/>
        <v>0</v>
      </c>
      <c r="QP316" s="21">
        <f t="shared" ref="QP316:QW316" si="962">IF($F$290, 0, IF($J$295, IF(AND(COLUMN($QP$316)-COLUMN($QH$311)=$Q$291,ROW($QP$316)-ROW($QH$311)=$K$291), U$290, QP316), QP316))</f>
        <v>0</v>
      </c>
      <c r="QQ316" s="21">
        <f t="shared" si="962"/>
        <v>0</v>
      </c>
      <c r="QR316" s="21">
        <f t="shared" si="962"/>
        <v>0</v>
      </c>
      <c r="QS316" s="21">
        <f t="shared" si="962"/>
        <v>0</v>
      </c>
      <c r="QT316" s="21">
        <f t="shared" si="962"/>
        <v>0</v>
      </c>
      <c r="QU316" s="21">
        <f t="shared" si="962"/>
        <v>0</v>
      </c>
      <c r="QV316" s="21">
        <f t="shared" si="962"/>
        <v>0</v>
      </c>
      <c r="QW316" s="21">
        <f t="shared" si="962"/>
        <v>0</v>
      </c>
      <c r="QX316" s="21">
        <f t="shared" ref="QX316:RE316" si="963">IF($F$290, 0, IF($J$295, IF(AND(COLUMN($QX$316)-COLUMN($QH$311)=$Q$291,ROW($QX$316)-ROW($QH$311)=$K$291), U$290, QX316), QX316))</f>
        <v>0</v>
      </c>
      <c r="QY316" s="21">
        <f t="shared" si="963"/>
        <v>0</v>
      </c>
      <c r="QZ316" s="21">
        <f t="shared" si="963"/>
        <v>0</v>
      </c>
      <c r="RA316" s="21">
        <f t="shared" si="963"/>
        <v>0</v>
      </c>
      <c r="RB316" s="21">
        <f t="shared" si="963"/>
        <v>0</v>
      </c>
      <c r="RC316" s="21">
        <f t="shared" si="963"/>
        <v>0</v>
      </c>
      <c r="RD316" s="21">
        <f t="shared" si="963"/>
        <v>0</v>
      </c>
      <c r="RE316" s="21">
        <f t="shared" si="963"/>
        <v>0</v>
      </c>
      <c r="RF316" s="21">
        <f t="shared" ref="RF316:RM316" si="964">IF($F$290, 0, IF($J$295, IF(AND(COLUMN($RF$316)-COLUMN($QH$311)=$Q$291,ROW($RF$316)-ROW($QH$311)=$K$291), U$290, RF316), RF316))</f>
        <v>0</v>
      </c>
      <c r="RG316" s="21">
        <f t="shared" si="964"/>
        <v>0</v>
      </c>
      <c r="RH316" s="21">
        <f t="shared" si="964"/>
        <v>0</v>
      </c>
      <c r="RI316" s="21">
        <f t="shared" si="964"/>
        <v>0</v>
      </c>
      <c r="RJ316" s="21">
        <f t="shared" si="964"/>
        <v>0</v>
      </c>
      <c r="RK316" s="21">
        <f t="shared" si="964"/>
        <v>0</v>
      </c>
      <c r="RL316" s="21">
        <f t="shared" si="964"/>
        <v>0</v>
      </c>
      <c r="RM316" s="21">
        <f t="shared" si="964"/>
        <v>0</v>
      </c>
      <c r="RN316" s="21">
        <f t="shared" ref="RN316:RU316" si="965">IF($F$290, 0, IF($J$295, IF(AND(COLUMN($RN$316)-COLUMN($QH$311)=$Q$291,ROW($RN$316)-ROW($QH$311)=$K$291), U$290, RN316), RN316))</f>
        <v>0</v>
      </c>
      <c r="RO316" s="21">
        <f t="shared" si="965"/>
        <v>0</v>
      </c>
      <c r="RP316" s="21">
        <f t="shared" si="965"/>
        <v>0</v>
      </c>
      <c r="RQ316" s="21">
        <f t="shared" si="965"/>
        <v>0</v>
      </c>
      <c r="RR316" s="21">
        <f t="shared" si="965"/>
        <v>0</v>
      </c>
      <c r="RS316" s="21">
        <f t="shared" si="965"/>
        <v>0</v>
      </c>
      <c r="RT316" s="21">
        <f t="shared" si="965"/>
        <v>0</v>
      </c>
      <c r="RU316" s="21">
        <f t="shared" si="965"/>
        <v>0</v>
      </c>
      <c r="RV316" s="21">
        <f t="shared" ref="RV316:SC316" si="966">IF($F$290, 0, IF($J$295, IF(AND(COLUMN($RV$316)-COLUMN($QH$311)=$Q$291,ROW($RV$316)-ROW($QH$311)=$K$291), U$290, RV316), RV316))</f>
        <v>0</v>
      </c>
      <c r="RW316" s="21">
        <f t="shared" si="966"/>
        <v>0</v>
      </c>
      <c r="RX316" s="21">
        <f t="shared" si="966"/>
        <v>0</v>
      </c>
      <c r="RY316" s="21">
        <f t="shared" si="966"/>
        <v>0</v>
      </c>
      <c r="RZ316" s="21">
        <f t="shared" si="966"/>
        <v>0</v>
      </c>
      <c r="SA316" s="21">
        <f t="shared" si="966"/>
        <v>0</v>
      </c>
      <c r="SB316" s="21">
        <f t="shared" si="966"/>
        <v>0</v>
      </c>
      <c r="SC316" s="21">
        <f t="shared" si="966"/>
        <v>0</v>
      </c>
      <c r="SD316" s="21">
        <f t="shared" ref="SD316:SK316" si="967">IF($F$290, 0, IF($J$295, IF(AND(COLUMN($SD$316)-COLUMN($QH$311)=$Q$291,ROW($SD$316)-ROW($QH$311)=$K$291), U$290, SD316), SD316))</f>
        <v>0</v>
      </c>
      <c r="SE316" s="21">
        <f t="shared" si="967"/>
        <v>0</v>
      </c>
      <c r="SF316" s="21">
        <f t="shared" si="967"/>
        <v>0</v>
      </c>
      <c r="SG316" s="21">
        <f t="shared" si="967"/>
        <v>0</v>
      </c>
      <c r="SH316" s="21">
        <f t="shared" si="967"/>
        <v>0</v>
      </c>
      <c r="SI316" s="21">
        <f t="shared" si="967"/>
        <v>0</v>
      </c>
      <c r="SJ316" s="21">
        <f t="shared" si="967"/>
        <v>0</v>
      </c>
      <c r="SK316" s="21">
        <f t="shared" si="967"/>
        <v>0</v>
      </c>
      <c r="SL316" s="21">
        <f t="shared" ref="SL316:SS316" si="968">IF($F$290, 0, IF($J$295, IF(AND(COLUMN($SL$316)-COLUMN($QH$311)=$Q$291,ROW($SL$316)-ROW($QH$311)=$K$291), U$290, SL316), SL316))</f>
        <v>0</v>
      </c>
      <c r="SM316" s="21">
        <f t="shared" si="968"/>
        <v>0</v>
      </c>
      <c r="SN316" s="21">
        <f t="shared" si="968"/>
        <v>0</v>
      </c>
      <c r="SO316" s="21">
        <f t="shared" si="968"/>
        <v>0</v>
      </c>
      <c r="SP316" s="21">
        <f t="shared" si="968"/>
        <v>0</v>
      </c>
      <c r="SQ316" s="21">
        <f t="shared" si="968"/>
        <v>0</v>
      </c>
      <c r="SR316" s="21">
        <f t="shared" si="968"/>
        <v>0</v>
      </c>
      <c r="SS316" s="21">
        <f t="shared" si="968"/>
        <v>0</v>
      </c>
    </row>
    <row r="317" spans="2:513" ht="15" customHeight="1" x14ac:dyDescent="0.25">
      <c r="B317" s="21">
        <f t="shared" ref="B317:I317" si="969">IF($F$290, 0, IF($C$295, IF(AND(COLUMN($B$317)-COLUMN($B$311)=$Q$291,ROW($B$317)-ROW($B$311)=$K$291), U$290, B317), B317))</f>
        <v>0</v>
      </c>
      <c r="C317" s="21">
        <f t="shared" si="969"/>
        <v>0</v>
      </c>
      <c r="D317" s="21">
        <f t="shared" si="969"/>
        <v>0</v>
      </c>
      <c r="E317" s="21">
        <f t="shared" si="969"/>
        <v>0</v>
      </c>
      <c r="F317" s="21">
        <f t="shared" si="969"/>
        <v>0</v>
      </c>
      <c r="G317" s="21">
        <f t="shared" si="969"/>
        <v>0</v>
      </c>
      <c r="H317" s="21">
        <f t="shared" si="969"/>
        <v>0</v>
      </c>
      <c r="I317" s="21">
        <f t="shared" si="969"/>
        <v>0</v>
      </c>
      <c r="J317" s="21">
        <f t="shared" ref="J317:Q317" si="970">IF($F$290, 0, IF($C$295, IF(AND(COLUMN($J$317)-COLUMN($B$311)=$Q$291,ROW($J$317)-ROW($B$311)=$K$291), U$290, J317), J317))</f>
        <v>0</v>
      </c>
      <c r="K317" s="21">
        <f t="shared" si="970"/>
        <v>0</v>
      </c>
      <c r="L317" s="21">
        <f t="shared" si="970"/>
        <v>0</v>
      </c>
      <c r="M317" s="21">
        <f t="shared" si="970"/>
        <v>0</v>
      </c>
      <c r="N317" s="21">
        <f t="shared" si="970"/>
        <v>0</v>
      </c>
      <c r="O317" s="21">
        <f t="shared" si="970"/>
        <v>0</v>
      </c>
      <c r="P317" s="21">
        <f t="shared" si="970"/>
        <v>0</v>
      </c>
      <c r="Q317" s="21">
        <f t="shared" si="970"/>
        <v>0</v>
      </c>
      <c r="R317" s="21">
        <f>IF($F$290, 0, IF($C$295, IF(AND(COLUMN($R$317)-COLUMN($B$311)=$Q$291,ROW($R$317)-ROW($B$311)=$K$291), U$290, R317), R317))</f>
        <v>0</v>
      </c>
      <c r="S317" s="21">
        <f t="shared" ref="S317:Y317" si="971">IF($F$290, 0, IF($C$295, IF(AND(COLUMN($R$317)-COLUMN($B$311)=$Q$291,ROW($R$317)-ROW($B$311)=$K$291), V$290, S317), S317))</f>
        <v>0</v>
      </c>
      <c r="T317" s="21">
        <f t="shared" si="971"/>
        <v>0</v>
      </c>
      <c r="U317" s="21">
        <f t="shared" si="971"/>
        <v>0</v>
      </c>
      <c r="V317" s="21">
        <f t="shared" si="971"/>
        <v>0</v>
      </c>
      <c r="W317" s="21">
        <f t="shared" si="971"/>
        <v>0</v>
      </c>
      <c r="X317" s="21">
        <f t="shared" si="971"/>
        <v>0</v>
      </c>
      <c r="Y317" s="21">
        <f t="shared" si="971"/>
        <v>0</v>
      </c>
      <c r="Z317" s="21">
        <f t="shared" ref="Z317:AG317" si="972">IF($F$290, 0, IF($C$295, IF(AND(COLUMN($Z$317)-COLUMN($B$311)=$Q$291,ROW($Z$317)-ROW($B$311)=$K$291), U$290, Z317), Z317))</f>
        <v>0</v>
      </c>
      <c r="AA317" s="21">
        <f t="shared" si="972"/>
        <v>0</v>
      </c>
      <c r="AB317" s="21">
        <f t="shared" si="972"/>
        <v>0</v>
      </c>
      <c r="AC317" s="21">
        <f t="shared" si="972"/>
        <v>0</v>
      </c>
      <c r="AD317" s="21">
        <f t="shared" si="972"/>
        <v>0</v>
      </c>
      <c r="AE317" s="21">
        <f t="shared" si="972"/>
        <v>0</v>
      </c>
      <c r="AF317" s="21">
        <f t="shared" si="972"/>
        <v>0</v>
      </c>
      <c r="AG317" s="21">
        <f t="shared" si="972"/>
        <v>0</v>
      </c>
      <c r="AH317" s="21">
        <f t="shared" ref="AH317:AO317" si="973">IF($F$290, 0, IF($C$295, IF(AND(COLUMN($AH$317)-COLUMN($B$311)=$Q$291,ROW($AH$317)-ROW($B$311)=$K$291), U$290, AH317), AH317))</f>
        <v>0</v>
      </c>
      <c r="AI317" s="21">
        <f t="shared" si="973"/>
        <v>0</v>
      </c>
      <c r="AJ317" s="21">
        <f t="shared" si="973"/>
        <v>0</v>
      </c>
      <c r="AK317" s="21">
        <f t="shared" si="973"/>
        <v>0</v>
      </c>
      <c r="AL317" s="21">
        <f t="shared" si="973"/>
        <v>0</v>
      </c>
      <c r="AM317" s="21">
        <f t="shared" si="973"/>
        <v>0</v>
      </c>
      <c r="AN317" s="21">
        <f t="shared" si="973"/>
        <v>0</v>
      </c>
      <c r="AO317" s="21">
        <f t="shared" si="973"/>
        <v>0</v>
      </c>
      <c r="AP317" s="21">
        <f t="shared" ref="AP317:AW317" si="974">IF($F$290, 0, IF($C$295, IF(AND(COLUMN($AP$317)-COLUMN($B$311)=$Q$291,ROW($AP$317)-ROW($B$311)=$K$291), U$290, AP317), AP317))</f>
        <v>0</v>
      </c>
      <c r="AQ317" s="21">
        <f t="shared" si="974"/>
        <v>0</v>
      </c>
      <c r="AR317" s="21">
        <f t="shared" si="974"/>
        <v>0</v>
      </c>
      <c r="AS317" s="21">
        <f t="shared" si="974"/>
        <v>0</v>
      </c>
      <c r="AT317" s="21">
        <f t="shared" si="974"/>
        <v>0</v>
      </c>
      <c r="AU317" s="21">
        <f t="shared" si="974"/>
        <v>0</v>
      </c>
      <c r="AV317" s="21">
        <f t="shared" si="974"/>
        <v>0</v>
      </c>
      <c r="AW317" s="21">
        <f t="shared" si="974"/>
        <v>0</v>
      </c>
      <c r="AX317" s="21">
        <f t="shared" ref="AX317:BE317" si="975">IF($F$290, 0, IF($C$295, IF(AND(COLUMN($AX$317)-COLUMN($B$311)=$Q$291,ROW($AX$317)-ROW($B$311)=$K$291), U$290, AX317), AX317))</f>
        <v>0</v>
      </c>
      <c r="AY317" s="21">
        <f t="shared" si="975"/>
        <v>0</v>
      </c>
      <c r="AZ317" s="21">
        <f t="shared" si="975"/>
        <v>0</v>
      </c>
      <c r="BA317" s="21">
        <f t="shared" si="975"/>
        <v>0</v>
      </c>
      <c r="BB317" s="21">
        <f t="shared" si="975"/>
        <v>0</v>
      </c>
      <c r="BC317" s="21">
        <f t="shared" si="975"/>
        <v>0</v>
      </c>
      <c r="BD317" s="21">
        <f t="shared" si="975"/>
        <v>0</v>
      </c>
      <c r="BE317" s="21">
        <f t="shared" si="975"/>
        <v>0</v>
      </c>
      <c r="BF317" s="21">
        <f t="shared" ref="BF317:BM317" si="976">IF($F$290, 0, IF($C$295, IF(AND(COLUMN($BF$317)-COLUMN($B$311)=$Q$291,ROW($BF$317)-ROW($B$311)=$K$291), U$290, BF317), BF317))</f>
        <v>0</v>
      </c>
      <c r="BG317" s="21">
        <f t="shared" si="976"/>
        <v>0</v>
      </c>
      <c r="BH317" s="21">
        <f t="shared" si="976"/>
        <v>0</v>
      </c>
      <c r="BI317" s="21">
        <f t="shared" si="976"/>
        <v>0</v>
      </c>
      <c r="BJ317" s="21">
        <f t="shared" si="976"/>
        <v>0</v>
      </c>
      <c r="BK317" s="21">
        <f t="shared" si="976"/>
        <v>0</v>
      </c>
      <c r="BL317" s="21">
        <f t="shared" si="976"/>
        <v>0</v>
      </c>
      <c r="BM317" s="21">
        <f t="shared" si="976"/>
        <v>0</v>
      </c>
      <c r="BN317" s="21">
        <f t="shared" ref="BN317:BU317" si="977">IF($F$290, 0, IF($D$295, IF(AND(COLUMN($BN$317)-COLUMN($BN$311)=$Q$291,ROW($BN$317)-ROW($BN$311)=$K$291), U$290, BN317), BN317))</f>
        <v>0</v>
      </c>
      <c r="BO317" s="21">
        <f t="shared" si="977"/>
        <v>0</v>
      </c>
      <c r="BP317" s="21">
        <f t="shared" si="977"/>
        <v>0</v>
      </c>
      <c r="BQ317" s="21">
        <f t="shared" si="977"/>
        <v>0</v>
      </c>
      <c r="BR317" s="21">
        <f t="shared" si="977"/>
        <v>0</v>
      </c>
      <c r="BS317" s="21">
        <f t="shared" si="977"/>
        <v>0</v>
      </c>
      <c r="BT317" s="21">
        <f t="shared" si="977"/>
        <v>0</v>
      </c>
      <c r="BU317" s="21">
        <f t="shared" si="977"/>
        <v>0</v>
      </c>
      <c r="BV317" s="21">
        <f t="shared" ref="BV317:CC317" si="978">IF($F$290, 0, IF($D$295, IF(AND(COLUMN($BV$317)-COLUMN($BN$311)=$Q$291,ROW($BV$317)-ROW($BN$311)=$K$291), U$290, BV317), BV317))</f>
        <v>0</v>
      </c>
      <c r="BW317" s="21">
        <f t="shared" si="978"/>
        <v>0</v>
      </c>
      <c r="BX317" s="21">
        <f t="shared" si="978"/>
        <v>0</v>
      </c>
      <c r="BY317" s="21">
        <f t="shared" si="978"/>
        <v>0</v>
      </c>
      <c r="BZ317" s="21">
        <f t="shared" si="978"/>
        <v>0</v>
      </c>
      <c r="CA317" s="21">
        <f t="shared" si="978"/>
        <v>0</v>
      </c>
      <c r="CB317" s="21">
        <f t="shared" si="978"/>
        <v>0</v>
      </c>
      <c r="CC317" s="21">
        <f t="shared" si="978"/>
        <v>0</v>
      </c>
      <c r="CD317" s="21">
        <f t="shared" ref="CD317:CK317" si="979">IF($F$290, 0, IF($D$295, IF(AND(COLUMN($CD$317)-COLUMN($BN$311)=$Q$291,ROW($CD$317)-ROW($BN$311)=$K$291), U$290, CD317), CD317))</f>
        <v>0</v>
      </c>
      <c r="CE317" s="21">
        <f t="shared" si="979"/>
        <v>0</v>
      </c>
      <c r="CF317" s="21">
        <f t="shared" si="979"/>
        <v>0</v>
      </c>
      <c r="CG317" s="21">
        <f t="shared" si="979"/>
        <v>0</v>
      </c>
      <c r="CH317" s="21">
        <f t="shared" si="979"/>
        <v>0</v>
      </c>
      <c r="CI317" s="21">
        <f t="shared" si="979"/>
        <v>0</v>
      </c>
      <c r="CJ317" s="21">
        <f t="shared" si="979"/>
        <v>0</v>
      </c>
      <c r="CK317" s="21">
        <f t="shared" si="979"/>
        <v>0</v>
      </c>
      <c r="CL317" s="21">
        <f t="shared" ref="CL317:CS317" si="980">IF($F$290, 0, IF($D$295, IF(AND(COLUMN($CL$317)-COLUMN($BN$311)=$Q$291,ROW($CL$317)-ROW($BN$311)=$K$291), U$290, CL317), CL317))</f>
        <v>0</v>
      </c>
      <c r="CM317" s="21">
        <f t="shared" si="980"/>
        <v>0</v>
      </c>
      <c r="CN317" s="21">
        <f t="shared" si="980"/>
        <v>0</v>
      </c>
      <c r="CO317" s="21">
        <f t="shared" si="980"/>
        <v>0</v>
      </c>
      <c r="CP317" s="21">
        <f t="shared" si="980"/>
        <v>0</v>
      </c>
      <c r="CQ317" s="21">
        <f t="shared" si="980"/>
        <v>0</v>
      </c>
      <c r="CR317" s="21">
        <f t="shared" si="980"/>
        <v>0</v>
      </c>
      <c r="CS317" s="21">
        <f t="shared" si="980"/>
        <v>0</v>
      </c>
      <c r="CT317" s="21">
        <f t="shared" ref="CT317:DA317" si="981">IF($F$290, 0, IF($D$295, IF(AND(COLUMN($CT$317)-COLUMN($BN$311)=$Q$291,ROW($CT$317)-ROW($BN$311)=$K$291), U$290, CT317), CT317))</f>
        <v>0</v>
      </c>
      <c r="CU317" s="21">
        <f t="shared" si="981"/>
        <v>0</v>
      </c>
      <c r="CV317" s="21">
        <f t="shared" si="981"/>
        <v>0</v>
      </c>
      <c r="CW317" s="21">
        <f t="shared" si="981"/>
        <v>0</v>
      </c>
      <c r="CX317" s="21">
        <f t="shared" si="981"/>
        <v>0</v>
      </c>
      <c r="CY317" s="21">
        <f t="shared" si="981"/>
        <v>0</v>
      </c>
      <c r="CZ317" s="21">
        <f t="shared" si="981"/>
        <v>0</v>
      </c>
      <c r="DA317" s="21">
        <f t="shared" si="981"/>
        <v>0</v>
      </c>
      <c r="DB317" s="21">
        <f t="shared" ref="DB317:DI317" si="982">IF($F$290, 0, IF($D$295, IF(AND(COLUMN($DB$317)-COLUMN($BN$311)=$Q$291,ROW($DB$317)-ROW($BN$311)=$K$291), U$290, DB317), DB317))</f>
        <v>0</v>
      </c>
      <c r="DC317" s="21">
        <f t="shared" si="982"/>
        <v>0</v>
      </c>
      <c r="DD317" s="21">
        <f t="shared" si="982"/>
        <v>0</v>
      </c>
      <c r="DE317" s="21">
        <f t="shared" si="982"/>
        <v>0</v>
      </c>
      <c r="DF317" s="21">
        <f t="shared" si="982"/>
        <v>0</v>
      </c>
      <c r="DG317" s="21">
        <f t="shared" si="982"/>
        <v>0</v>
      </c>
      <c r="DH317" s="21">
        <f t="shared" si="982"/>
        <v>0</v>
      </c>
      <c r="DI317" s="21">
        <f t="shared" si="982"/>
        <v>0</v>
      </c>
      <c r="DJ317" s="21">
        <f t="shared" ref="DJ317:DQ317" si="983">IF($F$290, 0, IF($D$295, IF(AND(COLUMN($DJ$317)-COLUMN($BN$311)=$Q$291,ROW($DJ$317)-ROW($BN$311)=$K$291), U$290, DJ317), DJ317))</f>
        <v>0</v>
      </c>
      <c r="DK317" s="21">
        <f t="shared" si="983"/>
        <v>0</v>
      </c>
      <c r="DL317" s="21">
        <f t="shared" si="983"/>
        <v>0</v>
      </c>
      <c r="DM317" s="21">
        <f t="shared" si="983"/>
        <v>0</v>
      </c>
      <c r="DN317" s="21">
        <f t="shared" si="983"/>
        <v>0</v>
      </c>
      <c r="DO317" s="21">
        <f t="shared" si="983"/>
        <v>0</v>
      </c>
      <c r="DP317" s="21">
        <f t="shared" si="983"/>
        <v>0</v>
      </c>
      <c r="DQ317" s="21">
        <f t="shared" si="983"/>
        <v>0</v>
      </c>
      <c r="DR317" s="21">
        <f t="shared" ref="DR317:DY317" si="984">IF($F$290, 0, IF($D$295, IF(AND(COLUMN($DR$317)-COLUMN($BN$311)=$Q$291,ROW($DR$317)-ROW($BN$311)=$K$291), U$290, DR317), DR317))</f>
        <v>0</v>
      </c>
      <c r="DS317" s="21">
        <f t="shared" si="984"/>
        <v>0</v>
      </c>
      <c r="DT317" s="21">
        <f t="shared" si="984"/>
        <v>0</v>
      </c>
      <c r="DU317" s="21">
        <f t="shared" si="984"/>
        <v>0</v>
      </c>
      <c r="DV317" s="21">
        <f t="shared" si="984"/>
        <v>0</v>
      </c>
      <c r="DW317" s="21">
        <f t="shared" si="984"/>
        <v>0</v>
      </c>
      <c r="DX317" s="21">
        <f t="shared" si="984"/>
        <v>0</v>
      </c>
      <c r="DY317" s="21">
        <f t="shared" si="984"/>
        <v>0</v>
      </c>
      <c r="DZ317" s="21">
        <f t="shared" ref="DZ317:EG317" si="985">IF($F$290, 0, IF($E$295, IF(AND(COLUMN($DZ$317)-COLUMN($DZ$311)=$Q$291,ROW($DZ$317)-ROW($DZ$311)=$K$291), U$290, DZ317), DZ317))</f>
        <v>0</v>
      </c>
      <c r="EA317" s="21">
        <f t="shared" si="985"/>
        <v>0</v>
      </c>
      <c r="EB317" s="21">
        <f t="shared" si="985"/>
        <v>0</v>
      </c>
      <c r="EC317" s="21">
        <f t="shared" si="985"/>
        <v>0</v>
      </c>
      <c r="ED317" s="21">
        <f t="shared" si="985"/>
        <v>0</v>
      </c>
      <c r="EE317" s="21">
        <f t="shared" si="985"/>
        <v>0</v>
      </c>
      <c r="EF317" s="21">
        <f t="shared" si="985"/>
        <v>0</v>
      </c>
      <c r="EG317" s="21">
        <f t="shared" si="985"/>
        <v>0</v>
      </c>
      <c r="EH317" s="21">
        <f t="shared" ref="EH317:EO317" si="986">IF($F$290, 0, IF($E$295, IF(AND(COLUMN($EH$317)-COLUMN($DZ$311)=$Q$291,ROW($EH$317)-ROW($DZ$311)=$K$291), U$290, EH317), EH317))</f>
        <v>0</v>
      </c>
      <c r="EI317" s="21">
        <f t="shared" si="986"/>
        <v>0</v>
      </c>
      <c r="EJ317" s="21">
        <f t="shared" si="986"/>
        <v>0</v>
      </c>
      <c r="EK317" s="21">
        <f t="shared" si="986"/>
        <v>0</v>
      </c>
      <c r="EL317" s="21">
        <f t="shared" si="986"/>
        <v>0</v>
      </c>
      <c r="EM317" s="21">
        <f t="shared" si="986"/>
        <v>0</v>
      </c>
      <c r="EN317" s="21">
        <f t="shared" si="986"/>
        <v>0</v>
      </c>
      <c r="EO317" s="21">
        <f t="shared" si="986"/>
        <v>0</v>
      </c>
      <c r="EP317" s="21">
        <f t="shared" ref="EP317:EW317" si="987">IF($F$290, 0, IF($E$295, IF(AND(COLUMN($EP$317)-COLUMN($DZ$311)=$Q$291,ROW($EP$317)-ROW($DZ$311)=$K$291), U$290, EP317), EP317))</f>
        <v>0</v>
      </c>
      <c r="EQ317" s="21">
        <f t="shared" si="987"/>
        <v>0</v>
      </c>
      <c r="ER317" s="21">
        <f t="shared" si="987"/>
        <v>0</v>
      </c>
      <c r="ES317" s="21">
        <f t="shared" si="987"/>
        <v>0</v>
      </c>
      <c r="ET317" s="21">
        <f t="shared" si="987"/>
        <v>0</v>
      </c>
      <c r="EU317" s="21">
        <f t="shared" si="987"/>
        <v>0</v>
      </c>
      <c r="EV317" s="21">
        <f t="shared" si="987"/>
        <v>0</v>
      </c>
      <c r="EW317" s="21">
        <f t="shared" si="987"/>
        <v>0</v>
      </c>
      <c r="EX317" s="21">
        <f t="shared" ref="EX317:FE317" si="988">IF($F$290, 0, IF($E$295, IF(AND(COLUMN($EX$317)-COLUMN($DZ$311)=$Q$291,ROW($EX$317)-ROW($DZ$311)=$K$291), U$290, EX317), EX317))</f>
        <v>0</v>
      </c>
      <c r="EY317" s="21">
        <f t="shared" si="988"/>
        <v>0</v>
      </c>
      <c r="EZ317" s="21">
        <f t="shared" si="988"/>
        <v>0</v>
      </c>
      <c r="FA317" s="21">
        <f t="shared" si="988"/>
        <v>0</v>
      </c>
      <c r="FB317" s="21">
        <f t="shared" si="988"/>
        <v>0</v>
      </c>
      <c r="FC317" s="21">
        <f t="shared" si="988"/>
        <v>0</v>
      </c>
      <c r="FD317" s="21">
        <f t="shared" si="988"/>
        <v>0</v>
      </c>
      <c r="FE317" s="21">
        <f t="shared" si="988"/>
        <v>0</v>
      </c>
      <c r="FF317" s="21">
        <f t="shared" ref="FF317:FM317" si="989">IF($F$290, 0, IF($E$295, IF(AND(COLUMN($FF$317)-COLUMN($DZ$311)=$Q$291,ROW($FF$317)-ROW($DZ$311)=$K$291), U$290, FF317), FF317))</f>
        <v>0</v>
      </c>
      <c r="FG317" s="21">
        <f t="shared" si="989"/>
        <v>0</v>
      </c>
      <c r="FH317" s="21">
        <f t="shared" si="989"/>
        <v>0</v>
      </c>
      <c r="FI317" s="21">
        <f t="shared" si="989"/>
        <v>0</v>
      </c>
      <c r="FJ317" s="21">
        <f t="shared" si="989"/>
        <v>0</v>
      </c>
      <c r="FK317" s="21">
        <f t="shared" si="989"/>
        <v>0</v>
      </c>
      <c r="FL317" s="21">
        <f t="shared" si="989"/>
        <v>0</v>
      </c>
      <c r="FM317" s="21">
        <f t="shared" si="989"/>
        <v>0</v>
      </c>
      <c r="FN317" s="21">
        <f t="shared" ref="FN317:FU317" si="990">IF($F$290, 0, IF($E$295, IF(AND(COLUMN($FN$317)-COLUMN($DZ$311)=$Q$291,ROW($FN$317)-ROW($DZ$311)=$K$291), U$290, FN317), FN317))</f>
        <v>0</v>
      </c>
      <c r="FO317" s="21">
        <f t="shared" si="990"/>
        <v>0</v>
      </c>
      <c r="FP317" s="21">
        <f t="shared" si="990"/>
        <v>0</v>
      </c>
      <c r="FQ317" s="21">
        <f t="shared" si="990"/>
        <v>0</v>
      </c>
      <c r="FR317" s="21">
        <f t="shared" si="990"/>
        <v>0</v>
      </c>
      <c r="FS317" s="21">
        <f t="shared" si="990"/>
        <v>0</v>
      </c>
      <c r="FT317" s="21">
        <f t="shared" si="990"/>
        <v>0</v>
      </c>
      <c r="FU317" s="21">
        <f t="shared" si="990"/>
        <v>0</v>
      </c>
      <c r="FV317" s="21">
        <f t="shared" ref="FV317:GC317" si="991">IF($F$290, 0, IF($E$295, IF(AND(COLUMN($FV$317)-COLUMN($DZ$311)=$Q$291,ROW($FV$317)-ROW($DZ$311)=$K$291), U$290, FV317), FV317))</f>
        <v>0</v>
      </c>
      <c r="FW317" s="21">
        <f t="shared" si="991"/>
        <v>0</v>
      </c>
      <c r="FX317" s="21">
        <f t="shared" si="991"/>
        <v>0</v>
      </c>
      <c r="FY317" s="21">
        <f t="shared" si="991"/>
        <v>0</v>
      </c>
      <c r="FZ317" s="21">
        <f t="shared" si="991"/>
        <v>0</v>
      </c>
      <c r="GA317" s="21">
        <f t="shared" si="991"/>
        <v>0</v>
      </c>
      <c r="GB317" s="21">
        <f t="shared" si="991"/>
        <v>0</v>
      </c>
      <c r="GC317" s="21">
        <f t="shared" si="991"/>
        <v>0</v>
      </c>
      <c r="GD317" s="21">
        <f t="shared" ref="GD317:GK317" si="992">IF($F$290, 0, IF($E$295, IF(AND(COLUMN($GD$317)-COLUMN($DZ$311)=$Q$291,ROW($GD$317)-ROW($DZ$311)=$K$291), U$290, GD317), GD317))</f>
        <v>0</v>
      </c>
      <c r="GE317" s="21">
        <f t="shared" si="992"/>
        <v>0</v>
      </c>
      <c r="GF317" s="21">
        <f t="shared" si="992"/>
        <v>0</v>
      </c>
      <c r="GG317" s="21">
        <f t="shared" si="992"/>
        <v>0</v>
      </c>
      <c r="GH317" s="21">
        <f t="shared" si="992"/>
        <v>0</v>
      </c>
      <c r="GI317" s="21">
        <f t="shared" si="992"/>
        <v>0</v>
      </c>
      <c r="GJ317" s="21">
        <f t="shared" si="992"/>
        <v>0</v>
      </c>
      <c r="GK317" s="21">
        <f t="shared" si="992"/>
        <v>0</v>
      </c>
      <c r="GL317" s="21">
        <f t="shared" ref="GL317:GS317" si="993">IF($F$290, 0, IF($F$295, IF(AND(COLUMN($GL$317)-COLUMN($GL$311)=$Q$291,ROW($GL$317)-ROW($GL$311)=$K$291), U$290, GL317), GL317))</f>
        <v>0</v>
      </c>
      <c r="GM317" s="21">
        <f t="shared" si="993"/>
        <v>0</v>
      </c>
      <c r="GN317" s="21">
        <f t="shared" si="993"/>
        <v>0</v>
      </c>
      <c r="GO317" s="21">
        <f t="shared" si="993"/>
        <v>0</v>
      </c>
      <c r="GP317" s="21">
        <f t="shared" si="993"/>
        <v>0</v>
      </c>
      <c r="GQ317" s="21">
        <f t="shared" si="993"/>
        <v>0</v>
      </c>
      <c r="GR317" s="21">
        <f t="shared" si="993"/>
        <v>0</v>
      </c>
      <c r="GS317" s="21">
        <f t="shared" si="993"/>
        <v>0</v>
      </c>
      <c r="GT317" s="21">
        <f t="shared" ref="GT317:HA317" si="994">IF($F$290, 0, IF($F$295, IF(AND(COLUMN($GT$317)-COLUMN($GL$311)=$Q$291,ROW($GT$317)-ROW($GL$311)=$K$291), U$290, GT317), GT317))</f>
        <v>0</v>
      </c>
      <c r="GU317" s="21">
        <f t="shared" si="994"/>
        <v>0</v>
      </c>
      <c r="GV317" s="21">
        <f t="shared" si="994"/>
        <v>0</v>
      </c>
      <c r="GW317" s="21">
        <f t="shared" si="994"/>
        <v>0</v>
      </c>
      <c r="GX317" s="21">
        <f t="shared" si="994"/>
        <v>0</v>
      </c>
      <c r="GY317" s="21">
        <f t="shared" si="994"/>
        <v>0</v>
      </c>
      <c r="GZ317" s="21">
        <f t="shared" si="994"/>
        <v>0</v>
      </c>
      <c r="HA317" s="21">
        <f t="shared" si="994"/>
        <v>0</v>
      </c>
      <c r="HB317" s="21">
        <f t="shared" ref="HB317:HI317" si="995">IF($F$290, 0, IF($F$295, IF(AND(COLUMN($HB$317)-COLUMN($GL$311)=$Q$291,ROW($HB$317)-ROW($GL$311)=$K$291), U$290, HB317), HB317))</f>
        <v>0</v>
      </c>
      <c r="HC317" s="21">
        <f t="shared" si="995"/>
        <v>0</v>
      </c>
      <c r="HD317" s="21">
        <f t="shared" si="995"/>
        <v>0</v>
      </c>
      <c r="HE317" s="21">
        <f t="shared" si="995"/>
        <v>0</v>
      </c>
      <c r="HF317" s="21">
        <f t="shared" si="995"/>
        <v>0</v>
      </c>
      <c r="HG317" s="21">
        <f t="shared" si="995"/>
        <v>0</v>
      </c>
      <c r="HH317" s="21">
        <f t="shared" si="995"/>
        <v>0</v>
      </c>
      <c r="HI317" s="21">
        <f t="shared" si="995"/>
        <v>0</v>
      </c>
      <c r="HJ317" s="21">
        <f t="shared" ref="HJ317:HQ317" si="996">IF($F$290, 0, IF($F$295, IF(AND(COLUMN($HJ$317)-COLUMN($GL$311)=$Q$291,ROW($HJ$317)-ROW($GL$311)=$K$291), U$290, HJ317), HJ317))</f>
        <v>0</v>
      </c>
      <c r="HK317" s="21">
        <f t="shared" si="996"/>
        <v>0</v>
      </c>
      <c r="HL317" s="21">
        <f t="shared" si="996"/>
        <v>0</v>
      </c>
      <c r="HM317" s="21">
        <f t="shared" si="996"/>
        <v>0</v>
      </c>
      <c r="HN317" s="21">
        <f t="shared" si="996"/>
        <v>0</v>
      </c>
      <c r="HO317" s="21">
        <f t="shared" si="996"/>
        <v>0</v>
      </c>
      <c r="HP317" s="21">
        <f t="shared" si="996"/>
        <v>0</v>
      </c>
      <c r="HQ317" s="21">
        <f t="shared" si="996"/>
        <v>0</v>
      </c>
      <c r="HR317" s="21">
        <f t="shared" ref="HR317:HY317" si="997">IF($F$290, 0, IF($F$295, IF(AND(COLUMN($HR$317)-COLUMN($GL$311)=$Q$291,ROW($HR$317)-ROW($GL$311)=$K$291), U$290, HR317), HR317))</f>
        <v>0</v>
      </c>
      <c r="HS317" s="21">
        <f t="shared" si="997"/>
        <v>0</v>
      </c>
      <c r="HT317" s="21">
        <f t="shared" si="997"/>
        <v>0</v>
      </c>
      <c r="HU317" s="21">
        <f t="shared" si="997"/>
        <v>0</v>
      </c>
      <c r="HV317" s="21">
        <f t="shared" si="997"/>
        <v>0</v>
      </c>
      <c r="HW317" s="21">
        <f t="shared" si="997"/>
        <v>0</v>
      </c>
      <c r="HX317" s="21">
        <f t="shared" si="997"/>
        <v>0</v>
      </c>
      <c r="HY317" s="21">
        <f t="shared" si="997"/>
        <v>0</v>
      </c>
      <c r="HZ317" s="21">
        <f t="shared" ref="HZ317:IG317" si="998">IF($F$290, 0, IF($F$295, IF(AND(COLUMN($HZ$317)-COLUMN($GL$311)=$Q$291,ROW($HZ$317)-ROW($GL$311)=$K$291), U$290, HZ317), HZ317))</f>
        <v>0</v>
      </c>
      <c r="IA317" s="21">
        <f t="shared" si="998"/>
        <v>0</v>
      </c>
      <c r="IB317" s="21">
        <f t="shared" si="998"/>
        <v>0</v>
      </c>
      <c r="IC317" s="21">
        <f t="shared" si="998"/>
        <v>0</v>
      </c>
      <c r="ID317" s="21">
        <f t="shared" si="998"/>
        <v>0</v>
      </c>
      <c r="IE317" s="21">
        <f t="shared" si="998"/>
        <v>0</v>
      </c>
      <c r="IF317" s="21">
        <f t="shared" si="998"/>
        <v>0</v>
      </c>
      <c r="IG317" s="21">
        <f t="shared" si="998"/>
        <v>0</v>
      </c>
      <c r="IH317" s="21">
        <f t="shared" ref="IH317:IO317" si="999">IF($F$290, 0, IF($F$295, IF(AND(COLUMN($IH$317)-COLUMN($GL$311)=$Q$291,ROW($IH$317)-ROW($GL$311)=$K$291), U$290, IH317), IH317))</f>
        <v>0</v>
      </c>
      <c r="II317" s="21">
        <f t="shared" si="999"/>
        <v>0</v>
      </c>
      <c r="IJ317" s="21">
        <f t="shared" si="999"/>
        <v>0</v>
      </c>
      <c r="IK317" s="21">
        <f t="shared" si="999"/>
        <v>0</v>
      </c>
      <c r="IL317" s="21">
        <f t="shared" si="999"/>
        <v>0</v>
      </c>
      <c r="IM317" s="21">
        <f t="shared" si="999"/>
        <v>0</v>
      </c>
      <c r="IN317" s="21">
        <f t="shared" si="999"/>
        <v>0</v>
      </c>
      <c r="IO317" s="21">
        <f t="shared" si="999"/>
        <v>0</v>
      </c>
      <c r="IP317" s="21">
        <f t="shared" ref="IP317:IW317" si="1000">IF($F$290, 0, IF($F$295, IF(AND(COLUMN($IP$317)-COLUMN($GL$311)=$Q$291,ROW($IP$317)-ROW($GL$311)=$K$291), U$290, IP317), IP317))</f>
        <v>0</v>
      </c>
      <c r="IQ317" s="21">
        <f t="shared" si="1000"/>
        <v>0</v>
      </c>
      <c r="IR317" s="21">
        <f t="shared" si="1000"/>
        <v>0</v>
      </c>
      <c r="IS317" s="21">
        <f t="shared" si="1000"/>
        <v>0</v>
      </c>
      <c r="IT317" s="21">
        <f t="shared" si="1000"/>
        <v>0</v>
      </c>
      <c r="IU317" s="21">
        <f t="shared" si="1000"/>
        <v>0</v>
      </c>
      <c r="IV317" s="21">
        <f t="shared" si="1000"/>
        <v>0</v>
      </c>
      <c r="IW317" s="21">
        <f t="shared" si="1000"/>
        <v>0</v>
      </c>
      <c r="IX317" s="21">
        <f t="shared" ref="IX317:JE317" si="1001">IF($F$290, 0, IF($G$295, IF(AND(COLUMN($IX$317)-COLUMN($IX$311)=$Q$291,ROW($IX$317)-ROW($IX$311)=$K$291), U$290, IX317), IX317))</f>
        <v>0</v>
      </c>
      <c r="IY317" s="21">
        <f t="shared" si="1001"/>
        <v>0</v>
      </c>
      <c r="IZ317" s="21">
        <f t="shared" si="1001"/>
        <v>0</v>
      </c>
      <c r="JA317" s="21">
        <f t="shared" si="1001"/>
        <v>0</v>
      </c>
      <c r="JB317" s="21">
        <f t="shared" si="1001"/>
        <v>0</v>
      </c>
      <c r="JC317" s="21">
        <f t="shared" si="1001"/>
        <v>0</v>
      </c>
      <c r="JD317" s="21">
        <f t="shared" si="1001"/>
        <v>0</v>
      </c>
      <c r="JE317" s="21">
        <f t="shared" si="1001"/>
        <v>0</v>
      </c>
      <c r="JF317" s="21">
        <f t="shared" ref="JF317:JM317" si="1002">IF($F$290, 0, IF($G$295, IF(AND(COLUMN($JF$317)-COLUMN($IX$311)=$Q$291,ROW($JF$317)-ROW($IX$311)=$K$291), U$290, JF317), JF317))</f>
        <v>0</v>
      </c>
      <c r="JG317" s="21">
        <f t="shared" si="1002"/>
        <v>0</v>
      </c>
      <c r="JH317" s="21">
        <f t="shared" si="1002"/>
        <v>0</v>
      </c>
      <c r="JI317" s="21">
        <f t="shared" si="1002"/>
        <v>0</v>
      </c>
      <c r="JJ317" s="21">
        <f t="shared" si="1002"/>
        <v>0</v>
      </c>
      <c r="JK317" s="21">
        <f t="shared" si="1002"/>
        <v>0</v>
      </c>
      <c r="JL317" s="21">
        <f t="shared" si="1002"/>
        <v>0</v>
      </c>
      <c r="JM317" s="21">
        <f t="shared" si="1002"/>
        <v>0</v>
      </c>
      <c r="JN317" s="21">
        <f t="shared" ref="JN317:JU317" si="1003">IF($F$290, 0, IF($G$295, IF(AND(COLUMN($JN$317)-COLUMN($IX$311)=$Q$291,ROW($JN$317)-ROW($IX$311)=$K$291), U$290, JN317), JN317))</f>
        <v>0</v>
      </c>
      <c r="JO317" s="21">
        <f t="shared" si="1003"/>
        <v>0</v>
      </c>
      <c r="JP317" s="21">
        <f t="shared" si="1003"/>
        <v>0</v>
      </c>
      <c r="JQ317" s="21">
        <f t="shared" si="1003"/>
        <v>0</v>
      </c>
      <c r="JR317" s="21">
        <f t="shared" si="1003"/>
        <v>0</v>
      </c>
      <c r="JS317" s="21">
        <f t="shared" si="1003"/>
        <v>0</v>
      </c>
      <c r="JT317" s="21">
        <f t="shared" si="1003"/>
        <v>0</v>
      </c>
      <c r="JU317" s="21">
        <f t="shared" si="1003"/>
        <v>0</v>
      </c>
      <c r="JV317" s="21">
        <f t="shared" ref="JV317:KC317" si="1004">IF($F$290, 0, IF($G$295, IF(AND(COLUMN($JV$317)-COLUMN($IX$311)=$Q$291,ROW($JV$317)-ROW($IX$311)=$K$291), U$290, JV317), JV317))</f>
        <v>0</v>
      </c>
      <c r="JW317" s="21">
        <f t="shared" si="1004"/>
        <v>0</v>
      </c>
      <c r="JX317" s="21">
        <f t="shared" si="1004"/>
        <v>0</v>
      </c>
      <c r="JY317" s="21">
        <f t="shared" si="1004"/>
        <v>0</v>
      </c>
      <c r="JZ317" s="21">
        <f t="shared" si="1004"/>
        <v>0</v>
      </c>
      <c r="KA317" s="21">
        <f t="shared" si="1004"/>
        <v>0</v>
      </c>
      <c r="KB317" s="21">
        <f t="shared" si="1004"/>
        <v>0</v>
      </c>
      <c r="KC317" s="21">
        <f t="shared" si="1004"/>
        <v>0</v>
      </c>
      <c r="KD317" s="21">
        <f t="shared" ref="KD317:KK317" si="1005">IF($F$290, 0, IF($G$295, IF(AND(COLUMN($KD$317)-COLUMN($IX$311)=$Q$291,ROW($KD$317)-ROW($IX$311)=$K$291), U$290, KD317), KD317))</f>
        <v>0</v>
      </c>
      <c r="KE317" s="21">
        <f t="shared" si="1005"/>
        <v>0</v>
      </c>
      <c r="KF317" s="21">
        <f t="shared" si="1005"/>
        <v>0</v>
      </c>
      <c r="KG317" s="21">
        <f t="shared" si="1005"/>
        <v>0</v>
      </c>
      <c r="KH317" s="21">
        <f t="shared" si="1005"/>
        <v>0</v>
      </c>
      <c r="KI317" s="21">
        <f t="shared" si="1005"/>
        <v>0</v>
      </c>
      <c r="KJ317" s="21">
        <f t="shared" si="1005"/>
        <v>0</v>
      </c>
      <c r="KK317" s="21">
        <f t="shared" si="1005"/>
        <v>0</v>
      </c>
      <c r="KL317" s="21">
        <f t="shared" ref="KL317:KS317" si="1006">IF($F$290, 0, IF($G$295, IF(AND(COLUMN($KL$317)-COLUMN($IX$311)=$Q$291,ROW($KL$317)-ROW($IX$311)=$K$291), U$290, KL317), KL317))</f>
        <v>0</v>
      </c>
      <c r="KM317" s="21">
        <f t="shared" si="1006"/>
        <v>0</v>
      </c>
      <c r="KN317" s="21">
        <f t="shared" si="1006"/>
        <v>0</v>
      </c>
      <c r="KO317" s="21">
        <f t="shared" si="1006"/>
        <v>0</v>
      </c>
      <c r="KP317" s="21">
        <f t="shared" si="1006"/>
        <v>0</v>
      </c>
      <c r="KQ317" s="21">
        <f t="shared" si="1006"/>
        <v>0</v>
      </c>
      <c r="KR317" s="21">
        <f t="shared" si="1006"/>
        <v>0</v>
      </c>
      <c r="KS317" s="21">
        <f t="shared" si="1006"/>
        <v>0</v>
      </c>
      <c r="KT317" s="21">
        <f t="shared" ref="KT317:LA317" si="1007">IF($F$290, 0, IF($G$295, IF(AND(COLUMN($KT$317)-COLUMN($IX$311)=$Q$291,ROW($KT$317)-ROW($IX$311)=$K$291), U$290, KT317), KT317))</f>
        <v>0</v>
      </c>
      <c r="KU317" s="21">
        <f t="shared" si="1007"/>
        <v>0</v>
      </c>
      <c r="KV317" s="21">
        <f t="shared" si="1007"/>
        <v>0</v>
      </c>
      <c r="KW317" s="21">
        <f t="shared" si="1007"/>
        <v>0</v>
      </c>
      <c r="KX317" s="21">
        <f t="shared" si="1007"/>
        <v>0</v>
      </c>
      <c r="KY317" s="21">
        <f t="shared" si="1007"/>
        <v>0</v>
      </c>
      <c r="KZ317" s="21">
        <f t="shared" si="1007"/>
        <v>0</v>
      </c>
      <c r="LA317" s="21">
        <f t="shared" si="1007"/>
        <v>0</v>
      </c>
      <c r="LB317" s="21">
        <f t="shared" ref="LB317:LI317" si="1008">IF($F$290, 0, IF($G$295, IF(AND(COLUMN($LB$317)-COLUMN($IX$311)=$Q$291,ROW($LB$317)-ROW($IX$311)=$K$291), U$290, LB317), LB317))</f>
        <v>0</v>
      </c>
      <c r="LC317" s="21">
        <f t="shared" si="1008"/>
        <v>0</v>
      </c>
      <c r="LD317" s="21">
        <f t="shared" si="1008"/>
        <v>0</v>
      </c>
      <c r="LE317" s="21">
        <f t="shared" si="1008"/>
        <v>0</v>
      </c>
      <c r="LF317" s="21">
        <f t="shared" si="1008"/>
        <v>0</v>
      </c>
      <c r="LG317" s="21">
        <f t="shared" si="1008"/>
        <v>0</v>
      </c>
      <c r="LH317" s="21">
        <f t="shared" si="1008"/>
        <v>0</v>
      </c>
      <c r="LI317" s="21">
        <f t="shared" si="1008"/>
        <v>0</v>
      </c>
      <c r="LJ317" s="21">
        <f t="shared" ref="LJ317:LQ317" si="1009">IF($F$290, 0, IF($H$295, IF(AND(COLUMN($LJ$317)-COLUMN($LJ$311)=$Q$291,ROW($LJ$317)-ROW($LJ$311)=$K$291), U$290, LJ317), LJ317))</f>
        <v>0</v>
      </c>
      <c r="LK317" s="21">
        <f t="shared" si="1009"/>
        <v>0</v>
      </c>
      <c r="LL317" s="21">
        <f t="shared" si="1009"/>
        <v>0</v>
      </c>
      <c r="LM317" s="21">
        <f t="shared" si="1009"/>
        <v>0</v>
      </c>
      <c r="LN317" s="21">
        <f t="shared" si="1009"/>
        <v>0</v>
      </c>
      <c r="LO317" s="21">
        <f t="shared" si="1009"/>
        <v>0</v>
      </c>
      <c r="LP317" s="21">
        <f t="shared" si="1009"/>
        <v>0</v>
      </c>
      <c r="LQ317" s="21">
        <f t="shared" si="1009"/>
        <v>0</v>
      </c>
      <c r="LR317" s="21">
        <f t="shared" ref="LR317:LY317" si="1010">IF($F$290, 0, IF($H$295, IF(AND(COLUMN($LR$317)-COLUMN($LJ$311)=$Q$291,ROW($LR$317)-ROW($LJ$311)=$K$291), U$290, LR317), LR317))</f>
        <v>0</v>
      </c>
      <c r="LS317" s="21">
        <f t="shared" si="1010"/>
        <v>0</v>
      </c>
      <c r="LT317" s="21">
        <f t="shared" si="1010"/>
        <v>0</v>
      </c>
      <c r="LU317" s="21">
        <f t="shared" si="1010"/>
        <v>0</v>
      </c>
      <c r="LV317" s="21">
        <f t="shared" si="1010"/>
        <v>0</v>
      </c>
      <c r="LW317" s="21">
        <f t="shared" si="1010"/>
        <v>0</v>
      </c>
      <c r="LX317" s="21">
        <f t="shared" si="1010"/>
        <v>0</v>
      </c>
      <c r="LY317" s="21">
        <f t="shared" si="1010"/>
        <v>0</v>
      </c>
      <c r="LZ317" s="21">
        <f t="shared" ref="LZ317:MG317" si="1011">IF($F$290, 0, IF($H$295, IF(AND(COLUMN($LZ$317)-COLUMN($LJ$311)=$Q$291,ROW($LZ$317)-ROW($LJ$311)=$K$291), U$290, LZ317), LZ317))</f>
        <v>0</v>
      </c>
      <c r="MA317" s="21">
        <f t="shared" si="1011"/>
        <v>0</v>
      </c>
      <c r="MB317" s="21">
        <f t="shared" si="1011"/>
        <v>0</v>
      </c>
      <c r="MC317" s="21">
        <f t="shared" si="1011"/>
        <v>0</v>
      </c>
      <c r="MD317" s="21">
        <f t="shared" si="1011"/>
        <v>0</v>
      </c>
      <c r="ME317" s="21">
        <f t="shared" si="1011"/>
        <v>0</v>
      </c>
      <c r="MF317" s="21">
        <f t="shared" si="1011"/>
        <v>0</v>
      </c>
      <c r="MG317" s="21">
        <f t="shared" si="1011"/>
        <v>0</v>
      </c>
      <c r="MH317" s="21">
        <f t="shared" ref="MH317:MO317" si="1012">IF($F$290, 0, IF($H$295, IF(AND(COLUMN($MH$317)-COLUMN($LJ$311)=$Q$291,ROW($MH$317)-ROW($LJ$311)=$K$291), U$290, MH317), MH317))</f>
        <v>0</v>
      </c>
      <c r="MI317" s="21">
        <f t="shared" si="1012"/>
        <v>0</v>
      </c>
      <c r="MJ317" s="21">
        <f t="shared" si="1012"/>
        <v>0</v>
      </c>
      <c r="MK317" s="21">
        <f t="shared" si="1012"/>
        <v>0</v>
      </c>
      <c r="ML317" s="21">
        <f t="shared" si="1012"/>
        <v>0</v>
      </c>
      <c r="MM317" s="21">
        <f t="shared" si="1012"/>
        <v>0</v>
      </c>
      <c r="MN317" s="21">
        <f t="shared" si="1012"/>
        <v>0</v>
      </c>
      <c r="MO317" s="21">
        <f t="shared" si="1012"/>
        <v>0</v>
      </c>
      <c r="MP317" s="21">
        <f t="shared" ref="MP317:MW317" si="1013">IF($F$290, 0, IF($H$295, IF(AND(COLUMN($MP$317)-COLUMN($LJ$311)=$Q$291,ROW($MP$317)-ROW($LJ$311)=$K$291), U$290, MP317), MP317))</f>
        <v>0</v>
      </c>
      <c r="MQ317" s="21">
        <f t="shared" si="1013"/>
        <v>0</v>
      </c>
      <c r="MR317" s="21">
        <f t="shared" si="1013"/>
        <v>0</v>
      </c>
      <c r="MS317" s="21">
        <f t="shared" si="1013"/>
        <v>0</v>
      </c>
      <c r="MT317" s="21">
        <f t="shared" si="1013"/>
        <v>0</v>
      </c>
      <c r="MU317" s="21">
        <f t="shared" si="1013"/>
        <v>0</v>
      </c>
      <c r="MV317" s="21">
        <f t="shared" si="1013"/>
        <v>0</v>
      </c>
      <c r="MW317" s="21">
        <f t="shared" si="1013"/>
        <v>0</v>
      </c>
      <c r="MX317" s="21">
        <f t="shared" ref="MX317:NE317" si="1014">IF($F$290, 0, IF($H$295, IF(AND(COLUMN($MX$317)-COLUMN($LJ$311)=$Q$291,ROW($MX$317)-ROW($LJ$311)=$K$291), U$290, MX317), MX317))</f>
        <v>0</v>
      </c>
      <c r="MY317" s="21">
        <f t="shared" si="1014"/>
        <v>0</v>
      </c>
      <c r="MZ317" s="21">
        <f t="shared" si="1014"/>
        <v>0</v>
      </c>
      <c r="NA317" s="21">
        <f t="shared" si="1014"/>
        <v>0</v>
      </c>
      <c r="NB317" s="21">
        <f t="shared" si="1014"/>
        <v>0</v>
      </c>
      <c r="NC317" s="21">
        <f t="shared" si="1014"/>
        <v>0</v>
      </c>
      <c r="ND317" s="21">
        <f t="shared" si="1014"/>
        <v>0</v>
      </c>
      <c r="NE317" s="21">
        <f t="shared" si="1014"/>
        <v>0</v>
      </c>
      <c r="NF317" s="21">
        <f t="shared" ref="NF317:NM317" si="1015">IF($F$290, 0, IF($H$295, IF(AND(COLUMN($NF$317)-COLUMN($LJ$311)=$Q$291,ROW($NF$317)-ROW($LJ$311)=$K$291), U$290, NF317), NF317))</f>
        <v>0</v>
      </c>
      <c r="NG317" s="21">
        <f t="shared" si="1015"/>
        <v>0</v>
      </c>
      <c r="NH317" s="21">
        <f t="shared" si="1015"/>
        <v>0</v>
      </c>
      <c r="NI317" s="21">
        <f t="shared" si="1015"/>
        <v>0</v>
      </c>
      <c r="NJ317" s="21">
        <f t="shared" si="1015"/>
        <v>0</v>
      </c>
      <c r="NK317" s="21">
        <f t="shared" si="1015"/>
        <v>0</v>
      </c>
      <c r="NL317" s="21">
        <f t="shared" si="1015"/>
        <v>0</v>
      </c>
      <c r="NM317" s="21">
        <f t="shared" si="1015"/>
        <v>0</v>
      </c>
      <c r="NN317" s="21">
        <f t="shared" ref="NN317:NU317" si="1016">IF($F$290, 0, IF($H$295, IF(AND(COLUMN($NN$317)-COLUMN($LJ$311)=$Q$291,ROW($NN$317)-ROW($LJ$311)=$K$291), U$290, NN317), NN317))</f>
        <v>0</v>
      </c>
      <c r="NO317" s="21">
        <f t="shared" si="1016"/>
        <v>0</v>
      </c>
      <c r="NP317" s="21">
        <f t="shared" si="1016"/>
        <v>0</v>
      </c>
      <c r="NQ317" s="21">
        <f t="shared" si="1016"/>
        <v>0</v>
      </c>
      <c r="NR317" s="21">
        <f t="shared" si="1016"/>
        <v>0</v>
      </c>
      <c r="NS317" s="21">
        <f t="shared" si="1016"/>
        <v>0</v>
      </c>
      <c r="NT317" s="21">
        <f t="shared" si="1016"/>
        <v>0</v>
      </c>
      <c r="NU317" s="21">
        <f t="shared" si="1016"/>
        <v>0</v>
      </c>
      <c r="NV317" s="21">
        <f t="shared" ref="NV317:OC317" si="1017">IF($F$290, 0, IF($I$295, IF(AND(COLUMN($NV$317)-COLUMN($NV$311)=$Q$291,ROW($NV$317)-ROW($NV$311)=$K$291), U$290, NV317), NV317))</f>
        <v>0</v>
      </c>
      <c r="NW317" s="21">
        <f t="shared" si="1017"/>
        <v>0</v>
      </c>
      <c r="NX317" s="21">
        <f t="shared" si="1017"/>
        <v>0</v>
      </c>
      <c r="NY317" s="21">
        <f t="shared" si="1017"/>
        <v>0</v>
      </c>
      <c r="NZ317" s="21">
        <f t="shared" si="1017"/>
        <v>0</v>
      </c>
      <c r="OA317" s="21">
        <f t="shared" si="1017"/>
        <v>0</v>
      </c>
      <c r="OB317" s="21">
        <f t="shared" si="1017"/>
        <v>0</v>
      </c>
      <c r="OC317" s="21">
        <f t="shared" si="1017"/>
        <v>0</v>
      </c>
      <c r="OD317" s="21">
        <f t="shared" ref="OD317:OK317" si="1018">IF($F$290, 0, IF($I$295, IF(AND(COLUMN($OD$317)-COLUMN($NV$311)=$Q$291,ROW($OD$317)-ROW($NV$311)=$K$291), U$290, OD317), OD317))</f>
        <v>0</v>
      </c>
      <c r="OE317" s="21">
        <f t="shared" si="1018"/>
        <v>0</v>
      </c>
      <c r="OF317" s="21">
        <f t="shared" si="1018"/>
        <v>0</v>
      </c>
      <c r="OG317" s="21">
        <f t="shared" si="1018"/>
        <v>0</v>
      </c>
      <c r="OH317" s="21">
        <f t="shared" si="1018"/>
        <v>0</v>
      </c>
      <c r="OI317" s="21">
        <f t="shared" si="1018"/>
        <v>0</v>
      </c>
      <c r="OJ317" s="21">
        <f t="shared" si="1018"/>
        <v>0</v>
      </c>
      <c r="OK317" s="21">
        <f t="shared" si="1018"/>
        <v>0</v>
      </c>
      <c r="OL317" s="21">
        <f t="shared" ref="OL317:OS317" si="1019">IF($F$290, 0, IF($I$295, IF(AND(COLUMN($OL$317)-COLUMN($NV$311)=$Q$291,ROW($OL$317)-ROW($NV$311)=$K$291), U$290, OL317), OL317))</f>
        <v>0</v>
      </c>
      <c r="OM317" s="21">
        <f t="shared" si="1019"/>
        <v>0</v>
      </c>
      <c r="ON317" s="21">
        <f t="shared" si="1019"/>
        <v>0</v>
      </c>
      <c r="OO317" s="21">
        <f t="shared" si="1019"/>
        <v>0</v>
      </c>
      <c r="OP317" s="21">
        <f t="shared" si="1019"/>
        <v>0</v>
      </c>
      <c r="OQ317" s="21">
        <f t="shared" si="1019"/>
        <v>0</v>
      </c>
      <c r="OR317" s="21">
        <f t="shared" si="1019"/>
        <v>0</v>
      </c>
      <c r="OS317" s="21">
        <f t="shared" si="1019"/>
        <v>0</v>
      </c>
      <c r="OT317" s="21">
        <f t="shared" ref="OT317:PA317" si="1020">IF($F$290, 0, IF($I$295, IF(AND(COLUMN($OT$317)-COLUMN($NV$311)=$Q$291,ROW($OT$317)-ROW($NV$311)=$K$291), U$290, OT317), OT317))</f>
        <v>0</v>
      </c>
      <c r="OU317" s="21">
        <f t="shared" si="1020"/>
        <v>0</v>
      </c>
      <c r="OV317" s="21">
        <f t="shared" si="1020"/>
        <v>0</v>
      </c>
      <c r="OW317" s="21">
        <f t="shared" si="1020"/>
        <v>0</v>
      </c>
      <c r="OX317" s="21">
        <f t="shared" si="1020"/>
        <v>0</v>
      </c>
      <c r="OY317" s="21">
        <f t="shared" si="1020"/>
        <v>0</v>
      </c>
      <c r="OZ317" s="21">
        <f t="shared" si="1020"/>
        <v>0</v>
      </c>
      <c r="PA317" s="21">
        <f t="shared" si="1020"/>
        <v>0</v>
      </c>
      <c r="PB317" s="21">
        <f t="shared" ref="PB317:PI317" si="1021">IF($F$290, 0, IF($I$295, IF(AND(COLUMN($PB$317)-COLUMN($NV$311)=$Q$291,ROW($PB$317)-ROW($NV$311)=$K$291), U$290, PB317), PB317))</f>
        <v>0</v>
      </c>
      <c r="PC317" s="21">
        <f t="shared" si="1021"/>
        <v>0</v>
      </c>
      <c r="PD317" s="21">
        <f t="shared" si="1021"/>
        <v>0</v>
      </c>
      <c r="PE317" s="21">
        <f t="shared" si="1021"/>
        <v>0</v>
      </c>
      <c r="PF317" s="21">
        <f t="shared" si="1021"/>
        <v>0</v>
      </c>
      <c r="PG317" s="21">
        <f t="shared" si="1021"/>
        <v>0</v>
      </c>
      <c r="PH317" s="21">
        <f t="shared" si="1021"/>
        <v>0</v>
      </c>
      <c r="PI317" s="21">
        <f t="shared" si="1021"/>
        <v>0</v>
      </c>
      <c r="PJ317" s="21">
        <f t="shared" ref="PJ317:PQ317" si="1022">IF($F$290, 0, IF($I$295, IF(AND(COLUMN($PJ$317)-COLUMN($NV$311)=$Q$291,ROW($PJ$317)-ROW($NV$311)=$K$291), U$290, PJ317), PJ317))</f>
        <v>0</v>
      </c>
      <c r="PK317" s="21">
        <f t="shared" si="1022"/>
        <v>0</v>
      </c>
      <c r="PL317" s="21">
        <f t="shared" si="1022"/>
        <v>0</v>
      </c>
      <c r="PM317" s="21">
        <f t="shared" si="1022"/>
        <v>0</v>
      </c>
      <c r="PN317" s="21">
        <f t="shared" si="1022"/>
        <v>0</v>
      </c>
      <c r="PO317" s="21">
        <f t="shared" si="1022"/>
        <v>0</v>
      </c>
      <c r="PP317" s="21">
        <f t="shared" si="1022"/>
        <v>0</v>
      </c>
      <c r="PQ317" s="21">
        <f t="shared" si="1022"/>
        <v>0</v>
      </c>
      <c r="PR317" s="21">
        <f t="shared" ref="PR317:PY317" si="1023">IF($F$290, 0, IF($I$295, IF(AND(COLUMN($PR$317)-COLUMN($NV$311)=$Q$291,ROW($PR$317)-ROW($NV$311)=$K$291), U$290, PR317), PR317))</f>
        <v>0</v>
      </c>
      <c r="PS317" s="21">
        <f t="shared" si="1023"/>
        <v>0</v>
      </c>
      <c r="PT317" s="21">
        <f t="shared" si="1023"/>
        <v>0</v>
      </c>
      <c r="PU317" s="21">
        <f t="shared" si="1023"/>
        <v>0</v>
      </c>
      <c r="PV317" s="21">
        <f t="shared" si="1023"/>
        <v>0</v>
      </c>
      <c r="PW317" s="21">
        <f t="shared" si="1023"/>
        <v>0</v>
      </c>
      <c r="PX317" s="21">
        <f t="shared" si="1023"/>
        <v>0</v>
      </c>
      <c r="PY317" s="21">
        <f t="shared" si="1023"/>
        <v>0</v>
      </c>
      <c r="PZ317" s="21">
        <f t="shared" ref="PZ317:QG317" si="1024">IF($F$290, 0, IF($I$295, IF(AND(COLUMN($PZ$317)-COLUMN($NV$311)=$Q$291,ROW($PZ$317)-ROW($NV$311)=$K$291), U$290, PZ317), PZ317))</f>
        <v>0</v>
      </c>
      <c r="QA317" s="21">
        <f t="shared" si="1024"/>
        <v>0</v>
      </c>
      <c r="QB317" s="21">
        <f t="shared" si="1024"/>
        <v>0</v>
      </c>
      <c r="QC317" s="21">
        <f t="shared" si="1024"/>
        <v>0</v>
      </c>
      <c r="QD317" s="21">
        <f t="shared" si="1024"/>
        <v>0</v>
      </c>
      <c r="QE317" s="21">
        <f t="shared" si="1024"/>
        <v>0</v>
      </c>
      <c r="QF317" s="21">
        <f t="shared" si="1024"/>
        <v>0</v>
      </c>
      <c r="QG317" s="21">
        <f t="shared" si="1024"/>
        <v>0</v>
      </c>
      <c r="QH317" s="21">
        <f t="shared" ref="QH317:QO317" si="1025">IF($F$290, 0, IF($J$295, IF(AND(COLUMN($QH$317)-COLUMN($QH$311)=$Q$291,ROW($QH$317)-ROW($QH$311)=$K$291), U$290, QH317), QH317))</f>
        <v>0</v>
      </c>
      <c r="QI317" s="21">
        <f t="shared" si="1025"/>
        <v>0</v>
      </c>
      <c r="QJ317" s="21">
        <f t="shared" si="1025"/>
        <v>0</v>
      </c>
      <c r="QK317" s="21">
        <f t="shared" si="1025"/>
        <v>0</v>
      </c>
      <c r="QL317" s="21">
        <f t="shared" si="1025"/>
        <v>0</v>
      </c>
      <c r="QM317" s="21">
        <f t="shared" si="1025"/>
        <v>0</v>
      </c>
      <c r="QN317" s="21">
        <f t="shared" si="1025"/>
        <v>0</v>
      </c>
      <c r="QO317" s="21">
        <f t="shared" si="1025"/>
        <v>0</v>
      </c>
      <c r="QP317" s="21">
        <f t="shared" ref="QP317:QW317" si="1026">IF($F$290, 0, IF($J$295, IF(AND(COLUMN($QP$317)-COLUMN($QH$311)=$Q$291,ROW($QP$317)-ROW($QH$311)=$K$291), U$290, QP317), QP317))</f>
        <v>0</v>
      </c>
      <c r="QQ317" s="21">
        <f t="shared" si="1026"/>
        <v>0</v>
      </c>
      <c r="QR317" s="21">
        <f t="shared" si="1026"/>
        <v>0</v>
      </c>
      <c r="QS317" s="21">
        <f t="shared" si="1026"/>
        <v>0</v>
      </c>
      <c r="QT317" s="21">
        <f t="shared" si="1026"/>
        <v>0</v>
      </c>
      <c r="QU317" s="21">
        <f t="shared" si="1026"/>
        <v>0</v>
      </c>
      <c r="QV317" s="21">
        <f t="shared" si="1026"/>
        <v>0</v>
      </c>
      <c r="QW317" s="21">
        <f t="shared" si="1026"/>
        <v>0</v>
      </c>
      <c r="QX317" s="21">
        <f t="shared" ref="QX317:RE317" si="1027">IF($F$290, 0, IF($J$295, IF(AND(COLUMN($QX$317)-COLUMN($QH$311)=$Q$291,ROW($QX$317)-ROW($QH$311)=$K$291), U$290, QX317), QX317))</f>
        <v>0</v>
      </c>
      <c r="QY317" s="21">
        <f t="shared" si="1027"/>
        <v>0</v>
      </c>
      <c r="QZ317" s="21">
        <f t="shared" si="1027"/>
        <v>0</v>
      </c>
      <c r="RA317" s="21">
        <f t="shared" si="1027"/>
        <v>0</v>
      </c>
      <c r="RB317" s="21">
        <f t="shared" si="1027"/>
        <v>0</v>
      </c>
      <c r="RC317" s="21">
        <f t="shared" si="1027"/>
        <v>0</v>
      </c>
      <c r="RD317" s="21">
        <f t="shared" si="1027"/>
        <v>0</v>
      </c>
      <c r="RE317" s="21">
        <f t="shared" si="1027"/>
        <v>0</v>
      </c>
      <c r="RF317" s="21">
        <f t="shared" ref="RF317:RM317" si="1028">IF($F$290, 0, IF($J$295, IF(AND(COLUMN($RF$317)-COLUMN($QH$311)=$Q$291,ROW($RF$317)-ROW($QH$311)=$K$291), U$290, RF317), RF317))</f>
        <v>0</v>
      </c>
      <c r="RG317" s="21">
        <f t="shared" si="1028"/>
        <v>0</v>
      </c>
      <c r="RH317" s="21">
        <f t="shared" si="1028"/>
        <v>0</v>
      </c>
      <c r="RI317" s="21">
        <f t="shared" si="1028"/>
        <v>0</v>
      </c>
      <c r="RJ317" s="21">
        <f t="shared" si="1028"/>
        <v>0</v>
      </c>
      <c r="RK317" s="21">
        <f t="shared" si="1028"/>
        <v>0</v>
      </c>
      <c r="RL317" s="21">
        <f t="shared" si="1028"/>
        <v>0</v>
      </c>
      <c r="RM317" s="21">
        <f t="shared" si="1028"/>
        <v>0</v>
      </c>
      <c r="RN317" s="21">
        <f t="shared" ref="RN317:RU317" si="1029">IF($F$290, 0, IF($J$295, IF(AND(COLUMN($RN$317)-COLUMN($QH$311)=$Q$291,ROW($RN$317)-ROW($QH$311)=$K$291), U$290, RN317), RN317))</f>
        <v>0</v>
      </c>
      <c r="RO317" s="21">
        <f t="shared" si="1029"/>
        <v>0</v>
      </c>
      <c r="RP317" s="21">
        <f t="shared" si="1029"/>
        <v>0</v>
      </c>
      <c r="RQ317" s="21">
        <f t="shared" si="1029"/>
        <v>0</v>
      </c>
      <c r="RR317" s="21">
        <f t="shared" si="1029"/>
        <v>0</v>
      </c>
      <c r="RS317" s="21">
        <f t="shared" si="1029"/>
        <v>0</v>
      </c>
      <c r="RT317" s="21">
        <f t="shared" si="1029"/>
        <v>0</v>
      </c>
      <c r="RU317" s="21">
        <f t="shared" si="1029"/>
        <v>0</v>
      </c>
      <c r="RV317" s="21">
        <f t="shared" ref="RV317:SC317" si="1030">IF($F$290, 0, IF($J$295, IF(AND(COLUMN($RV$317)-COLUMN($QH$311)=$Q$291,ROW($RV$317)-ROW($QH$311)=$K$291), U$290, RV317), RV317))</f>
        <v>0</v>
      </c>
      <c r="RW317" s="21">
        <f t="shared" si="1030"/>
        <v>0</v>
      </c>
      <c r="RX317" s="21">
        <f t="shared" si="1030"/>
        <v>0</v>
      </c>
      <c r="RY317" s="21">
        <f t="shared" si="1030"/>
        <v>0</v>
      </c>
      <c r="RZ317" s="21">
        <f t="shared" si="1030"/>
        <v>0</v>
      </c>
      <c r="SA317" s="21">
        <f t="shared" si="1030"/>
        <v>0</v>
      </c>
      <c r="SB317" s="21">
        <f t="shared" si="1030"/>
        <v>0</v>
      </c>
      <c r="SC317" s="21">
        <f t="shared" si="1030"/>
        <v>0</v>
      </c>
      <c r="SD317" s="21">
        <f t="shared" ref="SD317:SK317" si="1031">IF($F$290, 0, IF($J$295, IF(AND(COLUMN($SD$317)-COLUMN($QH$311)=$Q$291,ROW($SD$317)-ROW($QH$311)=$K$291), U$290, SD317), SD317))</f>
        <v>0</v>
      </c>
      <c r="SE317" s="21">
        <f t="shared" si="1031"/>
        <v>0</v>
      </c>
      <c r="SF317" s="21">
        <f t="shared" si="1031"/>
        <v>0</v>
      </c>
      <c r="SG317" s="21">
        <f t="shared" si="1031"/>
        <v>0</v>
      </c>
      <c r="SH317" s="21">
        <f t="shared" si="1031"/>
        <v>0</v>
      </c>
      <c r="SI317" s="21">
        <f t="shared" si="1031"/>
        <v>0</v>
      </c>
      <c r="SJ317" s="21">
        <f t="shared" si="1031"/>
        <v>0</v>
      </c>
      <c r="SK317" s="21">
        <f t="shared" si="1031"/>
        <v>0</v>
      </c>
      <c r="SL317" s="21">
        <f t="shared" ref="SL317:SS317" si="1032">IF($F$290, 0, IF($J$295, IF(AND(COLUMN($SL$317)-COLUMN($QH$311)=$Q$291,ROW($SL$317)-ROW($QH$311)=$K$291), U$290, SL317), SL317))</f>
        <v>0</v>
      </c>
      <c r="SM317" s="21">
        <f t="shared" si="1032"/>
        <v>0</v>
      </c>
      <c r="SN317" s="21">
        <f t="shared" si="1032"/>
        <v>0</v>
      </c>
      <c r="SO317" s="21">
        <f t="shared" si="1032"/>
        <v>0</v>
      </c>
      <c r="SP317" s="21">
        <f t="shared" si="1032"/>
        <v>0</v>
      </c>
      <c r="SQ317" s="21">
        <f t="shared" si="1032"/>
        <v>0</v>
      </c>
      <c r="SR317" s="21">
        <f t="shared" si="1032"/>
        <v>0</v>
      </c>
      <c r="SS317" s="21">
        <f t="shared" si="1032"/>
        <v>0</v>
      </c>
    </row>
    <row r="318" spans="2:513" ht="15" customHeight="1" x14ac:dyDescent="0.25">
      <c r="B318" s="21">
        <f t="shared" ref="B318:I318" si="1033">IF($F$290, 0, IF($C$295, IF(AND(COLUMN($B$318)-COLUMN($B$311)=$Q$291,ROW($B$318)-ROW($B$311)=$K$291), U$290, B318), B318))</f>
        <v>0</v>
      </c>
      <c r="C318" s="21">
        <f t="shared" si="1033"/>
        <v>0</v>
      </c>
      <c r="D318" s="21">
        <f t="shared" si="1033"/>
        <v>0</v>
      </c>
      <c r="E318" s="21">
        <f t="shared" si="1033"/>
        <v>0</v>
      </c>
      <c r="F318" s="21">
        <f t="shared" si="1033"/>
        <v>0</v>
      </c>
      <c r="G318" s="21">
        <f t="shared" si="1033"/>
        <v>0</v>
      </c>
      <c r="H318" s="21">
        <f t="shared" si="1033"/>
        <v>0</v>
      </c>
      <c r="I318" s="21">
        <f t="shared" si="1033"/>
        <v>0</v>
      </c>
      <c r="J318" s="21">
        <f t="shared" ref="J318:Q318" si="1034">IF($F$290, 0, IF($C$295, IF(AND(COLUMN($J$318)-COLUMN($B$311)=$Q$291,ROW($J$318)-ROW($B$311)=$K$291), U$290, J318), J318))</f>
        <v>0</v>
      </c>
      <c r="K318" s="21">
        <f t="shared" si="1034"/>
        <v>0</v>
      </c>
      <c r="L318" s="21">
        <f t="shared" si="1034"/>
        <v>0</v>
      </c>
      <c r="M318" s="21">
        <f t="shared" si="1034"/>
        <v>0</v>
      </c>
      <c r="N318" s="21">
        <f t="shared" si="1034"/>
        <v>0</v>
      </c>
      <c r="O318" s="21">
        <f t="shared" si="1034"/>
        <v>0</v>
      </c>
      <c r="P318" s="21">
        <f t="shared" si="1034"/>
        <v>0</v>
      </c>
      <c r="Q318" s="21">
        <f t="shared" si="1034"/>
        <v>0</v>
      </c>
      <c r="R318" s="21">
        <f>IF($F$290, 0, IF($C$295, IF(AND(COLUMN($R$318)-COLUMN($B$311)=$Q$291,ROW($R$318)-ROW($B$311)=$K$291), U$290, R318), R318))</f>
        <v>0</v>
      </c>
      <c r="S318" s="21">
        <f t="shared" ref="S318:Y318" si="1035">IF($F$290, 0, IF($C$295, IF(AND(COLUMN($R$318)-COLUMN($B$311)=$Q$291,ROW($R$318)-ROW($B$311)=$K$291), V$290, S318), S318))</f>
        <v>0</v>
      </c>
      <c r="T318" s="21">
        <f t="shared" si="1035"/>
        <v>0</v>
      </c>
      <c r="U318" s="21">
        <f t="shared" si="1035"/>
        <v>0</v>
      </c>
      <c r="V318" s="21">
        <f t="shared" si="1035"/>
        <v>0</v>
      </c>
      <c r="W318" s="21">
        <f t="shared" si="1035"/>
        <v>0</v>
      </c>
      <c r="X318" s="21">
        <f t="shared" si="1035"/>
        <v>0</v>
      </c>
      <c r="Y318" s="21">
        <f t="shared" si="1035"/>
        <v>0</v>
      </c>
      <c r="Z318" s="21">
        <f t="shared" ref="Z318:AG318" si="1036">IF($F$290, 0, IF($C$295, IF(AND(COLUMN($Z$318)-COLUMN($B$311)=$Q$291,ROW($Z$318)-ROW($B$311)=$K$291), U$290, Z318), Z318))</f>
        <v>0</v>
      </c>
      <c r="AA318" s="21">
        <f t="shared" si="1036"/>
        <v>0</v>
      </c>
      <c r="AB318" s="21">
        <f t="shared" si="1036"/>
        <v>0</v>
      </c>
      <c r="AC318" s="21">
        <f t="shared" si="1036"/>
        <v>0</v>
      </c>
      <c r="AD318" s="21">
        <f t="shared" si="1036"/>
        <v>0</v>
      </c>
      <c r="AE318" s="21">
        <f t="shared" si="1036"/>
        <v>0</v>
      </c>
      <c r="AF318" s="21">
        <f t="shared" si="1036"/>
        <v>0</v>
      </c>
      <c r="AG318" s="21">
        <f t="shared" si="1036"/>
        <v>0</v>
      </c>
      <c r="AH318" s="21">
        <f t="shared" ref="AH318:AO318" si="1037">IF($F$290, 0, IF($C$295, IF(AND(COLUMN($AH$318)-COLUMN($B$311)=$Q$291,ROW($AH$318)-ROW($B$311)=$K$291), U$290, AH318), AH318))</f>
        <v>0</v>
      </c>
      <c r="AI318" s="21">
        <f t="shared" si="1037"/>
        <v>0</v>
      </c>
      <c r="AJ318" s="21">
        <f t="shared" si="1037"/>
        <v>0</v>
      </c>
      <c r="AK318" s="21">
        <f t="shared" si="1037"/>
        <v>0</v>
      </c>
      <c r="AL318" s="21">
        <f t="shared" si="1037"/>
        <v>0</v>
      </c>
      <c r="AM318" s="21">
        <f t="shared" si="1037"/>
        <v>0</v>
      </c>
      <c r="AN318" s="21">
        <f t="shared" si="1037"/>
        <v>0</v>
      </c>
      <c r="AO318" s="21">
        <f t="shared" si="1037"/>
        <v>0</v>
      </c>
      <c r="AP318" s="21">
        <f t="shared" ref="AP318:AW318" si="1038">IF($F$290, 0, IF($C$295, IF(AND(COLUMN($AP$318)-COLUMN($B$311)=$Q$291,ROW($AP$318)-ROW($B$311)=$K$291), U$290, AP318), AP318))</f>
        <v>0</v>
      </c>
      <c r="AQ318" s="21">
        <f t="shared" si="1038"/>
        <v>0</v>
      </c>
      <c r="AR318" s="21">
        <f t="shared" si="1038"/>
        <v>0</v>
      </c>
      <c r="AS318" s="21">
        <f t="shared" si="1038"/>
        <v>0</v>
      </c>
      <c r="AT318" s="21">
        <f t="shared" si="1038"/>
        <v>0</v>
      </c>
      <c r="AU318" s="21">
        <f t="shared" si="1038"/>
        <v>0</v>
      </c>
      <c r="AV318" s="21">
        <f t="shared" si="1038"/>
        <v>0</v>
      </c>
      <c r="AW318" s="21">
        <f t="shared" si="1038"/>
        <v>0</v>
      </c>
      <c r="AX318" s="21">
        <f t="shared" ref="AX318:BE318" si="1039">IF($F$290, 0, IF($C$295, IF(AND(COLUMN($AX$318)-COLUMN($B$311)=$Q$291,ROW($AX$318)-ROW($B$311)=$K$291), U$290, AX318), AX318))</f>
        <v>0</v>
      </c>
      <c r="AY318" s="21">
        <f t="shared" si="1039"/>
        <v>0</v>
      </c>
      <c r="AZ318" s="21">
        <f t="shared" si="1039"/>
        <v>0</v>
      </c>
      <c r="BA318" s="21">
        <f t="shared" si="1039"/>
        <v>0</v>
      </c>
      <c r="BB318" s="21">
        <f t="shared" si="1039"/>
        <v>0</v>
      </c>
      <c r="BC318" s="21">
        <f t="shared" si="1039"/>
        <v>0</v>
      </c>
      <c r="BD318" s="21">
        <f t="shared" si="1039"/>
        <v>0</v>
      </c>
      <c r="BE318" s="21">
        <f t="shared" si="1039"/>
        <v>0</v>
      </c>
      <c r="BF318" s="21">
        <f t="shared" ref="BF318:BM318" si="1040">IF($F$290, 0, IF($C$295, IF(AND(COLUMN($BF$318)-COLUMN($B$311)=$Q$291,ROW($BF$318)-ROW($B$311)=$K$291), U$290, BF318), BF318))</f>
        <v>0</v>
      </c>
      <c r="BG318" s="21">
        <f t="shared" si="1040"/>
        <v>0</v>
      </c>
      <c r="BH318" s="21">
        <f t="shared" si="1040"/>
        <v>0</v>
      </c>
      <c r="BI318" s="21">
        <f t="shared" si="1040"/>
        <v>0</v>
      </c>
      <c r="BJ318" s="21">
        <f t="shared" si="1040"/>
        <v>0</v>
      </c>
      <c r="BK318" s="21">
        <f t="shared" si="1040"/>
        <v>0</v>
      </c>
      <c r="BL318" s="21">
        <f t="shared" si="1040"/>
        <v>0</v>
      </c>
      <c r="BM318" s="21">
        <f t="shared" si="1040"/>
        <v>0</v>
      </c>
      <c r="BN318" s="21">
        <f t="shared" ref="BN318:BU318" si="1041">IF($F$290, 0, IF($D$295, IF(AND(COLUMN($BN$318)-COLUMN($BN$311)=$Q$291,ROW($BN$318)-ROW($BN$311)=$K$291), U$290, BN318), BN318))</f>
        <v>0</v>
      </c>
      <c r="BO318" s="21">
        <f t="shared" si="1041"/>
        <v>0</v>
      </c>
      <c r="BP318" s="21">
        <f t="shared" si="1041"/>
        <v>0</v>
      </c>
      <c r="BQ318" s="21">
        <f t="shared" si="1041"/>
        <v>0</v>
      </c>
      <c r="BR318" s="21">
        <f t="shared" si="1041"/>
        <v>0</v>
      </c>
      <c r="BS318" s="21">
        <f t="shared" si="1041"/>
        <v>0</v>
      </c>
      <c r="BT318" s="21">
        <f t="shared" si="1041"/>
        <v>0</v>
      </c>
      <c r="BU318" s="21">
        <f t="shared" si="1041"/>
        <v>0</v>
      </c>
      <c r="BV318" s="21">
        <f t="shared" ref="BV318:CC318" si="1042">IF($F$290, 0, IF($D$295, IF(AND(COLUMN($BV$318)-COLUMN($BN$311)=$Q$291,ROW($BV$318)-ROW($BN$311)=$K$291), U$290, BV318), BV318))</f>
        <v>0</v>
      </c>
      <c r="BW318" s="21">
        <f t="shared" si="1042"/>
        <v>0</v>
      </c>
      <c r="BX318" s="21">
        <f t="shared" si="1042"/>
        <v>0</v>
      </c>
      <c r="BY318" s="21">
        <f t="shared" si="1042"/>
        <v>0</v>
      </c>
      <c r="BZ318" s="21">
        <f t="shared" si="1042"/>
        <v>0</v>
      </c>
      <c r="CA318" s="21">
        <f t="shared" si="1042"/>
        <v>0</v>
      </c>
      <c r="CB318" s="21">
        <f t="shared" si="1042"/>
        <v>0</v>
      </c>
      <c r="CC318" s="21">
        <f t="shared" si="1042"/>
        <v>0</v>
      </c>
      <c r="CD318" s="21">
        <f t="shared" ref="CD318:CK318" si="1043">IF($F$290, 0, IF($D$295, IF(AND(COLUMN($CD$318)-COLUMN($BN$311)=$Q$291,ROW($CD$318)-ROW($BN$311)=$K$291), U$290, CD318), CD318))</f>
        <v>0</v>
      </c>
      <c r="CE318" s="21">
        <f t="shared" si="1043"/>
        <v>0</v>
      </c>
      <c r="CF318" s="21">
        <f t="shared" si="1043"/>
        <v>0</v>
      </c>
      <c r="CG318" s="21">
        <f t="shared" si="1043"/>
        <v>0</v>
      </c>
      <c r="CH318" s="21">
        <f t="shared" si="1043"/>
        <v>0</v>
      </c>
      <c r="CI318" s="21">
        <f t="shared" si="1043"/>
        <v>0</v>
      </c>
      <c r="CJ318" s="21">
        <f t="shared" si="1043"/>
        <v>0</v>
      </c>
      <c r="CK318" s="21">
        <f t="shared" si="1043"/>
        <v>0</v>
      </c>
      <c r="CL318" s="21">
        <f t="shared" ref="CL318:CS318" si="1044">IF($F$290, 0, IF($D$295, IF(AND(COLUMN($CL$318)-COLUMN($BN$311)=$Q$291,ROW($CL$318)-ROW($BN$311)=$K$291), U$290, CL318), CL318))</f>
        <v>0</v>
      </c>
      <c r="CM318" s="21">
        <f t="shared" si="1044"/>
        <v>0</v>
      </c>
      <c r="CN318" s="21">
        <f t="shared" si="1044"/>
        <v>0</v>
      </c>
      <c r="CO318" s="21">
        <f t="shared" si="1044"/>
        <v>0</v>
      </c>
      <c r="CP318" s="21">
        <f t="shared" si="1044"/>
        <v>0</v>
      </c>
      <c r="CQ318" s="21">
        <f t="shared" si="1044"/>
        <v>0</v>
      </c>
      <c r="CR318" s="21">
        <f t="shared" si="1044"/>
        <v>0</v>
      </c>
      <c r="CS318" s="21">
        <f t="shared" si="1044"/>
        <v>0</v>
      </c>
      <c r="CT318" s="21">
        <f t="shared" ref="CT318:DA318" si="1045">IF($F$290, 0, IF($D$295, IF(AND(COLUMN($CT$318)-COLUMN($BN$311)=$Q$291,ROW($CT$318)-ROW($BN$311)=$K$291), U$290, CT318), CT318))</f>
        <v>0</v>
      </c>
      <c r="CU318" s="21">
        <f t="shared" si="1045"/>
        <v>0</v>
      </c>
      <c r="CV318" s="21">
        <f t="shared" si="1045"/>
        <v>0</v>
      </c>
      <c r="CW318" s="21">
        <f t="shared" si="1045"/>
        <v>0</v>
      </c>
      <c r="CX318" s="21">
        <f t="shared" si="1045"/>
        <v>0</v>
      </c>
      <c r="CY318" s="21">
        <f t="shared" si="1045"/>
        <v>0</v>
      </c>
      <c r="CZ318" s="21">
        <f t="shared" si="1045"/>
        <v>0</v>
      </c>
      <c r="DA318" s="21">
        <f t="shared" si="1045"/>
        <v>0</v>
      </c>
      <c r="DB318" s="21">
        <f t="shared" ref="DB318:DI318" si="1046">IF($F$290, 0, IF($D$295, IF(AND(COLUMN($DB$318)-COLUMN($BN$311)=$Q$291,ROW($DB$318)-ROW($BN$311)=$K$291), U$290, DB318), DB318))</f>
        <v>0</v>
      </c>
      <c r="DC318" s="21">
        <f t="shared" si="1046"/>
        <v>0</v>
      </c>
      <c r="DD318" s="21">
        <f t="shared" si="1046"/>
        <v>0</v>
      </c>
      <c r="DE318" s="21">
        <f t="shared" si="1046"/>
        <v>0</v>
      </c>
      <c r="DF318" s="21">
        <f t="shared" si="1046"/>
        <v>0</v>
      </c>
      <c r="DG318" s="21">
        <f t="shared" si="1046"/>
        <v>0</v>
      </c>
      <c r="DH318" s="21">
        <f t="shared" si="1046"/>
        <v>0</v>
      </c>
      <c r="DI318" s="21">
        <f t="shared" si="1046"/>
        <v>0</v>
      </c>
      <c r="DJ318" s="21">
        <f t="shared" ref="DJ318:DQ318" si="1047">IF($F$290, 0, IF($D$295, IF(AND(COLUMN($DJ$318)-COLUMN($BN$311)=$Q$291,ROW($DJ$318)-ROW($BN$311)=$K$291), U$290, DJ318), DJ318))</f>
        <v>0</v>
      </c>
      <c r="DK318" s="21">
        <f t="shared" si="1047"/>
        <v>0</v>
      </c>
      <c r="DL318" s="21">
        <f t="shared" si="1047"/>
        <v>0</v>
      </c>
      <c r="DM318" s="21">
        <f t="shared" si="1047"/>
        <v>0</v>
      </c>
      <c r="DN318" s="21">
        <f t="shared" si="1047"/>
        <v>0</v>
      </c>
      <c r="DO318" s="21">
        <f t="shared" si="1047"/>
        <v>0</v>
      </c>
      <c r="DP318" s="21">
        <f t="shared" si="1047"/>
        <v>0</v>
      </c>
      <c r="DQ318" s="21">
        <f t="shared" si="1047"/>
        <v>0</v>
      </c>
      <c r="DR318" s="21">
        <f t="shared" ref="DR318:DY318" si="1048">IF($F$290, 0, IF($D$295, IF(AND(COLUMN($DR$318)-COLUMN($BN$311)=$Q$291,ROW($DR$318)-ROW($BN$311)=$K$291), U$290, DR318), DR318))</f>
        <v>0</v>
      </c>
      <c r="DS318" s="21">
        <f t="shared" si="1048"/>
        <v>0</v>
      </c>
      <c r="DT318" s="21">
        <f t="shared" si="1048"/>
        <v>0</v>
      </c>
      <c r="DU318" s="21">
        <f t="shared" si="1048"/>
        <v>0</v>
      </c>
      <c r="DV318" s="21">
        <f t="shared" si="1048"/>
        <v>0</v>
      </c>
      <c r="DW318" s="21">
        <f t="shared" si="1048"/>
        <v>0</v>
      </c>
      <c r="DX318" s="21">
        <f t="shared" si="1048"/>
        <v>0</v>
      </c>
      <c r="DY318" s="21">
        <f t="shared" si="1048"/>
        <v>0</v>
      </c>
      <c r="DZ318" s="21">
        <f t="shared" ref="DZ318:EG318" si="1049">IF($F$290, 0, IF($E$295, IF(AND(COLUMN($DZ$318)-COLUMN($DZ$311)=$Q$291,ROW($DZ$318)-ROW($DZ$311)=$K$291), U$290, DZ318), DZ318))</f>
        <v>0</v>
      </c>
      <c r="EA318" s="21">
        <f t="shared" si="1049"/>
        <v>0</v>
      </c>
      <c r="EB318" s="21">
        <f t="shared" si="1049"/>
        <v>0</v>
      </c>
      <c r="EC318" s="21">
        <f t="shared" si="1049"/>
        <v>0</v>
      </c>
      <c r="ED318" s="21">
        <f t="shared" si="1049"/>
        <v>0</v>
      </c>
      <c r="EE318" s="21">
        <f t="shared" si="1049"/>
        <v>0</v>
      </c>
      <c r="EF318" s="21">
        <f t="shared" si="1049"/>
        <v>0</v>
      </c>
      <c r="EG318" s="21">
        <f t="shared" si="1049"/>
        <v>0</v>
      </c>
      <c r="EH318" s="21">
        <f t="shared" ref="EH318:EO318" si="1050">IF($F$290, 0, IF($E$295, IF(AND(COLUMN($EH$318)-COLUMN($DZ$311)=$Q$291,ROW($EH$318)-ROW($DZ$311)=$K$291), U$290, EH318), EH318))</f>
        <v>0</v>
      </c>
      <c r="EI318" s="21">
        <f t="shared" si="1050"/>
        <v>0</v>
      </c>
      <c r="EJ318" s="21">
        <f t="shared" si="1050"/>
        <v>0</v>
      </c>
      <c r="EK318" s="21">
        <f t="shared" si="1050"/>
        <v>0</v>
      </c>
      <c r="EL318" s="21">
        <f t="shared" si="1050"/>
        <v>0</v>
      </c>
      <c r="EM318" s="21">
        <f t="shared" si="1050"/>
        <v>0</v>
      </c>
      <c r="EN318" s="21">
        <f t="shared" si="1050"/>
        <v>0</v>
      </c>
      <c r="EO318" s="21">
        <f t="shared" si="1050"/>
        <v>0</v>
      </c>
      <c r="EP318" s="21">
        <f t="shared" ref="EP318:EW318" si="1051">IF($F$290, 0, IF($E$295, IF(AND(COLUMN($EP$318)-COLUMN($DZ$311)=$Q$291,ROW($EP$318)-ROW($DZ$311)=$K$291), U$290, EP318), EP318))</f>
        <v>0</v>
      </c>
      <c r="EQ318" s="21">
        <f t="shared" si="1051"/>
        <v>0</v>
      </c>
      <c r="ER318" s="21">
        <f t="shared" si="1051"/>
        <v>0</v>
      </c>
      <c r="ES318" s="21">
        <f t="shared" si="1051"/>
        <v>0</v>
      </c>
      <c r="ET318" s="21">
        <f t="shared" si="1051"/>
        <v>0</v>
      </c>
      <c r="EU318" s="21">
        <f t="shared" si="1051"/>
        <v>0</v>
      </c>
      <c r="EV318" s="21">
        <f t="shared" si="1051"/>
        <v>0</v>
      </c>
      <c r="EW318" s="21">
        <f t="shared" si="1051"/>
        <v>0</v>
      </c>
      <c r="EX318" s="21">
        <f t="shared" ref="EX318:FE318" si="1052">IF($F$290, 0, IF($E$295, IF(AND(COLUMN($EX$318)-COLUMN($DZ$311)=$Q$291,ROW($EX$318)-ROW($DZ$311)=$K$291), U$290, EX318), EX318))</f>
        <v>0</v>
      </c>
      <c r="EY318" s="21">
        <f t="shared" si="1052"/>
        <v>0</v>
      </c>
      <c r="EZ318" s="21">
        <f t="shared" si="1052"/>
        <v>0</v>
      </c>
      <c r="FA318" s="21">
        <f t="shared" si="1052"/>
        <v>0</v>
      </c>
      <c r="FB318" s="21">
        <f t="shared" si="1052"/>
        <v>0</v>
      </c>
      <c r="FC318" s="21">
        <f t="shared" si="1052"/>
        <v>0</v>
      </c>
      <c r="FD318" s="21">
        <f t="shared" si="1052"/>
        <v>0</v>
      </c>
      <c r="FE318" s="21">
        <f t="shared" si="1052"/>
        <v>0</v>
      </c>
      <c r="FF318" s="21">
        <f t="shared" ref="FF318:FM318" si="1053">IF($F$290, 0, IF($E$295, IF(AND(COLUMN($FF$318)-COLUMN($DZ$311)=$Q$291,ROW($FF$318)-ROW($DZ$311)=$K$291), U$290, FF318), FF318))</f>
        <v>0</v>
      </c>
      <c r="FG318" s="21">
        <f t="shared" si="1053"/>
        <v>0</v>
      </c>
      <c r="FH318" s="21">
        <f t="shared" si="1053"/>
        <v>0</v>
      </c>
      <c r="FI318" s="21">
        <f t="shared" si="1053"/>
        <v>0</v>
      </c>
      <c r="FJ318" s="21">
        <f t="shared" si="1053"/>
        <v>0</v>
      </c>
      <c r="FK318" s="21">
        <f t="shared" si="1053"/>
        <v>0</v>
      </c>
      <c r="FL318" s="21">
        <f t="shared" si="1053"/>
        <v>0</v>
      </c>
      <c r="FM318" s="21">
        <f t="shared" si="1053"/>
        <v>0</v>
      </c>
      <c r="FN318" s="21">
        <f t="shared" ref="FN318:FU318" si="1054">IF($F$290, 0, IF($E$295, IF(AND(COLUMN($FN$318)-COLUMN($DZ$311)=$Q$291,ROW($FN$318)-ROW($DZ$311)=$K$291), U$290, FN318), FN318))</f>
        <v>0</v>
      </c>
      <c r="FO318" s="21">
        <f t="shared" si="1054"/>
        <v>0</v>
      </c>
      <c r="FP318" s="21">
        <f t="shared" si="1054"/>
        <v>0</v>
      </c>
      <c r="FQ318" s="21">
        <f t="shared" si="1054"/>
        <v>0</v>
      </c>
      <c r="FR318" s="21">
        <f t="shared" si="1054"/>
        <v>0</v>
      </c>
      <c r="FS318" s="21">
        <f t="shared" si="1054"/>
        <v>0</v>
      </c>
      <c r="FT318" s="21">
        <f t="shared" si="1054"/>
        <v>0</v>
      </c>
      <c r="FU318" s="21">
        <f t="shared" si="1054"/>
        <v>0</v>
      </c>
      <c r="FV318" s="21">
        <f t="shared" ref="FV318:GC318" si="1055">IF($F$290, 0, IF($E$295, IF(AND(COLUMN($FV$318)-COLUMN($DZ$311)=$Q$291,ROW($FV$318)-ROW($DZ$311)=$K$291), U$290, FV318), FV318))</f>
        <v>0</v>
      </c>
      <c r="FW318" s="21">
        <f t="shared" si="1055"/>
        <v>0</v>
      </c>
      <c r="FX318" s="21">
        <f t="shared" si="1055"/>
        <v>0</v>
      </c>
      <c r="FY318" s="21">
        <f t="shared" si="1055"/>
        <v>0</v>
      </c>
      <c r="FZ318" s="21">
        <f t="shared" si="1055"/>
        <v>0</v>
      </c>
      <c r="GA318" s="21">
        <f t="shared" si="1055"/>
        <v>0</v>
      </c>
      <c r="GB318" s="21">
        <f t="shared" si="1055"/>
        <v>0</v>
      </c>
      <c r="GC318" s="21">
        <f t="shared" si="1055"/>
        <v>0</v>
      </c>
      <c r="GD318" s="21">
        <f t="shared" ref="GD318:GK318" si="1056">IF($F$290, 0, IF($E$295, IF(AND(COLUMN($GD$318)-COLUMN($DZ$311)=$Q$291,ROW($GD$318)-ROW($DZ$311)=$K$291), U$290, GD318), GD318))</f>
        <v>0</v>
      </c>
      <c r="GE318" s="21">
        <f t="shared" si="1056"/>
        <v>0</v>
      </c>
      <c r="GF318" s="21">
        <f t="shared" si="1056"/>
        <v>0</v>
      </c>
      <c r="GG318" s="21">
        <f t="shared" si="1056"/>
        <v>0</v>
      </c>
      <c r="GH318" s="21">
        <f t="shared" si="1056"/>
        <v>0</v>
      </c>
      <c r="GI318" s="21">
        <f t="shared" si="1056"/>
        <v>0</v>
      </c>
      <c r="GJ318" s="21">
        <f t="shared" si="1056"/>
        <v>0</v>
      </c>
      <c r="GK318" s="21">
        <f t="shared" si="1056"/>
        <v>0</v>
      </c>
      <c r="GL318" s="21">
        <f t="shared" ref="GL318:GS318" si="1057">IF($F$290, 0, IF($F$295, IF(AND(COLUMN($GL$318)-COLUMN($GL$311)=$Q$291,ROW($GL$318)-ROW($GL$311)=$K$291), U$290, GL318), GL318))</f>
        <v>0</v>
      </c>
      <c r="GM318" s="21">
        <f t="shared" si="1057"/>
        <v>0</v>
      </c>
      <c r="GN318" s="21">
        <f t="shared" si="1057"/>
        <v>0</v>
      </c>
      <c r="GO318" s="21">
        <f t="shared" si="1057"/>
        <v>0</v>
      </c>
      <c r="GP318" s="21">
        <f t="shared" si="1057"/>
        <v>0</v>
      </c>
      <c r="GQ318" s="21">
        <f t="shared" si="1057"/>
        <v>0</v>
      </c>
      <c r="GR318" s="21">
        <f t="shared" si="1057"/>
        <v>0</v>
      </c>
      <c r="GS318" s="21">
        <f t="shared" si="1057"/>
        <v>0</v>
      </c>
      <c r="GT318" s="21">
        <f t="shared" ref="GT318:HA318" si="1058">IF($F$290, 0, IF($F$295, IF(AND(COLUMN($GT$318)-COLUMN($GL$311)=$Q$291,ROW($GT$318)-ROW($GL$311)=$K$291), U$290, GT318), GT318))</f>
        <v>0</v>
      </c>
      <c r="GU318" s="21">
        <f t="shared" si="1058"/>
        <v>0</v>
      </c>
      <c r="GV318" s="21">
        <f t="shared" si="1058"/>
        <v>0</v>
      </c>
      <c r="GW318" s="21">
        <f t="shared" si="1058"/>
        <v>0</v>
      </c>
      <c r="GX318" s="21">
        <f t="shared" si="1058"/>
        <v>0</v>
      </c>
      <c r="GY318" s="21">
        <f t="shared" si="1058"/>
        <v>0</v>
      </c>
      <c r="GZ318" s="21">
        <f t="shared" si="1058"/>
        <v>0</v>
      </c>
      <c r="HA318" s="21">
        <f t="shared" si="1058"/>
        <v>0</v>
      </c>
      <c r="HB318" s="21">
        <f t="shared" ref="HB318:HI318" si="1059">IF($F$290, 0, IF($F$295, IF(AND(COLUMN($HB$318)-COLUMN($GL$311)=$Q$291,ROW($HB$318)-ROW($GL$311)=$K$291), U$290, HB318), HB318))</f>
        <v>0</v>
      </c>
      <c r="HC318" s="21">
        <f t="shared" si="1059"/>
        <v>0</v>
      </c>
      <c r="HD318" s="21">
        <f t="shared" si="1059"/>
        <v>0</v>
      </c>
      <c r="HE318" s="21">
        <f t="shared" si="1059"/>
        <v>0</v>
      </c>
      <c r="HF318" s="21">
        <f t="shared" si="1059"/>
        <v>0</v>
      </c>
      <c r="HG318" s="21">
        <f t="shared" si="1059"/>
        <v>0</v>
      </c>
      <c r="HH318" s="21">
        <f t="shared" si="1059"/>
        <v>0</v>
      </c>
      <c r="HI318" s="21">
        <f t="shared" si="1059"/>
        <v>0</v>
      </c>
      <c r="HJ318" s="21">
        <f t="shared" ref="HJ318:HQ318" si="1060">IF($F$290, 0, IF($F$295, IF(AND(COLUMN($HJ$318)-COLUMN($GL$311)=$Q$291,ROW($HJ$318)-ROW($GL$311)=$K$291), U$290, HJ318), HJ318))</f>
        <v>0</v>
      </c>
      <c r="HK318" s="21">
        <f t="shared" si="1060"/>
        <v>0</v>
      </c>
      <c r="HL318" s="21">
        <f t="shared" si="1060"/>
        <v>0</v>
      </c>
      <c r="HM318" s="21">
        <f t="shared" si="1060"/>
        <v>0</v>
      </c>
      <c r="HN318" s="21">
        <f t="shared" si="1060"/>
        <v>0</v>
      </c>
      <c r="HO318" s="21">
        <f t="shared" si="1060"/>
        <v>0</v>
      </c>
      <c r="HP318" s="21">
        <f t="shared" si="1060"/>
        <v>0</v>
      </c>
      <c r="HQ318" s="21">
        <f t="shared" si="1060"/>
        <v>0</v>
      </c>
      <c r="HR318" s="21">
        <f t="shared" ref="HR318:HY318" si="1061">IF($F$290, 0, IF($F$295, IF(AND(COLUMN($HR$318)-COLUMN($GL$311)=$Q$291,ROW($HR$318)-ROW($GL$311)=$K$291), U$290, HR318), HR318))</f>
        <v>0</v>
      </c>
      <c r="HS318" s="21">
        <f t="shared" si="1061"/>
        <v>0</v>
      </c>
      <c r="HT318" s="21">
        <f t="shared" si="1061"/>
        <v>0</v>
      </c>
      <c r="HU318" s="21">
        <f t="shared" si="1061"/>
        <v>0</v>
      </c>
      <c r="HV318" s="21">
        <f t="shared" si="1061"/>
        <v>0</v>
      </c>
      <c r="HW318" s="21">
        <f t="shared" si="1061"/>
        <v>0</v>
      </c>
      <c r="HX318" s="21">
        <f t="shared" si="1061"/>
        <v>0</v>
      </c>
      <c r="HY318" s="21">
        <f t="shared" si="1061"/>
        <v>0</v>
      </c>
      <c r="HZ318" s="21">
        <f t="shared" ref="HZ318:IG318" si="1062">IF($F$290, 0, IF($F$295, IF(AND(COLUMN($HZ$318)-COLUMN($GL$311)=$Q$291,ROW($HZ$318)-ROW($GL$311)=$K$291), U$290, HZ318), HZ318))</f>
        <v>0</v>
      </c>
      <c r="IA318" s="21">
        <f t="shared" si="1062"/>
        <v>0</v>
      </c>
      <c r="IB318" s="21">
        <f t="shared" si="1062"/>
        <v>0</v>
      </c>
      <c r="IC318" s="21">
        <f t="shared" si="1062"/>
        <v>0</v>
      </c>
      <c r="ID318" s="21">
        <f t="shared" si="1062"/>
        <v>0</v>
      </c>
      <c r="IE318" s="21">
        <f t="shared" si="1062"/>
        <v>0</v>
      </c>
      <c r="IF318" s="21">
        <f t="shared" si="1062"/>
        <v>0</v>
      </c>
      <c r="IG318" s="21">
        <f t="shared" si="1062"/>
        <v>0</v>
      </c>
      <c r="IH318" s="21">
        <f t="shared" ref="IH318:IO318" si="1063">IF($F$290, 0, IF($F$295, IF(AND(COLUMN($IH$318)-COLUMN($GL$311)=$Q$291,ROW($IH$318)-ROW($GL$311)=$K$291), U$290, IH318), IH318))</f>
        <v>0</v>
      </c>
      <c r="II318" s="21">
        <f t="shared" si="1063"/>
        <v>0</v>
      </c>
      <c r="IJ318" s="21">
        <f t="shared" si="1063"/>
        <v>0</v>
      </c>
      <c r="IK318" s="21">
        <f t="shared" si="1063"/>
        <v>0</v>
      </c>
      <c r="IL318" s="21">
        <f t="shared" si="1063"/>
        <v>0</v>
      </c>
      <c r="IM318" s="21">
        <f t="shared" si="1063"/>
        <v>0</v>
      </c>
      <c r="IN318" s="21">
        <f t="shared" si="1063"/>
        <v>0</v>
      </c>
      <c r="IO318" s="21">
        <f t="shared" si="1063"/>
        <v>0</v>
      </c>
      <c r="IP318" s="21">
        <f t="shared" ref="IP318:IW318" si="1064">IF($F$290, 0, IF($F$295, IF(AND(COLUMN($IP$318)-COLUMN($GL$311)=$Q$291,ROW($IP$318)-ROW($GL$311)=$K$291), U$290, IP318), IP318))</f>
        <v>0</v>
      </c>
      <c r="IQ318" s="21">
        <f t="shared" si="1064"/>
        <v>0</v>
      </c>
      <c r="IR318" s="21">
        <f t="shared" si="1064"/>
        <v>0</v>
      </c>
      <c r="IS318" s="21">
        <f t="shared" si="1064"/>
        <v>0</v>
      </c>
      <c r="IT318" s="21">
        <f t="shared" si="1064"/>
        <v>0</v>
      </c>
      <c r="IU318" s="21">
        <f t="shared" si="1064"/>
        <v>0</v>
      </c>
      <c r="IV318" s="21">
        <f t="shared" si="1064"/>
        <v>0</v>
      </c>
      <c r="IW318" s="21">
        <f t="shared" si="1064"/>
        <v>0</v>
      </c>
      <c r="IX318" s="21">
        <f t="shared" ref="IX318:JE318" si="1065">IF($F$290, 0, IF($G$295, IF(AND(COLUMN($IX$318)-COLUMN($IX$311)=$Q$291,ROW($IX$318)-ROW($IX$311)=$K$291), U$290, IX318), IX318))</f>
        <v>0</v>
      </c>
      <c r="IY318" s="21">
        <f t="shared" si="1065"/>
        <v>0</v>
      </c>
      <c r="IZ318" s="21">
        <f t="shared" si="1065"/>
        <v>0</v>
      </c>
      <c r="JA318" s="21">
        <f t="shared" si="1065"/>
        <v>0</v>
      </c>
      <c r="JB318" s="21">
        <f t="shared" si="1065"/>
        <v>0</v>
      </c>
      <c r="JC318" s="21">
        <f t="shared" si="1065"/>
        <v>0</v>
      </c>
      <c r="JD318" s="21">
        <f t="shared" si="1065"/>
        <v>0</v>
      </c>
      <c r="JE318" s="21">
        <f t="shared" si="1065"/>
        <v>0</v>
      </c>
      <c r="JF318" s="21">
        <f t="shared" ref="JF318:JM318" si="1066">IF($F$290, 0, IF($G$295, IF(AND(COLUMN($JF$318)-COLUMN($IX$311)=$Q$291,ROW($JF$318)-ROW($IX$311)=$K$291), U$290, JF318), JF318))</f>
        <v>0</v>
      </c>
      <c r="JG318" s="21">
        <f t="shared" si="1066"/>
        <v>0</v>
      </c>
      <c r="JH318" s="21">
        <f t="shared" si="1066"/>
        <v>0</v>
      </c>
      <c r="JI318" s="21">
        <f t="shared" si="1066"/>
        <v>0</v>
      </c>
      <c r="JJ318" s="21">
        <f t="shared" si="1066"/>
        <v>0</v>
      </c>
      <c r="JK318" s="21">
        <f t="shared" si="1066"/>
        <v>0</v>
      </c>
      <c r="JL318" s="21">
        <f t="shared" si="1066"/>
        <v>0</v>
      </c>
      <c r="JM318" s="21">
        <f t="shared" si="1066"/>
        <v>0</v>
      </c>
      <c r="JN318" s="21">
        <f t="shared" ref="JN318:JU318" si="1067">IF($F$290, 0, IF($G$295, IF(AND(COLUMN($JN$318)-COLUMN($IX$311)=$Q$291,ROW($JN$318)-ROW($IX$311)=$K$291), U$290, JN318), JN318))</f>
        <v>0</v>
      </c>
      <c r="JO318" s="21">
        <f t="shared" si="1067"/>
        <v>0</v>
      </c>
      <c r="JP318" s="21">
        <f t="shared" si="1067"/>
        <v>0</v>
      </c>
      <c r="JQ318" s="21">
        <f t="shared" si="1067"/>
        <v>0</v>
      </c>
      <c r="JR318" s="21">
        <f t="shared" si="1067"/>
        <v>0</v>
      </c>
      <c r="JS318" s="21">
        <f t="shared" si="1067"/>
        <v>0</v>
      </c>
      <c r="JT318" s="21">
        <f t="shared" si="1067"/>
        <v>0</v>
      </c>
      <c r="JU318" s="21">
        <f t="shared" si="1067"/>
        <v>0</v>
      </c>
      <c r="JV318" s="21">
        <f t="shared" ref="JV318:KC318" si="1068">IF($F$290, 0, IF($G$295, IF(AND(COLUMN($JV$318)-COLUMN($IX$311)=$Q$291,ROW($JV$318)-ROW($IX$311)=$K$291), U$290, JV318), JV318))</f>
        <v>0</v>
      </c>
      <c r="JW318" s="21">
        <f t="shared" si="1068"/>
        <v>0</v>
      </c>
      <c r="JX318" s="21">
        <f t="shared" si="1068"/>
        <v>0</v>
      </c>
      <c r="JY318" s="21">
        <f t="shared" si="1068"/>
        <v>0</v>
      </c>
      <c r="JZ318" s="21">
        <f t="shared" si="1068"/>
        <v>0</v>
      </c>
      <c r="KA318" s="21">
        <f t="shared" si="1068"/>
        <v>0</v>
      </c>
      <c r="KB318" s="21">
        <f t="shared" si="1068"/>
        <v>0</v>
      </c>
      <c r="KC318" s="21">
        <f t="shared" si="1068"/>
        <v>0</v>
      </c>
      <c r="KD318" s="21">
        <f t="shared" ref="KD318:KK318" si="1069">IF($F$290, 0, IF($G$295, IF(AND(COLUMN($KD$318)-COLUMN($IX$311)=$Q$291,ROW($KD$318)-ROW($IX$311)=$K$291), U$290, KD318), KD318))</f>
        <v>0</v>
      </c>
      <c r="KE318" s="21">
        <f t="shared" si="1069"/>
        <v>0</v>
      </c>
      <c r="KF318" s="21">
        <f t="shared" si="1069"/>
        <v>0</v>
      </c>
      <c r="KG318" s="21">
        <f t="shared" si="1069"/>
        <v>0</v>
      </c>
      <c r="KH318" s="21">
        <f t="shared" si="1069"/>
        <v>0</v>
      </c>
      <c r="KI318" s="21">
        <f t="shared" si="1069"/>
        <v>0</v>
      </c>
      <c r="KJ318" s="21">
        <f t="shared" si="1069"/>
        <v>0</v>
      </c>
      <c r="KK318" s="21">
        <f t="shared" si="1069"/>
        <v>0</v>
      </c>
      <c r="KL318" s="21">
        <f t="shared" ref="KL318:KS318" si="1070">IF($F$290, 0, IF($G$295, IF(AND(COLUMN($KL$318)-COLUMN($IX$311)=$Q$291,ROW($KL$318)-ROW($IX$311)=$K$291), U$290, KL318), KL318))</f>
        <v>0</v>
      </c>
      <c r="KM318" s="21">
        <f t="shared" si="1070"/>
        <v>0</v>
      </c>
      <c r="KN318" s="21">
        <f t="shared" si="1070"/>
        <v>0</v>
      </c>
      <c r="KO318" s="21">
        <f t="shared" si="1070"/>
        <v>0</v>
      </c>
      <c r="KP318" s="21">
        <f t="shared" si="1070"/>
        <v>0</v>
      </c>
      <c r="KQ318" s="21">
        <f t="shared" si="1070"/>
        <v>0</v>
      </c>
      <c r="KR318" s="21">
        <f t="shared" si="1070"/>
        <v>0</v>
      </c>
      <c r="KS318" s="21">
        <f t="shared" si="1070"/>
        <v>0</v>
      </c>
      <c r="KT318" s="21">
        <f t="shared" ref="KT318:LA318" si="1071">IF($F$290, 0, IF($G$295, IF(AND(COLUMN($KT$318)-COLUMN($IX$311)=$Q$291,ROW($KT$318)-ROW($IX$311)=$K$291), U$290, KT318), KT318))</f>
        <v>0</v>
      </c>
      <c r="KU318" s="21">
        <f t="shared" si="1071"/>
        <v>0</v>
      </c>
      <c r="KV318" s="21">
        <f t="shared" si="1071"/>
        <v>0</v>
      </c>
      <c r="KW318" s="21">
        <f t="shared" si="1071"/>
        <v>0</v>
      </c>
      <c r="KX318" s="21">
        <f t="shared" si="1071"/>
        <v>0</v>
      </c>
      <c r="KY318" s="21">
        <f t="shared" si="1071"/>
        <v>0</v>
      </c>
      <c r="KZ318" s="21">
        <f t="shared" si="1071"/>
        <v>0</v>
      </c>
      <c r="LA318" s="21">
        <f t="shared" si="1071"/>
        <v>0</v>
      </c>
      <c r="LB318" s="21">
        <f t="shared" ref="LB318:LI318" si="1072">IF($F$290, 0, IF($G$295, IF(AND(COLUMN($LB$318)-COLUMN($IX$311)=$Q$291,ROW($LB$318)-ROW($IX$311)=$K$291), U$290, LB318), LB318))</f>
        <v>0</v>
      </c>
      <c r="LC318" s="21">
        <f t="shared" si="1072"/>
        <v>0</v>
      </c>
      <c r="LD318" s="21">
        <f t="shared" si="1072"/>
        <v>0</v>
      </c>
      <c r="LE318" s="21">
        <f t="shared" si="1072"/>
        <v>0</v>
      </c>
      <c r="LF318" s="21">
        <f t="shared" si="1072"/>
        <v>0</v>
      </c>
      <c r="LG318" s="21">
        <f t="shared" si="1072"/>
        <v>0</v>
      </c>
      <c r="LH318" s="21">
        <f t="shared" si="1072"/>
        <v>0</v>
      </c>
      <c r="LI318" s="21">
        <f t="shared" si="1072"/>
        <v>0</v>
      </c>
      <c r="LJ318" s="21">
        <f t="shared" ref="LJ318:LQ318" si="1073">IF($F$290, 0, IF($H$295, IF(AND(COLUMN($LJ$318)-COLUMN($LJ$311)=$Q$291,ROW($LJ$318)-ROW($LJ$311)=$K$291), U$290, LJ318), LJ318))</f>
        <v>0</v>
      </c>
      <c r="LK318" s="21">
        <f t="shared" si="1073"/>
        <v>0</v>
      </c>
      <c r="LL318" s="21">
        <f t="shared" si="1073"/>
        <v>0</v>
      </c>
      <c r="LM318" s="21">
        <f t="shared" si="1073"/>
        <v>0</v>
      </c>
      <c r="LN318" s="21">
        <f t="shared" si="1073"/>
        <v>0</v>
      </c>
      <c r="LO318" s="21">
        <f t="shared" si="1073"/>
        <v>0</v>
      </c>
      <c r="LP318" s="21">
        <f t="shared" si="1073"/>
        <v>0</v>
      </c>
      <c r="LQ318" s="21">
        <f t="shared" si="1073"/>
        <v>0</v>
      </c>
      <c r="LR318" s="21">
        <f t="shared" ref="LR318:LY318" si="1074">IF($F$290, 0, IF($H$295, IF(AND(COLUMN($LR$318)-COLUMN($LJ$311)=$Q$291,ROW($LR$318)-ROW($LJ$311)=$K$291), U$290, LR318), LR318))</f>
        <v>0</v>
      </c>
      <c r="LS318" s="21">
        <f t="shared" si="1074"/>
        <v>0</v>
      </c>
      <c r="LT318" s="21">
        <f t="shared" si="1074"/>
        <v>0</v>
      </c>
      <c r="LU318" s="21">
        <f t="shared" si="1074"/>
        <v>0</v>
      </c>
      <c r="LV318" s="21">
        <f t="shared" si="1074"/>
        <v>0</v>
      </c>
      <c r="LW318" s="21">
        <f t="shared" si="1074"/>
        <v>0</v>
      </c>
      <c r="LX318" s="21">
        <f t="shared" si="1074"/>
        <v>0</v>
      </c>
      <c r="LY318" s="21">
        <f t="shared" si="1074"/>
        <v>0</v>
      </c>
      <c r="LZ318" s="21">
        <f t="shared" ref="LZ318:MG318" si="1075">IF($F$290, 0, IF($H$295, IF(AND(COLUMN($LZ$318)-COLUMN($LJ$311)=$Q$291,ROW($LZ$318)-ROW($LJ$311)=$K$291), U$290, LZ318), LZ318))</f>
        <v>0</v>
      </c>
      <c r="MA318" s="21">
        <f t="shared" si="1075"/>
        <v>0</v>
      </c>
      <c r="MB318" s="21">
        <f t="shared" si="1075"/>
        <v>0</v>
      </c>
      <c r="MC318" s="21">
        <f t="shared" si="1075"/>
        <v>0</v>
      </c>
      <c r="MD318" s="21">
        <f t="shared" si="1075"/>
        <v>0</v>
      </c>
      <c r="ME318" s="21">
        <f t="shared" si="1075"/>
        <v>0</v>
      </c>
      <c r="MF318" s="21">
        <f t="shared" si="1075"/>
        <v>0</v>
      </c>
      <c r="MG318" s="21">
        <f t="shared" si="1075"/>
        <v>0</v>
      </c>
      <c r="MH318" s="21">
        <f t="shared" ref="MH318:MO318" si="1076">IF($F$290, 0, IF($H$295, IF(AND(COLUMN($MH$318)-COLUMN($LJ$311)=$Q$291,ROW($MH$318)-ROW($LJ$311)=$K$291), U$290, MH318), MH318))</f>
        <v>0</v>
      </c>
      <c r="MI318" s="21">
        <f t="shared" si="1076"/>
        <v>0</v>
      </c>
      <c r="MJ318" s="21">
        <f t="shared" si="1076"/>
        <v>0</v>
      </c>
      <c r="MK318" s="21">
        <f t="shared" si="1076"/>
        <v>0</v>
      </c>
      <c r="ML318" s="21">
        <f t="shared" si="1076"/>
        <v>0</v>
      </c>
      <c r="MM318" s="21">
        <f t="shared" si="1076"/>
        <v>0</v>
      </c>
      <c r="MN318" s="21">
        <f t="shared" si="1076"/>
        <v>0</v>
      </c>
      <c r="MO318" s="21">
        <f t="shared" si="1076"/>
        <v>0</v>
      </c>
      <c r="MP318" s="21">
        <f t="shared" ref="MP318:MW318" si="1077">IF($F$290, 0, IF($H$295, IF(AND(COLUMN($MP$318)-COLUMN($LJ$311)=$Q$291,ROW($MP$318)-ROW($LJ$311)=$K$291), U$290, MP318), MP318))</f>
        <v>0</v>
      </c>
      <c r="MQ318" s="21">
        <f t="shared" si="1077"/>
        <v>0</v>
      </c>
      <c r="MR318" s="21">
        <f t="shared" si="1077"/>
        <v>0</v>
      </c>
      <c r="MS318" s="21">
        <f t="shared" si="1077"/>
        <v>0</v>
      </c>
      <c r="MT318" s="21">
        <f t="shared" si="1077"/>
        <v>0</v>
      </c>
      <c r="MU318" s="21">
        <f t="shared" si="1077"/>
        <v>0</v>
      </c>
      <c r="MV318" s="21">
        <f t="shared" si="1077"/>
        <v>0</v>
      </c>
      <c r="MW318" s="21">
        <f t="shared" si="1077"/>
        <v>0</v>
      </c>
      <c r="MX318" s="21">
        <f t="shared" ref="MX318:NE318" si="1078">IF($F$290, 0, IF($H$295, IF(AND(COLUMN($MX$318)-COLUMN($LJ$311)=$Q$291,ROW($MX$318)-ROW($LJ$311)=$K$291), U$290, MX318), MX318))</f>
        <v>0</v>
      </c>
      <c r="MY318" s="21">
        <f t="shared" si="1078"/>
        <v>0</v>
      </c>
      <c r="MZ318" s="21">
        <f t="shared" si="1078"/>
        <v>0</v>
      </c>
      <c r="NA318" s="21">
        <f t="shared" si="1078"/>
        <v>0</v>
      </c>
      <c r="NB318" s="21">
        <f t="shared" si="1078"/>
        <v>0</v>
      </c>
      <c r="NC318" s="21">
        <f t="shared" si="1078"/>
        <v>0</v>
      </c>
      <c r="ND318" s="21">
        <f t="shared" si="1078"/>
        <v>0</v>
      </c>
      <c r="NE318" s="21">
        <f t="shared" si="1078"/>
        <v>0</v>
      </c>
      <c r="NF318" s="21">
        <f t="shared" ref="NF318:NM318" si="1079">IF($F$290, 0, IF($H$295, IF(AND(COLUMN($NF$318)-COLUMN($LJ$311)=$Q$291,ROW($NF$318)-ROW($LJ$311)=$K$291), U$290, NF318), NF318))</f>
        <v>0</v>
      </c>
      <c r="NG318" s="21">
        <f t="shared" si="1079"/>
        <v>0</v>
      </c>
      <c r="NH318" s="21">
        <f t="shared" si="1079"/>
        <v>0</v>
      </c>
      <c r="NI318" s="21">
        <f t="shared" si="1079"/>
        <v>0</v>
      </c>
      <c r="NJ318" s="21">
        <f t="shared" si="1079"/>
        <v>0</v>
      </c>
      <c r="NK318" s="21">
        <f t="shared" si="1079"/>
        <v>0</v>
      </c>
      <c r="NL318" s="21">
        <f t="shared" si="1079"/>
        <v>0</v>
      </c>
      <c r="NM318" s="21">
        <f t="shared" si="1079"/>
        <v>0</v>
      </c>
      <c r="NN318" s="21">
        <f t="shared" ref="NN318:NU318" si="1080">IF($F$290, 0, IF($H$295, IF(AND(COLUMN($NN$318)-COLUMN($LJ$311)=$Q$291,ROW($NN$318)-ROW($LJ$311)=$K$291), U$290, NN318), NN318))</f>
        <v>0</v>
      </c>
      <c r="NO318" s="21">
        <f t="shared" si="1080"/>
        <v>0</v>
      </c>
      <c r="NP318" s="21">
        <f t="shared" si="1080"/>
        <v>0</v>
      </c>
      <c r="NQ318" s="21">
        <f t="shared" si="1080"/>
        <v>0</v>
      </c>
      <c r="NR318" s="21">
        <f t="shared" si="1080"/>
        <v>0</v>
      </c>
      <c r="NS318" s="21">
        <f t="shared" si="1080"/>
        <v>0</v>
      </c>
      <c r="NT318" s="21">
        <f t="shared" si="1080"/>
        <v>0</v>
      </c>
      <c r="NU318" s="21">
        <f t="shared" si="1080"/>
        <v>0</v>
      </c>
      <c r="NV318" s="21">
        <f t="shared" ref="NV318:OC318" si="1081">IF($F$290, 0, IF($I$295, IF(AND(COLUMN($NV$318)-COLUMN($NV$311)=$Q$291,ROW($NV$318)-ROW($NV$311)=$K$291), U$290, NV318), NV318))</f>
        <v>0</v>
      </c>
      <c r="NW318" s="21">
        <f t="shared" si="1081"/>
        <v>0</v>
      </c>
      <c r="NX318" s="21">
        <f t="shared" si="1081"/>
        <v>0</v>
      </c>
      <c r="NY318" s="21">
        <f t="shared" si="1081"/>
        <v>0</v>
      </c>
      <c r="NZ318" s="21">
        <f t="shared" si="1081"/>
        <v>0</v>
      </c>
      <c r="OA318" s="21">
        <f t="shared" si="1081"/>
        <v>0</v>
      </c>
      <c r="OB318" s="21">
        <f t="shared" si="1081"/>
        <v>0</v>
      </c>
      <c r="OC318" s="21">
        <f t="shared" si="1081"/>
        <v>0</v>
      </c>
      <c r="OD318" s="21">
        <f t="shared" ref="OD318:OK318" si="1082">IF($F$290, 0, IF($I$295, IF(AND(COLUMN($OD$318)-COLUMN($NV$311)=$Q$291,ROW($OD$318)-ROW($NV$311)=$K$291), U$290, OD318), OD318))</f>
        <v>0</v>
      </c>
      <c r="OE318" s="21">
        <f t="shared" si="1082"/>
        <v>0</v>
      </c>
      <c r="OF318" s="21">
        <f t="shared" si="1082"/>
        <v>0</v>
      </c>
      <c r="OG318" s="21">
        <f t="shared" si="1082"/>
        <v>0</v>
      </c>
      <c r="OH318" s="21">
        <f t="shared" si="1082"/>
        <v>0</v>
      </c>
      <c r="OI318" s="21">
        <f t="shared" si="1082"/>
        <v>0</v>
      </c>
      <c r="OJ318" s="21">
        <f t="shared" si="1082"/>
        <v>0</v>
      </c>
      <c r="OK318" s="21">
        <f t="shared" si="1082"/>
        <v>0</v>
      </c>
      <c r="OL318" s="21">
        <f t="shared" ref="OL318:OS318" si="1083">IF($F$290, 0, IF($I$295, IF(AND(COLUMN($OL$318)-COLUMN($NV$311)=$Q$291,ROW($OL$318)-ROW($NV$311)=$K$291), U$290, OL318), OL318))</f>
        <v>0</v>
      </c>
      <c r="OM318" s="21">
        <f t="shared" si="1083"/>
        <v>0</v>
      </c>
      <c r="ON318" s="21">
        <f t="shared" si="1083"/>
        <v>0</v>
      </c>
      <c r="OO318" s="21">
        <f t="shared" si="1083"/>
        <v>0</v>
      </c>
      <c r="OP318" s="21">
        <f t="shared" si="1083"/>
        <v>0</v>
      </c>
      <c r="OQ318" s="21">
        <f t="shared" si="1083"/>
        <v>0</v>
      </c>
      <c r="OR318" s="21">
        <f t="shared" si="1083"/>
        <v>0</v>
      </c>
      <c r="OS318" s="21">
        <f t="shared" si="1083"/>
        <v>0</v>
      </c>
      <c r="OT318" s="21">
        <f t="shared" ref="OT318:PA318" si="1084">IF($F$290, 0, IF($I$295, IF(AND(COLUMN($OT$318)-COLUMN($NV$311)=$Q$291,ROW($OT$318)-ROW($NV$311)=$K$291), U$290, OT318), OT318))</f>
        <v>0</v>
      </c>
      <c r="OU318" s="21">
        <f t="shared" si="1084"/>
        <v>0</v>
      </c>
      <c r="OV318" s="21">
        <f t="shared" si="1084"/>
        <v>0</v>
      </c>
      <c r="OW318" s="21">
        <f t="shared" si="1084"/>
        <v>0</v>
      </c>
      <c r="OX318" s="21">
        <f t="shared" si="1084"/>
        <v>0</v>
      </c>
      <c r="OY318" s="21">
        <f t="shared" si="1084"/>
        <v>0</v>
      </c>
      <c r="OZ318" s="21">
        <f t="shared" si="1084"/>
        <v>0</v>
      </c>
      <c r="PA318" s="21">
        <f t="shared" si="1084"/>
        <v>0</v>
      </c>
      <c r="PB318" s="21">
        <f t="shared" ref="PB318:PI318" si="1085">IF($F$290, 0, IF($I$295, IF(AND(COLUMN($PB$318)-COLUMN($NV$311)=$Q$291,ROW($PB$318)-ROW($NV$311)=$K$291), U$290, PB318), PB318))</f>
        <v>0</v>
      </c>
      <c r="PC318" s="21">
        <f t="shared" si="1085"/>
        <v>0</v>
      </c>
      <c r="PD318" s="21">
        <f t="shared" si="1085"/>
        <v>0</v>
      </c>
      <c r="PE318" s="21">
        <f t="shared" si="1085"/>
        <v>0</v>
      </c>
      <c r="PF318" s="21">
        <f t="shared" si="1085"/>
        <v>0</v>
      </c>
      <c r="PG318" s="21">
        <f t="shared" si="1085"/>
        <v>0</v>
      </c>
      <c r="PH318" s="21">
        <f t="shared" si="1085"/>
        <v>0</v>
      </c>
      <c r="PI318" s="21">
        <f t="shared" si="1085"/>
        <v>0</v>
      </c>
      <c r="PJ318" s="21">
        <f t="shared" ref="PJ318:PQ318" si="1086">IF($F$290, 0, IF($I$295, IF(AND(COLUMN($PJ$318)-COLUMN($NV$311)=$Q$291,ROW($PJ$318)-ROW($NV$311)=$K$291), U$290, PJ318), PJ318))</f>
        <v>0</v>
      </c>
      <c r="PK318" s="21">
        <f t="shared" si="1086"/>
        <v>0</v>
      </c>
      <c r="PL318" s="21">
        <f t="shared" si="1086"/>
        <v>0</v>
      </c>
      <c r="PM318" s="21">
        <f t="shared" si="1086"/>
        <v>0</v>
      </c>
      <c r="PN318" s="21">
        <f t="shared" si="1086"/>
        <v>0</v>
      </c>
      <c r="PO318" s="21">
        <f t="shared" si="1086"/>
        <v>0</v>
      </c>
      <c r="PP318" s="21">
        <f t="shared" si="1086"/>
        <v>0</v>
      </c>
      <c r="PQ318" s="21">
        <f t="shared" si="1086"/>
        <v>0</v>
      </c>
      <c r="PR318" s="21">
        <f t="shared" ref="PR318:PY318" si="1087">IF($F$290, 0, IF($I$295, IF(AND(COLUMN($PR$318)-COLUMN($NV$311)=$Q$291,ROW($PR$318)-ROW($NV$311)=$K$291), U$290, PR318), PR318))</f>
        <v>0</v>
      </c>
      <c r="PS318" s="21">
        <f t="shared" si="1087"/>
        <v>0</v>
      </c>
      <c r="PT318" s="21">
        <f t="shared" si="1087"/>
        <v>0</v>
      </c>
      <c r="PU318" s="21">
        <f t="shared" si="1087"/>
        <v>0</v>
      </c>
      <c r="PV318" s="21">
        <f t="shared" si="1087"/>
        <v>0</v>
      </c>
      <c r="PW318" s="21">
        <f t="shared" si="1087"/>
        <v>0</v>
      </c>
      <c r="PX318" s="21">
        <f t="shared" si="1087"/>
        <v>0</v>
      </c>
      <c r="PY318" s="21">
        <f t="shared" si="1087"/>
        <v>0</v>
      </c>
      <c r="PZ318" s="21">
        <f t="shared" ref="PZ318:QG318" si="1088">IF($F$290, 0, IF($I$295, IF(AND(COLUMN($PZ$318)-COLUMN($NV$311)=$Q$291,ROW($PZ$318)-ROW($NV$311)=$K$291), U$290, PZ318), PZ318))</f>
        <v>0</v>
      </c>
      <c r="QA318" s="21">
        <f t="shared" si="1088"/>
        <v>0</v>
      </c>
      <c r="QB318" s="21">
        <f t="shared" si="1088"/>
        <v>0</v>
      </c>
      <c r="QC318" s="21">
        <f t="shared" si="1088"/>
        <v>0</v>
      </c>
      <c r="QD318" s="21">
        <f t="shared" si="1088"/>
        <v>0</v>
      </c>
      <c r="QE318" s="21">
        <f t="shared" si="1088"/>
        <v>0</v>
      </c>
      <c r="QF318" s="21">
        <f t="shared" si="1088"/>
        <v>0</v>
      </c>
      <c r="QG318" s="21">
        <f t="shared" si="1088"/>
        <v>0</v>
      </c>
      <c r="QH318" s="21">
        <f t="shared" ref="QH318:QO318" si="1089">IF($F$290, 0, IF($J$295, IF(AND(COLUMN($QH$318)-COLUMN($QH$311)=$Q$291,ROW($QH$318)-ROW($QH$311)=$K$291), U$290, QH318), QH318))</f>
        <v>0</v>
      </c>
      <c r="QI318" s="21">
        <f t="shared" si="1089"/>
        <v>0</v>
      </c>
      <c r="QJ318" s="21">
        <f t="shared" si="1089"/>
        <v>0</v>
      </c>
      <c r="QK318" s="21">
        <f t="shared" si="1089"/>
        <v>0</v>
      </c>
      <c r="QL318" s="21">
        <f t="shared" si="1089"/>
        <v>0</v>
      </c>
      <c r="QM318" s="21">
        <f t="shared" si="1089"/>
        <v>0</v>
      </c>
      <c r="QN318" s="21">
        <f t="shared" si="1089"/>
        <v>0</v>
      </c>
      <c r="QO318" s="21">
        <f t="shared" si="1089"/>
        <v>0</v>
      </c>
      <c r="QP318" s="21">
        <f t="shared" ref="QP318:QW318" si="1090">IF($F$290, 0, IF($J$295, IF(AND(COLUMN($QP$318)-COLUMN($QH$311)=$Q$291,ROW($QP$318)-ROW($QH$311)=$K$291), U$290, QP318), QP318))</f>
        <v>0</v>
      </c>
      <c r="QQ318" s="21">
        <f t="shared" si="1090"/>
        <v>0</v>
      </c>
      <c r="QR318" s="21">
        <f t="shared" si="1090"/>
        <v>0</v>
      </c>
      <c r="QS318" s="21">
        <f t="shared" si="1090"/>
        <v>0</v>
      </c>
      <c r="QT318" s="21">
        <f t="shared" si="1090"/>
        <v>0</v>
      </c>
      <c r="QU318" s="21">
        <f t="shared" si="1090"/>
        <v>0</v>
      </c>
      <c r="QV318" s="21">
        <f t="shared" si="1090"/>
        <v>0</v>
      </c>
      <c r="QW318" s="21">
        <f t="shared" si="1090"/>
        <v>0</v>
      </c>
      <c r="QX318" s="21">
        <f t="shared" ref="QX318:RE318" si="1091">IF($F$290, 0, IF($J$295, IF(AND(COLUMN($QX$318)-COLUMN($QH$311)=$Q$291,ROW($QX$318)-ROW($QH$311)=$K$291), U$290, QX318), QX318))</f>
        <v>0</v>
      </c>
      <c r="QY318" s="21">
        <f t="shared" si="1091"/>
        <v>0</v>
      </c>
      <c r="QZ318" s="21">
        <f t="shared" si="1091"/>
        <v>0</v>
      </c>
      <c r="RA318" s="21">
        <f t="shared" si="1091"/>
        <v>0</v>
      </c>
      <c r="RB318" s="21">
        <f t="shared" si="1091"/>
        <v>0</v>
      </c>
      <c r="RC318" s="21">
        <f t="shared" si="1091"/>
        <v>0</v>
      </c>
      <c r="RD318" s="21">
        <f t="shared" si="1091"/>
        <v>0</v>
      </c>
      <c r="RE318" s="21">
        <f t="shared" si="1091"/>
        <v>0</v>
      </c>
      <c r="RF318" s="21">
        <f t="shared" ref="RF318:RM318" si="1092">IF($F$290, 0, IF($J$295, IF(AND(COLUMN($RF$318)-COLUMN($QH$311)=$Q$291,ROW($RF$318)-ROW($QH$311)=$K$291), U$290, RF318), RF318))</f>
        <v>0</v>
      </c>
      <c r="RG318" s="21">
        <f t="shared" si="1092"/>
        <v>0</v>
      </c>
      <c r="RH318" s="21">
        <f t="shared" si="1092"/>
        <v>0</v>
      </c>
      <c r="RI318" s="21">
        <f t="shared" si="1092"/>
        <v>0</v>
      </c>
      <c r="RJ318" s="21">
        <f t="shared" si="1092"/>
        <v>0</v>
      </c>
      <c r="RK318" s="21">
        <f t="shared" si="1092"/>
        <v>0</v>
      </c>
      <c r="RL318" s="21">
        <f t="shared" si="1092"/>
        <v>0</v>
      </c>
      <c r="RM318" s="21">
        <f t="shared" si="1092"/>
        <v>0</v>
      </c>
      <c r="RN318" s="21">
        <f t="shared" ref="RN318:RU318" si="1093">IF($F$290, 0, IF($J$295, IF(AND(COLUMN($RN$318)-COLUMN($QH$311)=$Q$291,ROW($RN$318)-ROW($QH$311)=$K$291), U$290, RN318), RN318))</f>
        <v>0</v>
      </c>
      <c r="RO318" s="21">
        <f t="shared" si="1093"/>
        <v>0</v>
      </c>
      <c r="RP318" s="21">
        <f t="shared" si="1093"/>
        <v>0</v>
      </c>
      <c r="RQ318" s="21">
        <f t="shared" si="1093"/>
        <v>0</v>
      </c>
      <c r="RR318" s="21">
        <f t="shared" si="1093"/>
        <v>0</v>
      </c>
      <c r="RS318" s="21">
        <f t="shared" si="1093"/>
        <v>0</v>
      </c>
      <c r="RT318" s="21">
        <f t="shared" si="1093"/>
        <v>0</v>
      </c>
      <c r="RU318" s="21">
        <f t="shared" si="1093"/>
        <v>0</v>
      </c>
      <c r="RV318" s="21">
        <f t="shared" ref="RV318:SC318" si="1094">IF($F$290, 0, IF($J$295, IF(AND(COLUMN($RV$318)-COLUMN($QH$311)=$Q$291,ROW($RV$318)-ROW($QH$311)=$K$291), U$290, RV318), RV318))</f>
        <v>0</v>
      </c>
      <c r="RW318" s="21">
        <f t="shared" si="1094"/>
        <v>0</v>
      </c>
      <c r="RX318" s="21">
        <f t="shared" si="1094"/>
        <v>0</v>
      </c>
      <c r="RY318" s="21">
        <f t="shared" si="1094"/>
        <v>0</v>
      </c>
      <c r="RZ318" s="21">
        <f t="shared" si="1094"/>
        <v>0</v>
      </c>
      <c r="SA318" s="21">
        <f t="shared" si="1094"/>
        <v>0</v>
      </c>
      <c r="SB318" s="21">
        <f t="shared" si="1094"/>
        <v>0</v>
      </c>
      <c r="SC318" s="21">
        <f t="shared" si="1094"/>
        <v>0</v>
      </c>
      <c r="SD318" s="21">
        <f t="shared" ref="SD318:SK318" si="1095">IF($F$290, 0, IF($J$295, IF(AND(COLUMN($SD$318)-COLUMN($QH$311)=$Q$291,ROW($SD$318)-ROW($QH$311)=$K$291), U$290, SD318), SD318))</f>
        <v>0</v>
      </c>
      <c r="SE318" s="21">
        <f t="shared" si="1095"/>
        <v>0</v>
      </c>
      <c r="SF318" s="21">
        <f t="shared" si="1095"/>
        <v>0</v>
      </c>
      <c r="SG318" s="21">
        <f t="shared" si="1095"/>
        <v>0</v>
      </c>
      <c r="SH318" s="21">
        <f t="shared" si="1095"/>
        <v>0</v>
      </c>
      <c r="SI318" s="21">
        <f t="shared" si="1095"/>
        <v>0</v>
      </c>
      <c r="SJ318" s="21">
        <f t="shared" si="1095"/>
        <v>0</v>
      </c>
      <c r="SK318" s="21">
        <f t="shared" si="1095"/>
        <v>0</v>
      </c>
      <c r="SL318" s="21">
        <f t="shared" ref="SL318:SS318" si="1096">IF($F$290, 0, IF($J$295, IF(AND(COLUMN($SL$318)-COLUMN($QH$311)=$Q$291,ROW($SL$318)-ROW($QH$311)=$K$291), U$290, SL318), SL318))</f>
        <v>0</v>
      </c>
      <c r="SM318" s="21">
        <f t="shared" si="1096"/>
        <v>0</v>
      </c>
      <c r="SN318" s="21">
        <f t="shared" si="1096"/>
        <v>0</v>
      </c>
      <c r="SO318" s="21">
        <f t="shared" si="1096"/>
        <v>0</v>
      </c>
      <c r="SP318" s="21">
        <f t="shared" si="1096"/>
        <v>0</v>
      </c>
      <c r="SQ318" s="21">
        <f t="shared" si="1096"/>
        <v>0</v>
      </c>
      <c r="SR318" s="21">
        <f t="shared" si="1096"/>
        <v>0</v>
      </c>
      <c r="SS318" s="21">
        <f t="shared" si="1096"/>
        <v>0</v>
      </c>
    </row>
    <row r="319" spans="2:513" ht="15" customHeight="1" x14ac:dyDescent="0.25">
      <c r="B319" s="21">
        <f t="shared" ref="B319:I319" si="1097">IF($F$290, 0, IF($C$296, IF(AND(COLUMN($B$319)-COLUMN($B$319)=$Q$291,ROW($B$319)-ROW($B$319)=$K$291), U$290, B319), B319))</f>
        <v>0</v>
      </c>
      <c r="C319" s="21">
        <f t="shared" si="1097"/>
        <v>0</v>
      </c>
      <c r="D319" s="21">
        <f t="shared" si="1097"/>
        <v>0</v>
      </c>
      <c r="E319" s="21">
        <f t="shared" si="1097"/>
        <v>0</v>
      </c>
      <c r="F319" s="21">
        <f t="shared" si="1097"/>
        <v>0</v>
      </c>
      <c r="G319" s="21">
        <f t="shared" si="1097"/>
        <v>0</v>
      </c>
      <c r="H319" s="21">
        <f t="shared" si="1097"/>
        <v>0</v>
      </c>
      <c r="I319" s="21">
        <f t="shared" si="1097"/>
        <v>0</v>
      </c>
      <c r="J319" s="21">
        <f t="shared" ref="J319:Q319" si="1098">IF($F$290, 0, IF($C$296, IF(AND(COLUMN($J$319)-COLUMN($B$319)=$Q$291,ROW($J$319)-ROW($B$319)=$K$291), U$290, J319), J319))</f>
        <v>0</v>
      </c>
      <c r="K319" s="21">
        <f t="shared" si="1098"/>
        <v>0</v>
      </c>
      <c r="L319" s="21">
        <f t="shared" si="1098"/>
        <v>0</v>
      </c>
      <c r="M319" s="21">
        <f t="shared" si="1098"/>
        <v>0</v>
      </c>
      <c r="N319" s="21">
        <f t="shared" si="1098"/>
        <v>0</v>
      </c>
      <c r="O319" s="21">
        <f t="shared" si="1098"/>
        <v>0</v>
      </c>
      <c r="P319" s="21">
        <f t="shared" si="1098"/>
        <v>0</v>
      </c>
      <c r="Q319" s="21">
        <f t="shared" si="1098"/>
        <v>0</v>
      </c>
      <c r="R319" s="21">
        <f>IF($F$290, 0, IF($C$296, IF(AND(COLUMN($R$319)-COLUMN($B$319)=$Q$291,ROW($R$319)-ROW($B$319)=$K$291), U$290, R319), R319))</f>
        <v>0</v>
      </c>
      <c r="S319" s="21">
        <f t="shared" ref="S319:Y319" si="1099">IF($F$290, 0, IF($C$296, IF(AND(COLUMN($R$319)-COLUMN($B$319)=$Q$291,ROW($R$319)-ROW($B$319)=$K$291), V$290, S319), S319))</f>
        <v>0</v>
      </c>
      <c r="T319" s="21">
        <f t="shared" si="1099"/>
        <v>0</v>
      </c>
      <c r="U319" s="21">
        <f t="shared" si="1099"/>
        <v>0</v>
      </c>
      <c r="V319" s="21">
        <f t="shared" si="1099"/>
        <v>0</v>
      </c>
      <c r="W319" s="21">
        <f t="shared" si="1099"/>
        <v>0</v>
      </c>
      <c r="X319" s="21">
        <f t="shared" si="1099"/>
        <v>0</v>
      </c>
      <c r="Y319" s="21">
        <f t="shared" si="1099"/>
        <v>0</v>
      </c>
      <c r="Z319" s="21">
        <f t="shared" ref="Z319:AG319" si="1100">IF($F$290, 0, IF($C$296, IF(AND(COLUMN($Z$319)-COLUMN($B$319)=$Q$291,ROW($Z$319)-ROW($B$319)=$K$291), U$290, Z319), Z319))</f>
        <v>0</v>
      </c>
      <c r="AA319" s="21">
        <f t="shared" si="1100"/>
        <v>0</v>
      </c>
      <c r="AB319" s="21">
        <f t="shared" si="1100"/>
        <v>0</v>
      </c>
      <c r="AC319" s="21">
        <f t="shared" si="1100"/>
        <v>0</v>
      </c>
      <c r="AD319" s="21">
        <f t="shared" si="1100"/>
        <v>0</v>
      </c>
      <c r="AE319" s="21">
        <f t="shared" si="1100"/>
        <v>0</v>
      </c>
      <c r="AF319" s="21">
        <f t="shared" si="1100"/>
        <v>0</v>
      </c>
      <c r="AG319" s="21">
        <f t="shared" si="1100"/>
        <v>0</v>
      </c>
      <c r="AH319" s="21">
        <f t="shared" ref="AH319:AO319" si="1101">IF($F$290, 0, IF($C$296, IF(AND(COLUMN($AH$319)-COLUMN($B$319)=$Q$291,ROW($AH$319)-ROW($B$319)=$K$291), U$290, AH319), AH319))</f>
        <v>0</v>
      </c>
      <c r="AI319" s="21">
        <f t="shared" si="1101"/>
        <v>0</v>
      </c>
      <c r="AJ319" s="21">
        <f t="shared" si="1101"/>
        <v>0</v>
      </c>
      <c r="AK319" s="21">
        <f t="shared" si="1101"/>
        <v>0</v>
      </c>
      <c r="AL319" s="21">
        <f t="shared" si="1101"/>
        <v>0</v>
      </c>
      <c r="AM319" s="21">
        <f t="shared" si="1101"/>
        <v>0</v>
      </c>
      <c r="AN319" s="21">
        <f t="shared" si="1101"/>
        <v>0</v>
      </c>
      <c r="AO319" s="21">
        <f t="shared" si="1101"/>
        <v>0</v>
      </c>
      <c r="AP319" s="21">
        <f t="shared" ref="AP319:AW319" si="1102">IF($F$290, 0, IF($C$296, IF(AND(COLUMN($AP$319)-COLUMN($B$319)=$Q$291,ROW($AP$319)-ROW($B$319)=$K$291), U$290, AP319), AP319))</f>
        <v>0</v>
      </c>
      <c r="AQ319" s="21">
        <f t="shared" si="1102"/>
        <v>0</v>
      </c>
      <c r="AR319" s="21">
        <f t="shared" si="1102"/>
        <v>0</v>
      </c>
      <c r="AS319" s="21">
        <f t="shared" si="1102"/>
        <v>0</v>
      </c>
      <c r="AT319" s="21">
        <f t="shared" si="1102"/>
        <v>0</v>
      </c>
      <c r="AU319" s="21">
        <f t="shared" si="1102"/>
        <v>0</v>
      </c>
      <c r="AV319" s="21">
        <f t="shared" si="1102"/>
        <v>0</v>
      </c>
      <c r="AW319" s="21">
        <f t="shared" si="1102"/>
        <v>0</v>
      </c>
      <c r="AX319" s="21">
        <f t="shared" ref="AX319:BE319" si="1103">IF($F$290, 0, IF($C$296, IF(AND(COLUMN($AX$319)-COLUMN($B$319)=$Q$291,ROW($AX$319)-ROW($B$319)=$K$291), U$290, AX319), AX319))</f>
        <v>0</v>
      </c>
      <c r="AY319" s="21">
        <f t="shared" si="1103"/>
        <v>0</v>
      </c>
      <c r="AZ319" s="21">
        <f t="shared" si="1103"/>
        <v>0</v>
      </c>
      <c r="BA319" s="21">
        <f t="shared" si="1103"/>
        <v>0</v>
      </c>
      <c r="BB319" s="21">
        <f t="shared" si="1103"/>
        <v>0</v>
      </c>
      <c r="BC319" s="21">
        <f t="shared" si="1103"/>
        <v>0</v>
      </c>
      <c r="BD319" s="21">
        <f t="shared" si="1103"/>
        <v>0</v>
      </c>
      <c r="BE319" s="21">
        <f t="shared" si="1103"/>
        <v>0</v>
      </c>
      <c r="BF319" s="21">
        <f t="shared" ref="BF319:BM319" si="1104">IF($F$290, 0, IF($C$296, IF(AND(COLUMN($BF$319)-COLUMN($B$319)=$Q$291,ROW($BF$319)-ROW($B$319)=$K$291), U$290, BF319), BF319))</f>
        <v>0</v>
      </c>
      <c r="BG319" s="21">
        <f t="shared" si="1104"/>
        <v>0</v>
      </c>
      <c r="BH319" s="21">
        <f t="shared" si="1104"/>
        <v>0</v>
      </c>
      <c r="BI319" s="21">
        <f t="shared" si="1104"/>
        <v>0</v>
      </c>
      <c r="BJ319" s="21">
        <f t="shared" si="1104"/>
        <v>0</v>
      </c>
      <c r="BK319" s="21">
        <f t="shared" si="1104"/>
        <v>0</v>
      </c>
      <c r="BL319" s="21">
        <f t="shared" si="1104"/>
        <v>0</v>
      </c>
      <c r="BM319" s="21">
        <f t="shared" si="1104"/>
        <v>0</v>
      </c>
      <c r="BN319" s="21">
        <f t="shared" ref="BN319:BU319" si="1105">IF($F$290, 0, IF($D$296, IF(AND(COLUMN($BN$319)-COLUMN($BN$319)=$Q$291,ROW($BN$319)-ROW($BN$319)=$K$291), U$290, BN319), BN319))</f>
        <v>0</v>
      </c>
      <c r="BO319" s="21">
        <f t="shared" si="1105"/>
        <v>0</v>
      </c>
      <c r="BP319" s="21">
        <f t="shared" si="1105"/>
        <v>0</v>
      </c>
      <c r="BQ319" s="21">
        <f t="shared" si="1105"/>
        <v>0</v>
      </c>
      <c r="BR319" s="21">
        <f t="shared" si="1105"/>
        <v>0</v>
      </c>
      <c r="BS319" s="21">
        <f t="shared" si="1105"/>
        <v>0</v>
      </c>
      <c r="BT319" s="21">
        <f t="shared" si="1105"/>
        <v>0</v>
      </c>
      <c r="BU319" s="21">
        <f t="shared" si="1105"/>
        <v>0</v>
      </c>
      <c r="BV319" s="21">
        <f t="shared" ref="BV319:CC319" si="1106">IF($F$290, 0, IF($D$296, IF(AND(COLUMN($BV$319)-COLUMN($BN$319)=$Q$291,ROW($BV$319)-ROW($BN$319)=$K$291), U$290, BV319), BV319))</f>
        <v>0</v>
      </c>
      <c r="BW319" s="21">
        <f t="shared" si="1106"/>
        <v>0</v>
      </c>
      <c r="BX319" s="21">
        <f t="shared" si="1106"/>
        <v>0</v>
      </c>
      <c r="BY319" s="21">
        <f t="shared" si="1106"/>
        <v>0</v>
      </c>
      <c r="BZ319" s="21">
        <f t="shared" si="1106"/>
        <v>0</v>
      </c>
      <c r="CA319" s="21">
        <f t="shared" si="1106"/>
        <v>0</v>
      </c>
      <c r="CB319" s="21">
        <f t="shared" si="1106"/>
        <v>0</v>
      </c>
      <c r="CC319" s="21">
        <f t="shared" si="1106"/>
        <v>0</v>
      </c>
      <c r="CD319" s="21">
        <f t="shared" ref="CD319:CK319" si="1107">IF($F$290, 0, IF($D$296, IF(AND(COLUMN($CD$319)-COLUMN($BN$319)=$Q$291,ROW($CD$319)-ROW($BN$319)=$K$291), U$290, CD319), CD319))</f>
        <v>0</v>
      </c>
      <c r="CE319" s="21">
        <f t="shared" si="1107"/>
        <v>0</v>
      </c>
      <c r="CF319" s="21">
        <f t="shared" si="1107"/>
        <v>0</v>
      </c>
      <c r="CG319" s="21">
        <f t="shared" si="1107"/>
        <v>0</v>
      </c>
      <c r="CH319" s="21">
        <f t="shared" si="1107"/>
        <v>0</v>
      </c>
      <c r="CI319" s="21">
        <f t="shared" si="1107"/>
        <v>0</v>
      </c>
      <c r="CJ319" s="21">
        <f t="shared" si="1107"/>
        <v>0</v>
      </c>
      <c r="CK319" s="21">
        <f t="shared" si="1107"/>
        <v>0</v>
      </c>
      <c r="CL319" s="21">
        <f t="shared" ref="CL319:CS319" si="1108">IF($F$290, 0, IF($D$296, IF(AND(COLUMN($CL$319)-COLUMN($BN$319)=$Q$291,ROW($CL$319)-ROW($BN$319)=$K$291), U$290, CL319), CL319))</f>
        <v>0</v>
      </c>
      <c r="CM319" s="21">
        <f t="shared" si="1108"/>
        <v>0</v>
      </c>
      <c r="CN319" s="21">
        <f t="shared" si="1108"/>
        <v>0</v>
      </c>
      <c r="CO319" s="21">
        <f t="shared" si="1108"/>
        <v>0</v>
      </c>
      <c r="CP319" s="21">
        <f t="shared" si="1108"/>
        <v>0</v>
      </c>
      <c r="CQ319" s="21">
        <f t="shared" si="1108"/>
        <v>0</v>
      </c>
      <c r="CR319" s="21">
        <f t="shared" si="1108"/>
        <v>0</v>
      </c>
      <c r="CS319" s="21">
        <f t="shared" si="1108"/>
        <v>0</v>
      </c>
      <c r="CT319" s="21">
        <f t="shared" ref="CT319:DA319" si="1109">IF($F$290, 0, IF($D$296, IF(AND(COLUMN($CT$319)-COLUMN($BN$319)=$Q$291,ROW($CT$319)-ROW($BN$319)=$K$291), U$290, CT319), CT319))</f>
        <v>0</v>
      </c>
      <c r="CU319" s="21">
        <f t="shared" si="1109"/>
        <v>0</v>
      </c>
      <c r="CV319" s="21">
        <f t="shared" si="1109"/>
        <v>0</v>
      </c>
      <c r="CW319" s="21">
        <f t="shared" si="1109"/>
        <v>0</v>
      </c>
      <c r="CX319" s="21">
        <f t="shared" si="1109"/>
        <v>0</v>
      </c>
      <c r="CY319" s="21">
        <f t="shared" si="1109"/>
        <v>0</v>
      </c>
      <c r="CZ319" s="21">
        <f t="shared" si="1109"/>
        <v>0</v>
      </c>
      <c r="DA319" s="21">
        <f t="shared" si="1109"/>
        <v>0</v>
      </c>
      <c r="DB319" s="21">
        <f t="shared" ref="DB319:DI319" si="1110">IF($F$290, 0, IF($D$296, IF(AND(COLUMN($DB$319)-COLUMN($BN$319)=$Q$291,ROW($DB$319)-ROW($BN$319)=$K$291), U$290, DB319), DB319))</f>
        <v>0</v>
      </c>
      <c r="DC319" s="21">
        <f t="shared" si="1110"/>
        <v>0</v>
      </c>
      <c r="DD319" s="21">
        <f t="shared" si="1110"/>
        <v>0</v>
      </c>
      <c r="DE319" s="21">
        <f t="shared" si="1110"/>
        <v>0</v>
      </c>
      <c r="DF319" s="21">
        <f t="shared" si="1110"/>
        <v>0</v>
      </c>
      <c r="DG319" s="21">
        <f t="shared" si="1110"/>
        <v>0</v>
      </c>
      <c r="DH319" s="21">
        <f t="shared" si="1110"/>
        <v>0</v>
      </c>
      <c r="DI319" s="21">
        <f t="shared" si="1110"/>
        <v>0</v>
      </c>
      <c r="DJ319" s="21">
        <f t="shared" ref="DJ319:DQ319" si="1111">IF($F$290, 0, IF($D$296, IF(AND(COLUMN($DJ$319)-COLUMN($BN$319)=$Q$291,ROW($DJ$319)-ROW($BN$319)=$K$291), U$290, DJ319), DJ319))</f>
        <v>0</v>
      </c>
      <c r="DK319" s="21">
        <f t="shared" si="1111"/>
        <v>0</v>
      </c>
      <c r="DL319" s="21">
        <f t="shared" si="1111"/>
        <v>0</v>
      </c>
      <c r="DM319" s="21">
        <f t="shared" si="1111"/>
        <v>0</v>
      </c>
      <c r="DN319" s="21">
        <f t="shared" si="1111"/>
        <v>0</v>
      </c>
      <c r="DO319" s="21">
        <f t="shared" si="1111"/>
        <v>0</v>
      </c>
      <c r="DP319" s="21">
        <f t="shared" si="1111"/>
        <v>0</v>
      </c>
      <c r="DQ319" s="21">
        <f t="shared" si="1111"/>
        <v>0</v>
      </c>
      <c r="DR319" s="21">
        <f t="shared" ref="DR319:DY319" si="1112">IF($F$290, 0, IF($D$296, IF(AND(COLUMN($DR$319)-COLUMN($BN$319)=$Q$291,ROW($DR$319)-ROW($BN$319)=$K$291), U$290, DR319), DR319))</f>
        <v>0</v>
      </c>
      <c r="DS319" s="21">
        <f t="shared" si="1112"/>
        <v>0</v>
      </c>
      <c r="DT319" s="21">
        <f t="shared" si="1112"/>
        <v>0</v>
      </c>
      <c r="DU319" s="21">
        <f t="shared" si="1112"/>
        <v>0</v>
      </c>
      <c r="DV319" s="21">
        <f t="shared" si="1112"/>
        <v>0</v>
      </c>
      <c r="DW319" s="21">
        <f t="shared" si="1112"/>
        <v>0</v>
      </c>
      <c r="DX319" s="21">
        <f t="shared" si="1112"/>
        <v>0</v>
      </c>
      <c r="DY319" s="21">
        <f t="shared" si="1112"/>
        <v>0</v>
      </c>
      <c r="DZ319" s="21">
        <f t="shared" ref="DZ319:EG319" si="1113">IF($F$290, 0, IF($E$296, IF(AND(COLUMN($DZ$319)-COLUMN($DZ$319)=$Q$291,ROW($DZ$319)-ROW($DZ$319)=$K$291), U$290, DZ319), DZ319))</f>
        <v>0</v>
      </c>
      <c r="EA319" s="21">
        <f t="shared" si="1113"/>
        <v>0</v>
      </c>
      <c r="EB319" s="21">
        <f t="shared" si="1113"/>
        <v>0</v>
      </c>
      <c r="EC319" s="21">
        <f t="shared" si="1113"/>
        <v>0</v>
      </c>
      <c r="ED319" s="21">
        <f t="shared" si="1113"/>
        <v>0</v>
      </c>
      <c r="EE319" s="21">
        <f t="shared" si="1113"/>
        <v>0</v>
      </c>
      <c r="EF319" s="21">
        <f t="shared" si="1113"/>
        <v>0</v>
      </c>
      <c r="EG319" s="21">
        <f t="shared" si="1113"/>
        <v>0</v>
      </c>
      <c r="EH319" s="21">
        <f t="shared" ref="EH319:EO319" si="1114">IF($F$290, 0, IF($E$296, IF(AND(COLUMN($EH$319)-COLUMN($DZ$319)=$Q$291,ROW($EH$319)-ROW($DZ$319)=$K$291), U$290, EH319), EH319))</f>
        <v>0</v>
      </c>
      <c r="EI319" s="21">
        <f t="shared" si="1114"/>
        <v>0</v>
      </c>
      <c r="EJ319" s="21">
        <f t="shared" si="1114"/>
        <v>0</v>
      </c>
      <c r="EK319" s="21">
        <f t="shared" si="1114"/>
        <v>0</v>
      </c>
      <c r="EL319" s="21">
        <f t="shared" si="1114"/>
        <v>0</v>
      </c>
      <c r="EM319" s="21">
        <f t="shared" si="1114"/>
        <v>0</v>
      </c>
      <c r="EN319" s="21">
        <f t="shared" si="1114"/>
        <v>0</v>
      </c>
      <c r="EO319" s="21">
        <f t="shared" si="1114"/>
        <v>0</v>
      </c>
      <c r="EP319" s="21">
        <f t="shared" ref="EP319:EW319" si="1115">IF($F$290, 0, IF($E$296, IF(AND(COLUMN($EP$319)-COLUMN($DZ$319)=$Q$291,ROW($EP$319)-ROW($DZ$319)=$K$291), U$290, EP319), EP319))</f>
        <v>0</v>
      </c>
      <c r="EQ319" s="21">
        <f t="shared" si="1115"/>
        <v>0</v>
      </c>
      <c r="ER319" s="21">
        <f t="shared" si="1115"/>
        <v>0</v>
      </c>
      <c r="ES319" s="21">
        <f t="shared" si="1115"/>
        <v>0</v>
      </c>
      <c r="ET319" s="21">
        <f t="shared" si="1115"/>
        <v>0</v>
      </c>
      <c r="EU319" s="21">
        <f t="shared" si="1115"/>
        <v>0</v>
      </c>
      <c r="EV319" s="21">
        <f t="shared" si="1115"/>
        <v>0</v>
      </c>
      <c r="EW319" s="21">
        <f t="shared" si="1115"/>
        <v>0</v>
      </c>
      <c r="EX319" s="21">
        <f t="shared" ref="EX319:FE319" si="1116">IF($F$290, 0, IF($E$296, IF(AND(COLUMN($EX$319)-COLUMN($DZ$319)=$Q$291,ROW($EX$319)-ROW($DZ$319)=$K$291), U$290, EX319), EX319))</f>
        <v>0</v>
      </c>
      <c r="EY319" s="21">
        <f t="shared" si="1116"/>
        <v>0</v>
      </c>
      <c r="EZ319" s="21">
        <f t="shared" si="1116"/>
        <v>0</v>
      </c>
      <c r="FA319" s="21">
        <f t="shared" si="1116"/>
        <v>0</v>
      </c>
      <c r="FB319" s="21">
        <f t="shared" si="1116"/>
        <v>0</v>
      </c>
      <c r="FC319" s="21">
        <f t="shared" si="1116"/>
        <v>0</v>
      </c>
      <c r="FD319" s="21">
        <f t="shared" si="1116"/>
        <v>0</v>
      </c>
      <c r="FE319" s="21">
        <f t="shared" si="1116"/>
        <v>0</v>
      </c>
      <c r="FF319" s="21">
        <f t="shared" ref="FF319:FM319" si="1117">IF($F$290, 0, IF($E$296, IF(AND(COLUMN($FF$319)-COLUMN($DZ$319)=$Q$291,ROW($FF$319)-ROW($DZ$319)=$K$291), U$290, FF319), FF319))</f>
        <v>0</v>
      </c>
      <c r="FG319" s="21">
        <f t="shared" si="1117"/>
        <v>0</v>
      </c>
      <c r="FH319" s="21">
        <f t="shared" si="1117"/>
        <v>0</v>
      </c>
      <c r="FI319" s="21">
        <f t="shared" si="1117"/>
        <v>0</v>
      </c>
      <c r="FJ319" s="21">
        <f t="shared" si="1117"/>
        <v>0</v>
      </c>
      <c r="FK319" s="21">
        <f t="shared" si="1117"/>
        <v>0</v>
      </c>
      <c r="FL319" s="21">
        <f t="shared" si="1117"/>
        <v>0</v>
      </c>
      <c r="FM319" s="21">
        <f t="shared" si="1117"/>
        <v>0</v>
      </c>
      <c r="FN319" s="21">
        <f t="shared" ref="FN319:FU319" si="1118">IF($F$290, 0, IF($E$296, IF(AND(COLUMN($FN$319)-COLUMN($DZ$319)=$Q$291,ROW($FN$319)-ROW($DZ$319)=$K$291), U$290, FN319), FN319))</f>
        <v>0</v>
      </c>
      <c r="FO319" s="21">
        <f t="shared" si="1118"/>
        <v>0</v>
      </c>
      <c r="FP319" s="21">
        <f t="shared" si="1118"/>
        <v>0</v>
      </c>
      <c r="FQ319" s="21">
        <f t="shared" si="1118"/>
        <v>0</v>
      </c>
      <c r="FR319" s="21">
        <f t="shared" si="1118"/>
        <v>0</v>
      </c>
      <c r="FS319" s="21">
        <f t="shared" si="1118"/>
        <v>0</v>
      </c>
      <c r="FT319" s="21">
        <f t="shared" si="1118"/>
        <v>0</v>
      </c>
      <c r="FU319" s="21">
        <f t="shared" si="1118"/>
        <v>0</v>
      </c>
      <c r="FV319" s="21">
        <f t="shared" ref="FV319:GC319" si="1119">IF($F$290, 0, IF($E$296, IF(AND(COLUMN($FV$319)-COLUMN($DZ$319)=$Q$291,ROW($FV$319)-ROW($DZ$319)=$K$291), U$290, FV319), FV319))</f>
        <v>0</v>
      </c>
      <c r="FW319" s="21">
        <f t="shared" si="1119"/>
        <v>0</v>
      </c>
      <c r="FX319" s="21">
        <f t="shared" si="1119"/>
        <v>0</v>
      </c>
      <c r="FY319" s="21">
        <f t="shared" si="1119"/>
        <v>0</v>
      </c>
      <c r="FZ319" s="21">
        <f t="shared" si="1119"/>
        <v>0</v>
      </c>
      <c r="GA319" s="21">
        <f t="shared" si="1119"/>
        <v>0</v>
      </c>
      <c r="GB319" s="21">
        <f t="shared" si="1119"/>
        <v>0</v>
      </c>
      <c r="GC319" s="21">
        <f t="shared" si="1119"/>
        <v>0</v>
      </c>
      <c r="GD319" s="21">
        <f t="shared" ref="GD319:GK319" si="1120">IF($F$290, 0, IF($E$296, IF(AND(COLUMN($GD$319)-COLUMN($DZ$319)=$Q$291,ROW($GD$319)-ROW($DZ$319)=$K$291), U$290, GD319), GD319))</f>
        <v>0</v>
      </c>
      <c r="GE319" s="21">
        <f t="shared" si="1120"/>
        <v>0</v>
      </c>
      <c r="GF319" s="21">
        <f t="shared" si="1120"/>
        <v>0</v>
      </c>
      <c r="GG319" s="21">
        <f t="shared" si="1120"/>
        <v>0</v>
      </c>
      <c r="GH319" s="21">
        <f t="shared" si="1120"/>
        <v>0</v>
      </c>
      <c r="GI319" s="21">
        <f t="shared" si="1120"/>
        <v>0</v>
      </c>
      <c r="GJ319" s="21">
        <f t="shared" si="1120"/>
        <v>0</v>
      </c>
      <c r="GK319" s="21">
        <f t="shared" si="1120"/>
        <v>0</v>
      </c>
      <c r="GL319" s="21">
        <f t="shared" ref="GL319:GS319" si="1121">IF($F$290, 0, IF($F$296, IF(AND(COLUMN($GL$319)-COLUMN($GL$319)=$Q$291,ROW($GL$319)-ROW($GL$319)=$K$291), U$290, GL319), GL319))</f>
        <v>0</v>
      </c>
      <c r="GM319" s="21">
        <f t="shared" si="1121"/>
        <v>0</v>
      </c>
      <c r="GN319" s="21">
        <f t="shared" si="1121"/>
        <v>0</v>
      </c>
      <c r="GO319" s="21">
        <f t="shared" si="1121"/>
        <v>0</v>
      </c>
      <c r="GP319" s="21">
        <f t="shared" si="1121"/>
        <v>0</v>
      </c>
      <c r="GQ319" s="21">
        <f t="shared" si="1121"/>
        <v>0</v>
      </c>
      <c r="GR319" s="21">
        <f t="shared" si="1121"/>
        <v>0</v>
      </c>
      <c r="GS319" s="21">
        <f t="shared" si="1121"/>
        <v>0</v>
      </c>
      <c r="GT319" s="21">
        <f t="shared" ref="GT319:HA319" si="1122">IF($F$290, 0, IF($F$296, IF(AND(COLUMN($GT$319)-COLUMN($GL$319)=$Q$291,ROW($GT$319)-ROW($GL$319)=$K$291), U$290, GT319), GT319))</f>
        <v>0</v>
      </c>
      <c r="GU319" s="21">
        <f t="shared" si="1122"/>
        <v>0</v>
      </c>
      <c r="GV319" s="21">
        <f t="shared" si="1122"/>
        <v>0</v>
      </c>
      <c r="GW319" s="21">
        <f t="shared" si="1122"/>
        <v>0</v>
      </c>
      <c r="GX319" s="21">
        <f t="shared" si="1122"/>
        <v>0</v>
      </c>
      <c r="GY319" s="21">
        <f t="shared" si="1122"/>
        <v>0</v>
      </c>
      <c r="GZ319" s="21">
        <f t="shared" si="1122"/>
        <v>0</v>
      </c>
      <c r="HA319" s="21">
        <f t="shared" si="1122"/>
        <v>0</v>
      </c>
      <c r="HB319" s="21">
        <f t="shared" ref="HB319:HI319" si="1123">IF($F$290, 0, IF($F$296, IF(AND(COLUMN($HB$319)-COLUMN($GL$319)=$Q$291,ROW($HB$319)-ROW($GL$319)=$K$291), U$290, HB319), HB319))</f>
        <v>0</v>
      </c>
      <c r="HC319" s="21">
        <f t="shared" si="1123"/>
        <v>0</v>
      </c>
      <c r="HD319" s="21">
        <f t="shared" si="1123"/>
        <v>0</v>
      </c>
      <c r="HE319" s="21">
        <f t="shared" si="1123"/>
        <v>0</v>
      </c>
      <c r="HF319" s="21">
        <f t="shared" si="1123"/>
        <v>0</v>
      </c>
      <c r="HG319" s="21">
        <f t="shared" si="1123"/>
        <v>0</v>
      </c>
      <c r="HH319" s="21">
        <f t="shared" si="1123"/>
        <v>0</v>
      </c>
      <c r="HI319" s="21">
        <f t="shared" si="1123"/>
        <v>0</v>
      </c>
      <c r="HJ319" s="21">
        <f t="shared" ref="HJ319:HQ319" si="1124">IF($F$290, 0, IF($F$296, IF(AND(COLUMN($HJ$319)-COLUMN($GL$319)=$Q$291,ROW($HJ$319)-ROW($GL$319)=$K$291), U$290, HJ319), HJ319))</f>
        <v>0</v>
      </c>
      <c r="HK319" s="21">
        <f t="shared" si="1124"/>
        <v>0</v>
      </c>
      <c r="HL319" s="21">
        <f t="shared" si="1124"/>
        <v>0</v>
      </c>
      <c r="HM319" s="21">
        <f t="shared" si="1124"/>
        <v>0</v>
      </c>
      <c r="HN319" s="21">
        <f t="shared" si="1124"/>
        <v>0</v>
      </c>
      <c r="HO319" s="21">
        <f t="shared" si="1124"/>
        <v>0</v>
      </c>
      <c r="HP319" s="21">
        <f t="shared" si="1124"/>
        <v>0</v>
      </c>
      <c r="HQ319" s="21">
        <f t="shared" si="1124"/>
        <v>0</v>
      </c>
      <c r="HR319" s="21">
        <f t="shared" ref="HR319:HY319" si="1125">IF($F$290, 0, IF($F$296, IF(AND(COLUMN($HR$319)-COLUMN($GL$319)=$Q$291,ROW($HR$319)-ROW($GL$319)=$K$291), U$290, HR319), HR319))</f>
        <v>0</v>
      </c>
      <c r="HS319" s="21">
        <f t="shared" si="1125"/>
        <v>0</v>
      </c>
      <c r="HT319" s="21">
        <f t="shared" si="1125"/>
        <v>0</v>
      </c>
      <c r="HU319" s="21">
        <f t="shared" si="1125"/>
        <v>0</v>
      </c>
      <c r="HV319" s="21">
        <f t="shared" si="1125"/>
        <v>0</v>
      </c>
      <c r="HW319" s="21">
        <f t="shared" si="1125"/>
        <v>0</v>
      </c>
      <c r="HX319" s="21">
        <f t="shared" si="1125"/>
        <v>0</v>
      </c>
      <c r="HY319" s="21">
        <f t="shared" si="1125"/>
        <v>0</v>
      </c>
      <c r="HZ319" s="21">
        <f t="shared" ref="HZ319:IG319" si="1126">IF($F$290, 0, IF($F$296, IF(AND(COLUMN($HZ$319)-COLUMN($GL$319)=$Q$291,ROW($HZ$319)-ROW($GL$319)=$K$291), U$290, HZ319), HZ319))</f>
        <v>0</v>
      </c>
      <c r="IA319" s="21">
        <f t="shared" si="1126"/>
        <v>0</v>
      </c>
      <c r="IB319" s="21">
        <f t="shared" si="1126"/>
        <v>0</v>
      </c>
      <c r="IC319" s="21">
        <f t="shared" si="1126"/>
        <v>0</v>
      </c>
      <c r="ID319" s="21">
        <f t="shared" si="1126"/>
        <v>0</v>
      </c>
      <c r="IE319" s="21">
        <f t="shared" si="1126"/>
        <v>0</v>
      </c>
      <c r="IF319" s="21">
        <f t="shared" si="1126"/>
        <v>0</v>
      </c>
      <c r="IG319" s="21">
        <f t="shared" si="1126"/>
        <v>0</v>
      </c>
      <c r="IH319" s="21">
        <f t="shared" ref="IH319:IO319" si="1127">IF($F$290, 0, IF($F$296, IF(AND(COLUMN($IH$319)-COLUMN($GL$319)=$Q$291,ROW($IH$319)-ROW($GL$319)=$K$291), U$290, IH319), IH319))</f>
        <v>0</v>
      </c>
      <c r="II319" s="21">
        <f t="shared" si="1127"/>
        <v>0</v>
      </c>
      <c r="IJ319" s="21">
        <f t="shared" si="1127"/>
        <v>0</v>
      </c>
      <c r="IK319" s="21">
        <f t="shared" si="1127"/>
        <v>0</v>
      </c>
      <c r="IL319" s="21">
        <f t="shared" si="1127"/>
        <v>0</v>
      </c>
      <c r="IM319" s="21">
        <f t="shared" si="1127"/>
        <v>0</v>
      </c>
      <c r="IN319" s="21">
        <f t="shared" si="1127"/>
        <v>0</v>
      </c>
      <c r="IO319" s="21">
        <f t="shared" si="1127"/>
        <v>0</v>
      </c>
      <c r="IP319" s="21">
        <f t="shared" ref="IP319:IW319" si="1128">IF($F$290, 0, IF($F$296, IF(AND(COLUMN($IP$319)-COLUMN($GL$319)=$Q$291,ROW($IP$319)-ROW($GL$319)=$K$291), U$290, IP319), IP319))</f>
        <v>0</v>
      </c>
      <c r="IQ319" s="21">
        <f t="shared" si="1128"/>
        <v>0</v>
      </c>
      <c r="IR319" s="21">
        <f t="shared" si="1128"/>
        <v>0</v>
      </c>
      <c r="IS319" s="21">
        <f t="shared" si="1128"/>
        <v>0</v>
      </c>
      <c r="IT319" s="21">
        <f t="shared" si="1128"/>
        <v>0</v>
      </c>
      <c r="IU319" s="21">
        <f t="shared" si="1128"/>
        <v>0</v>
      </c>
      <c r="IV319" s="21">
        <f t="shared" si="1128"/>
        <v>0</v>
      </c>
      <c r="IW319" s="21">
        <f t="shared" si="1128"/>
        <v>0</v>
      </c>
      <c r="IX319" s="21">
        <f t="shared" ref="IX319:JE319" si="1129">IF($F$290, 0, IF($G$296, IF(AND(COLUMN($IX$319)-COLUMN($IX$319)=$Q$291,ROW($IX$319)-ROW($IX$319)=$K$291), U$290, IX319), IX319))</f>
        <v>0</v>
      </c>
      <c r="IY319" s="21">
        <f t="shared" si="1129"/>
        <v>0</v>
      </c>
      <c r="IZ319" s="21">
        <f t="shared" si="1129"/>
        <v>0</v>
      </c>
      <c r="JA319" s="21">
        <f t="shared" si="1129"/>
        <v>0</v>
      </c>
      <c r="JB319" s="21">
        <f t="shared" si="1129"/>
        <v>0</v>
      </c>
      <c r="JC319" s="21">
        <f t="shared" si="1129"/>
        <v>0</v>
      </c>
      <c r="JD319" s="21">
        <f t="shared" si="1129"/>
        <v>0</v>
      </c>
      <c r="JE319" s="21">
        <f t="shared" si="1129"/>
        <v>0</v>
      </c>
      <c r="JF319" s="21">
        <f t="shared" ref="JF319:JM319" si="1130">IF($F$290, 0, IF($G$296, IF(AND(COLUMN($JF$319)-COLUMN($IX$319)=$Q$291,ROW($JF$319)-ROW($IX$319)=$K$291), U$290, JF319), JF319))</f>
        <v>0</v>
      </c>
      <c r="JG319" s="21">
        <f t="shared" si="1130"/>
        <v>0</v>
      </c>
      <c r="JH319" s="21">
        <f t="shared" si="1130"/>
        <v>0</v>
      </c>
      <c r="JI319" s="21">
        <f t="shared" si="1130"/>
        <v>0</v>
      </c>
      <c r="JJ319" s="21">
        <f t="shared" si="1130"/>
        <v>0</v>
      </c>
      <c r="JK319" s="21">
        <f t="shared" si="1130"/>
        <v>0</v>
      </c>
      <c r="JL319" s="21">
        <f t="shared" si="1130"/>
        <v>0</v>
      </c>
      <c r="JM319" s="21">
        <f t="shared" si="1130"/>
        <v>0</v>
      </c>
      <c r="JN319" s="21">
        <f t="shared" ref="JN319:JU319" si="1131">IF($F$290, 0, IF($G$296, IF(AND(COLUMN($JN$319)-COLUMN($IX$319)=$Q$291,ROW($JN$319)-ROW($IX$319)=$K$291), U$290, JN319), JN319))</f>
        <v>0</v>
      </c>
      <c r="JO319" s="21">
        <f t="shared" si="1131"/>
        <v>0</v>
      </c>
      <c r="JP319" s="21">
        <f t="shared" si="1131"/>
        <v>0</v>
      </c>
      <c r="JQ319" s="21">
        <f t="shared" si="1131"/>
        <v>0</v>
      </c>
      <c r="JR319" s="21">
        <f t="shared" si="1131"/>
        <v>0</v>
      </c>
      <c r="JS319" s="21">
        <f t="shared" si="1131"/>
        <v>0</v>
      </c>
      <c r="JT319" s="21">
        <f t="shared" si="1131"/>
        <v>0</v>
      </c>
      <c r="JU319" s="21">
        <f t="shared" si="1131"/>
        <v>0</v>
      </c>
      <c r="JV319" s="21">
        <f t="shared" ref="JV319:KC319" si="1132">IF($F$290, 0, IF($G$296, IF(AND(COLUMN($JV$319)-COLUMN($IX$319)=$Q$291,ROW($JV$319)-ROW($IX$319)=$K$291), U$290, JV319), JV319))</f>
        <v>0</v>
      </c>
      <c r="JW319" s="21">
        <f t="shared" si="1132"/>
        <v>0</v>
      </c>
      <c r="JX319" s="21">
        <f t="shared" si="1132"/>
        <v>0</v>
      </c>
      <c r="JY319" s="21">
        <f t="shared" si="1132"/>
        <v>0</v>
      </c>
      <c r="JZ319" s="21">
        <f t="shared" si="1132"/>
        <v>0</v>
      </c>
      <c r="KA319" s="21">
        <f t="shared" si="1132"/>
        <v>0</v>
      </c>
      <c r="KB319" s="21">
        <f t="shared" si="1132"/>
        <v>0</v>
      </c>
      <c r="KC319" s="21">
        <f t="shared" si="1132"/>
        <v>0</v>
      </c>
      <c r="KD319" s="21">
        <f t="shared" ref="KD319:KK319" si="1133">IF($F$290, 0, IF($G$296, IF(AND(COLUMN($KD$319)-COLUMN($IX$319)=$Q$291,ROW($KD$319)-ROW($IX$319)=$K$291), U$290, KD319), KD319))</f>
        <v>0</v>
      </c>
      <c r="KE319" s="21">
        <f t="shared" si="1133"/>
        <v>0</v>
      </c>
      <c r="KF319" s="21">
        <f t="shared" si="1133"/>
        <v>0</v>
      </c>
      <c r="KG319" s="21">
        <f t="shared" si="1133"/>
        <v>0</v>
      </c>
      <c r="KH319" s="21">
        <f t="shared" si="1133"/>
        <v>0</v>
      </c>
      <c r="KI319" s="21">
        <f t="shared" si="1133"/>
        <v>0</v>
      </c>
      <c r="KJ319" s="21">
        <f t="shared" si="1133"/>
        <v>0</v>
      </c>
      <c r="KK319" s="21">
        <f t="shared" si="1133"/>
        <v>0</v>
      </c>
      <c r="KL319" s="21">
        <f t="shared" ref="KL319:KS319" si="1134">IF($F$290, 0, IF($G$296, IF(AND(COLUMN($KL$319)-COLUMN($IX$319)=$Q$291,ROW($KL$319)-ROW($IX$319)=$K$291), U$290, KL319), KL319))</f>
        <v>0</v>
      </c>
      <c r="KM319" s="21">
        <f t="shared" si="1134"/>
        <v>0</v>
      </c>
      <c r="KN319" s="21">
        <f t="shared" si="1134"/>
        <v>0</v>
      </c>
      <c r="KO319" s="21">
        <f t="shared" si="1134"/>
        <v>0</v>
      </c>
      <c r="KP319" s="21">
        <f t="shared" si="1134"/>
        <v>0</v>
      </c>
      <c r="KQ319" s="21">
        <f t="shared" si="1134"/>
        <v>0</v>
      </c>
      <c r="KR319" s="21">
        <f t="shared" si="1134"/>
        <v>0</v>
      </c>
      <c r="KS319" s="21">
        <f t="shared" si="1134"/>
        <v>0</v>
      </c>
      <c r="KT319" s="21">
        <f t="shared" ref="KT319:LA319" si="1135">IF($F$290, 0, IF($G$296, IF(AND(COLUMN($KT$319)-COLUMN($IX$319)=$Q$291,ROW($KT$319)-ROW($IX$319)=$K$291), U$290, KT319), KT319))</f>
        <v>0</v>
      </c>
      <c r="KU319" s="21">
        <f t="shared" si="1135"/>
        <v>0</v>
      </c>
      <c r="KV319" s="21">
        <f t="shared" si="1135"/>
        <v>0</v>
      </c>
      <c r="KW319" s="21">
        <f t="shared" si="1135"/>
        <v>0</v>
      </c>
      <c r="KX319" s="21">
        <f t="shared" si="1135"/>
        <v>0</v>
      </c>
      <c r="KY319" s="21">
        <f t="shared" si="1135"/>
        <v>0</v>
      </c>
      <c r="KZ319" s="21">
        <f t="shared" si="1135"/>
        <v>0</v>
      </c>
      <c r="LA319" s="21">
        <f t="shared" si="1135"/>
        <v>0</v>
      </c>
      <c r="LB319" s="21">
        <f t="shared" ref="LB319:LI319" si="1136">IF($F$290, 0, IF($G$296, IF(AND(COLUMN($LB$319)-COLUMN($IX$319)=$Q$291,ROW($LB$319)-ROW($IX$319)=$K$291), U$290, LB319), LB319))</f>
        <v>0</v>
      </c>
      <c r="LC319" s="21">
        <f t="shared" si="1136"/>
        <v>0</v>
      </c>
      <c r="LD319" s="21">
        <f t="shared" si="1136"/>
        <v>0</v>
      </c>
      <c r="LE319" s="21">
        <f t="shared" si="1136"/>
        <v>0</v>
      </c>
      <c r="LF319" s="21">
        <f t="shared" si="1136"/>
        <v>0</v>
      </c>
      <c r="LG319" s="21">
        <f t="shared" si="1136"/>
        <v>0</v>
      </c>
      <c r="LH319" s="21">
        <f t="shared" si="1136"/>
        <v>0</v>
      </c>
      <c r="LI319" s="21">
        <f t="shared" si="1136"/>
        <v>0</v>
      </c>
      <c r="LJ319" s="21">
        <f t="shared" ref="LJ319:LQ319" si="1137">IF($F$290, 0, IF($H$296, IF(AND(COLUMN($LJ$319)-COLUMN($LJ$319)=$Q$291,ROW($LJ$319)-ROW($LJ$319)=$K$291), U$290, LJ319), LJ319))</f>
        <v>0</v>
      </c>
      <c r="LK319" s="21">
        <f t="shared" si="1137"/>
        <v>0</v>
      </c>
      <c r="LL319" s="21">
        <f t="shared" si="1137"/>
        <v>0</v>
      </c>
      <c r="LM319" s="21">
        <f t="shared" si="1137"/>
        <v>0</v>
      </c>
      <c r="LN319" s="21">
        <f t="shared" si="1137"/>
        <v>0</v>
      </c>
      <c r="LO319" s="21">
        <f t="shared" si="1137"/>
        <v>0</v>
      </c>
      <c r="LP319" s="21">
        <f t="shared" si="1137"/>
        <v>0</v>
      </c>
      <c r="LQ319" s="21">
        <f t="shared" si="1137"/>
        <v>0</v>
      </c>
      <c r="LR319" s="21">
        <f t="shared" ref="LR319:LY319" si="1138">IF($F$290, 0, IF($H$296, IF(AND(COLUMN($LR$319)-COLUMN($LJ$319)=$Q$291,ROW($LR$319)-ROW($LJ$319)=$K$291), U$290, LR319), LR319))</f>
        <v>0</v>
      </c>
      <c r="LS319" s="21">
        <f t="shared" si="1138"/>
        <v>0</v>
      </c>
      <c r="LT319" s="21">
        <f t="shared" si="1138"/>
        <v>0</v>
      </c>
      <c r="LU319" s="21">
        <f t="shared" si="1138"/>
        <v>0</v>
      </c>
      <c r="LV319" s="21">
        <f t="shared" si="1138"/>
        <v>0</v>
      </c>
      <c r="LW319" s="21">
        <f t="shared" si="1138"/>
        <v>0</v>
      </c>
      <c r="LX319" s="21">
        <f t="shared" si="1138"/>
        <v>0</v>
      </c>
      <c r="LY319" s="21">
        <f t="shared" si="1138"/>
        <v>0</v>
      </c>
      <c r="LZ319" s="21">
        <f t="shared" ref="LZ319:MG319" si="1139">IF($F$290, 0, IF($H$296, IF(AND(COLUMN($LZ$319)-COLUMN($LJ$319)=$Q$291,ROW($LZ$319)-ROW($LJ$319)=$K$291), U$290, LZ319), LZ319))</f>
        <v>0</v>
      </c>
      <c r="MA319" s="21">
        <f t="shared" si="1139"/>
        <v>0</v>
      </c>
      <c r="MB319" s="21">
        <f t="shared" si="1139"/>
        <v>0</v>
      </c>
      <c r="MC319" s="21">
        <f t="shared" si="1139"/>
        <v>0</v>
      </c>
      <c r="MD319" s="21">
        <f t="shared" si="1139"/>
        <v>0</v>
      </c>
      <c r="ME319" s="21">
        <f t="shared" si="1139"/>
        <v>0</v>
      </c>
      <c r="MF319" s="21">
        <f t="shared" si="1139"/>
        <v>0</v>
      </c>
      <c r="MG319" s="21">
        <f t="shared" si="1139"/>
        <v>0</v>
      </c>
      <c r="MH319" s="21">
        <f t="shared" ref="MH319:MO319" si="1140">IF($F$290, 0, IF($H$296, IF(AND(COLUMN($MH$319)-COLUMN($LJ$319)=$Q$291,ROW($MH$319)-ROW($LJ$319)=$K$291), U$290, MH319), MH319))</f>
        <v>0</v>
      </c>
      <c r="MI319" s="21">
        <f t="shared" si="1140"/>
        <v>0</v>
      </c>
      <c r="MJ319" s="21">
        <f t="shared" si="1140"/>
        <v>0</v>
      </c>
      <c r="MK319" s="21">
        <f t="shared" si="1140"/>
        <v>0</v>
      </c>
      <c r="ML319" s="21">
        <f t="shared" si="1140"/>
        <v>0</v>
      </c>
      <c r="MM319" s="21">
        <f t="shared" si="1140"/>
        <v>0</v>
      </c>
      <c r="MN319" s="21">
        <f t="shared" si="1140"/>
        <v>0</v>
      </c>
      <c r="MO319" s="21">
        <f t="shared" si="1140"/>
        <v>0</v>
      </c>
      <c r="MP319" s="21">
        <f t="shared" ref="MP319:MW319" si="1141">IF($F$290, 0, IF($H$296, IF(AND(COLUMN($MP$319)-COLUMN($LJ$319)=$Q$291,ROW($MP$319)-ROW($LJ$319)=$K$291), U$290, MP319), MP319))</f>
        <v>0</v>
      </c>
      <c r="MQ319" s="21">
        <f t="shared" si="1141"/>
        <v>0</v>
      </c>
      <c r="MR319" s="21">
        <f t="shared" si="1141"/>
        <v>0</v>
      </c>
      <c r="MS319" s="21">
        <f t="shared" si="1141"/>
        <v>0</v>
      </c>
      <c r="MT319" s="21">
        <f t="shared" si="1141"/>
        <v>0</v>
      </c>
      <c r="MU319" s="21">
        <f t="shared" si="1141"/>
        <v>0</v>
      </c>
      <c r="MV319" s="21">
        <f t="shared" si="1141"/>
        <v>0</v>
      </c>
      <c r="MW319" s="21">
        <f t="shared" si="1141"/>
        <v>0</v>
      </c>
      <c r="MX319" s="21">
        <f t="shared" ref="MX319:NE319" si="1142">IF($F$290, 0, IF($H$296, IF(AND(COLUMN($MX$319)-COLUMN($LJ$319)=$Q$291,ROW($MX$319)-ROW($LJ$319)=$K$291), U$290, MX319), MX319))</f>
        <v>0</v>
      </c>
      <c r="MY319" s="21">
        <f t="shared" si="1142"/>
        <v>0</v>
      </c>
      <c r="MZ319" s="21">
        <f t="shared" si="1142"/>
        <v>0</v>
      </c>
      <c r="NA319" s="21">
        <f t="shared" si="1142"/>
        <v>0</v>
      </c>
      <c r="NB319" s="21">
        <f t="shared" si="1142"/>
        <v>0</v>
      </c>
      <c r="NC319" s="21">
        <f t="shared" si="1142"/>
        <v>0</v>
      </c>
      <c r="ND319" s="21">
        <f t="shared" si="1142"/>
        <v>0</v>
      </c>
      <c r="NE319" s="21">
        <f t="shared" si="1142"/>
        <v>0</v>
      </c>
      <c r="NF319" s="21">
        <f t="shared" ref="NF319:NM319" si="1143">IF($F$290, 0, IF($H$296, IF(AND(COLUMN($NF$319)-COLUMN($LJ$319)=$Q$291,ROW($NF$319)-ROW($LJ$319)=$K$291), U$290, NF319), NF319))</f>
        <v>0</v>
      </c>
      <c r="NG319" s="21">
        <f t="shared" si="1143"/>
        <v>0</v>
      </c>
      <c r="NH319" s="21">
        <f t="shared" si="1143"/>
        <v>0</v>
      </c>
      <c r="NI319" s="21">
        <f t="shared" si="1143"/>
        <v>0</v>
      </c>
      <c r="NJ319" s="21">
        <f t="shared" si="1143"/>
        <v>0</v>
      </c>
      <c r="NK319" s="21">
        <f t="shared" si="1143"/>
        <v>0</v>
      </c>
      <c r="NL319" s="21">
        <f t="shared" si="1143"/>
        <v>0</v>
      </c>
      <c r="NM319" s="21">
        <f t="shared" si="1143"/>
        <v>0</v>
      </c>
      <c r="NN319" s="21">
        <f t="shared" ref="NN319:NU319" si="1144">IF($F$290, 0, IF($H$296, IF(AND(COLUMN($NN$319)-COLUMN($LJ$319)=$Q$291,ROW($NN$319)-ROW($LJ$319)=$K$291), U$290, NN319), NN319))</f>
        <v>0</v>
      </c>
      <c r="NO319" s="21">
        <f t="shared" si="1144"/>
        <v>0</v>
      </c>
      <c r="NP319" s="21">
        <f t="shared" si="1144"/>
        <v>0</v>
      </c>
      <c r="NQ319" s="21">
        <f t="shared" si="1144"/>
        <v>0</v>
      </c>
      <c r="NR319" s="21">
        <f t="shared" si="1144"/>
        <v>0</v>
      </c>
      <c r="NS319" s="21">
        <f t="shared" si="1144"/>
        <v>0</v>
      </c>
      <c r="NT319" s="21">
        <f t="shared" si="1144"/>
        <v>0</v>
      </c>
      <c r="NU319" s="21">
        <f t="shared" si="1144"/>
        <v>0</v>
      </c>
      <c r="NV319" s="21">
        <f t="shared" ref="NV319:OC319" si="1145">IF($F$290, 0, IF($I$296, IF(AND(COLUMN($NV$319)-COLUMN($NV$319)=$Q$291,ROW($NV$319)-ROW($NV$319)=$K$291), U$290, NV319), NV319))</f>
        <v>0</v>
      </c>
      <c r="NW319" s="21">
        <f t="shared" si="1145"/>
        <v>0</v>
      </c>
      <c r="NX319" s="21">
        <f t="shared" si="1145"/>
        <v>0</v>
      </c>
      <c r="NY319" s="21">
        <f t="shared" si="1145"/>
        <v>0</v>
      </c>
      <c r="NZ319" s="21">
        <f t="shared" si="1145"/>
        <v>0</v>
      </c>
      <c r="OA319" s="21">
        <f t="shared" si="1145"/>
        <v>0</v>
      </c>
      <c r="OB319" s="21">
        <f t="shared" si="1145"/>
        <v>0</v>
      </c>
      <c r="OC319" s="21">
        <f t="shared" si="1145"/>
        <v>0</v>
      </c>
      <c r="OD319" s="21">
        <f t="shared" ref="OD319:OK319" si="1146">IF($F$290, 0, IF($I$296, IF(AND(COLUMN($OD$319)-COLUMN($NV$319)=$Q$291,ROW($OD$319)-ROW($NV$319)=$K$291), U$290, OD319), OD319))</f>
        <v>0</v>
      </c>
      <c r="OE319" s="21">
        <f t="shared" si="1146"/>
        <v>0</v>
      </c>
      <c r="OF319" s="21">
        <f t="shared" si="1146"/>
        <v>0</v>
      </c>
      <c r="OG319" s="21">
        <f t="shared" si="1146"/>
        <v>0</v>
      </c>
      <c r="OH319" s="21">
        <f t="shared" si="1146"/>
        <v>0</v>
      </c>
      <c r="OI319" s="21">
        <f t="shared" si="1146"/>
        <v>0</v>
      </c>
      <c r="OJ319" s="21">
        <f t="shared" si="1146"/>
        <v>0</v>
      </c>
      <c r="OK319" s="21">
        <f t="shared" si="1146"/>
        <v>0</v>
      </c>
      <c r="OL319" s="21">
        <f t="shared" ref="OL319:OS319" si="1147">IF($F$290, 0, IF($I$296, IF(AND(COLUMN($OL$319)-COLUMN($NV$319)=$Q$291,ROW($OL$319)-ROW($NV$319)=$K$291), U$290, OL319), OL319))</f>
        <v>0</v>
      </c>
      <c r="OM319" s="21">
        <f t="shared" si="1147"/>
        <v>0</v>
      </c>
      <c r="ON319" s="21">
        <f t="shared" si="1147"/>
        <v>0</v>
      </c>
      <c r="OO319" s="21">
        <f t="shared" si="1147"/>
        <v>0</v>
      </c>
      <c r="OP319" s="21">
        <f t="shared" si="1147"/>
        <v>0</v>
      </c>
      <c r="OQ319" s="21">
        <f t="shared" si="1147"/>
        <v>0</v>
      </c>
      <c r="OR319" s="21">
        <f t="shared" si="1147"/>
        <v>0</v>
      </c>
      <c r="OS319" s="21">
        <f t="shared" si="1147"/>
        <v>0</v>
      </c>
      <c r="OT319" s="21">
        <f t="shared" ref="OT319:PA319" si="1148">IF($F$290, 0, IF($I$296, IF(AND(COLUMN($OT$319)-COLUMN($NV$319)=$Q$291,ROW($OT$319)-ROW($NV$319)=$K$291), U$290, OT319), OT319))</f>
        <v>0</v>
      </c>
      <c r="OU319" s="21">
        <f t="shared" si="1148"/>
        <v>0</v>
      </c>
      <c r="OV319" s="21">
        <f t="shared" si="1148"/>
        <v>0</v>
      </c>
      <c r="OW319" s="21">
        <f t="shared" si="1148"/>
        <v>0</v>
      </c>
      <c r="OX319" s="21">
        <f t="shared" si="1148"/>
        <v>0</v>
      </c>
      <c r="OY319" s="21">
        <f t="shared" si="1148"/>
        <v>0</v>
      </c>
      <c r="OZ319" s="21">
        <f t="shared" si="1148"/>
        <v>0</v>
      </c>
      <c r="PA319" s="21">
        <f t="shared" si="1148"/>
        <v>0</v>
      </c>
      <c r="PB319" s="21">
        <f t="shared" ref="PB319:PI319" si="1149">IF($F$290, 0, IF($I$296, IF(AND(COLUMN($PB$319)-COLUMN($NV$319)=$Q$291,ROW($PB$319)-ROW($NV$319)=$K$291), U$290, PB319), PB319))</f>
        <v>0</v>
      </c>
      <c r="PC319" s="21">
        <f t="shared" si="1149"/>
        <v>0</v>
      </c>
      <c r="PD319" s="21">
        <f t="shared" si="1149"/>
        <v>0</v>
      </c>
      <c r="PE319" s="21">
        <f t="shared" si="1149"/>
        <v>0</v>
      </c>
      <c r="PF319" s="21">
        <f t="shared" si="1149"/>
        <v>0</v>
      </c>
      <c r="PG319" s="21">
        <f t="shared" si="1149"/>
        <v>0</v>
      </c>
      <c r="PH319" s="21">
        <f t="shared" si="1149"/>
        <v>0</v>
      </c>
      <c r="PI319" s="21">
        <f t="shared" si="1149"/>
        <v>0</v>
      </c>
      <c r="PJ319" s="21">
        <f t="shared" ref="PJ319:PQ319" si="1150">IF($F$290, 0, IF($I$296, IF(AND(COLUMN($PJ$319)-COLUMN($NV$319)=$Q$291,ROW($PJ$319)-ROW($NV$319)=$K$291), U$290, PJ319), PJ319))</f>
        <v>0</v>
      </c>
      <c r="PK319" s="21">
        <f t="shared" si="1150"/>
        <v>0</v>
      </c>
      <c r="PL319" s="21">
        <f t="shared" si="1150"/>
        <v>0</v>
      </c>
      <c r="PM319" s="21">
        <f t="shared" si="1150"/>
        <v>0</v>
      </c>
      <c r="PN319" s="21">
        <f t="shared" si="1150"/>
        <v>0</v>
      </c>
      <c r="PO319" s="21">
        <f t="shared" si="1150"/>
        <v>0</v>
      </c>
      <c r="PP319" s="21">
        <f t="shared" si="1150"/>
        <v>0</v>
      </c>
      <c r="PQ319" s="21">
        <f t="shared" si="1150"/>
        <v>0</v>
      </c>
      <c r="PR319" s="21">
        <f t="shared" ref="PR319:PY319" si="1151">IF($F$290, 0, IF($I$296, IF(AND(COLUMN($PR$319)-COLUMN($NV$319)=$Q$291,ROW($PR$319)-ROW($NV$319)=$K$291), U$290, PR319), PR319))</f>
        <v>0</v>
      </c>
      <c r="PS319" s="21">
        <f t="shared" si="1151"/>
        <v>0</v>
      </c>
      <c r="PT319" s="21">
        <f t="shared" si="1151"/>
        <v>0</v>
      </c>
      <c r="PU319" s="21">
        <f t="shared" si="1151"/>
        <v>0</v>
      </c>
      <c r="PV319" s="21">
        <f t="shared" si="1151"/>
        <v>0</v>
      </c>
      <c r="PW319" s="21">
        <f t="shared" si="1151"/>
        <v>0</v>
      </c>
      <c r="PX319" s="21">
        <f t="shared" si="1151"/>
        <v>0</v>
      </c>
      <c r="PY319" s="21">
        <f t="shared" si="1151"/>
        <v>0</v>
      </c>
      <c r="PZ319" s="21">
        <f t="shared" ref="PZ319:QG319" si="1152">IF($F$290, 0, IF($I$296, IF(AND(COLUMN($PZ$319)-COLUMN($NV$319)=$Q$291,ROW($PZ$319)-ROW($NV$319)=$K$291), U$290, PZ319), PZ319))</f>
        <v>0</v>
      </c>
      <c r="QA319" s="21">
        <f t="shared" si="1152"/>
        <v>0</v>
      </c>
      <c r="QB319" s="21">
        <f t="shared" si="1152"/>
        <v>0</v>
      </c>
      <c r="QC319" s="21">
        <f t="shared" si="1152"/>
        <v>0</v>
      </c>
      <c r="QD319" s="21">
        <f t="shared" si="1152"/>
        <v>0</v>
      </c>
      <c r="QE319" s="21">
        <f t="shared" si="1152"/>
        <v>0</v>
      </c>
      <c r="QF319" s="21">
        <f t="shared" si="1152"/>
        <v>0</v>
      </c>
      <c r="QG319" s="21">
        <f t="shared" si="1152"/>
        <v>0</v>
      </c>
      <c r="QH319" s="21">
        <f t="shared" ref="QH319:QO319" si="1153">IF($F$290, 0, IF($J$296, IF(AND(COLUMN($QH$319)-COLUMN($QH$319)=$Q$291,ROW($QH$319)-ROW($QH$319)=$K$291), U$290, QH319), QH319))</f>
        <v>0</v>
      </c>
      <c r="QI319" s="21">
        <f t="shared" si="1153"/>
        <v>0</v>
      </c>
      <c r="QJ319" s="21">
        <f t="shared" si="1153"/>
        <v>0</v>
      </c>
      <c r="QK319" s="21">
        <f t="shared" si="1153"/>
        <v>0</v>
      </c>
      <c r="QL319" s="21">
        <f t="shared" si="1153"/>
        <v>0</v>
      </c>
      <c r="QM319" s="21">
        <f t="shared" si="1153"/>
        <v>0</v>
      </c>
      <c r="QN319" s="21">
        <f t="shared" si="1153"/>
        <v>0</v>
      </c>
      <c r="QO319" s="21">
        <f t="shared" si="1153"/>
        <v>0</v>
      </c>
      <c r="QP319" s="21">
        <f t="shared" ref="QP319:QW319" si="1154">IF($F$290, 0, IF($J$296, IF(AND(COLUMN($QP$319)-COLUMN($QH$319)=$Q$291,ROW($QP$319)-ROW($QH$319)=$K$291), U$290, QP319), QP319))</f>
        <v>0</v>
      </c>
      <c r="QQ319" s="21">
        <f t="shared" si="1154"/>
        <v>0</v>
      </c>
      <c r="QR319" s="21">
        <f t="shared" si="1154"/>
        <v>0</v>
      </c>
      <c r="QS319" s="21">
        <f t="shared" si="1154"/>
        <v>0</v>
      </c>
      <c r="QT319" s="21">
        <f t="shared" si="1154"/>
        <v>0</v>
      </c>
      <c r="QU319" s="21">
        <f t="shared" si="1154"/>
        <v>0</v>
      </c>
      <c r="QV319" s="21">
        <f t="shared" si="1154"/>
        <v>0</v>
      </c>
      <c r="QW319" s="21">
        <f t="shared" si="1154"/>
        <v>0</v>
      </c>
      <c r="QX319" s="21">
        <f t="shared" ref="QX319:RE319" si="1155">IF($F$290, 0, IF($J$296, IF(AND(COLUMN($QX$319)-COLUMN($QH$319)=$Q$291,ROW($QX$319)-ROW($QH$319)=$K$291), U$290, QX319), QX319))</f>
        <v>0</v>
      </c>
      <c r="QY319" s="21">
        <f t="shared" si="1155"/>
        <v>0</v>
      </c>
      <c r="QZ319" s="21">
        <f t="shared" si="1155"/>
        <v>0</v>
      </c>
      <c r="RA319" s="21">
        <f t="shared" si="1155"/>
        <v>0</v>
      </c>
      <c r="RB319" s="21">
        <f t="shared" si="1155"/>
        <v>0</v>
      </c>
      <c r="RC319" s="21">
        <f t="shared" si="1155"/>
        <v>0</v>
      </c>
      <c r="RD319" s="21">
        <f t="shared" si="1155"/>
        <v>0</v>
      </c>
      <c r="RE319" s="21">
        <f t="shared" si="1155"/>
        <v>0</v>
      </c>
      <c r="RF319" s="21">
        <f t="shared" ref="RF319:RM319" si="1156">IF($F$290, 0, IF($J$296, IF(AND(COLUMN($RF$319)-COLUMN($QH$319)=$Q$291,ROW($RF$319)-ROW($QH$319)=$K$291), U$290, RF319), RF319))</f>
        <v>0</v>
      </c>
      <c r="RG319" s="21">
        <f t="shared" si="1156"/>
        <v>0</v>
      </c>
      <c r="RH319" s="21">
        <f t="shared" si="1156"/>
        <v>0</v>
      </c>
      <c r="RI319" s="21">
        <f t="shared" si="1156"/>
        <v>0</v>
      </c>
      <c r="RJ319" s="21">
        <f t="shared" si="1156"/>
        <v>0</v>
      </c>
      <c r="RK319" s="21">
        <f t="shared" si="1156"/>
        <v>0</v>
      </c>
      <c r="RL319" s="21">
        <f t="shared" si="1156"/>
        <v>0</v>
      </c>
      <c r="RM319" s="21">
        <f t="shared" si="1156"/>
        <v>0</v>
      </c>
      <c r="RN319" s="21">
        <f t="shared" ref="RN319:RU319" si="1157">IF($F$290, 0, IF($J$296, IF(AND(COLUMN($RN$319)-COLUMN($QH$319)=$Q$291,ROW($RN$319)-ROW($QH$319)=$K$291), U$290, RN319), RN319))</f>
        <v>0</v>
      </c>
      <c r="RO319" s="21">
        <f t="shared" si="1157"/>
        <v>0</v>
      </c>
      <c r="RP319" s="21">
        <f t="shared" si="1157"/>
        <v>0</v>
      </c>
      <c r="RQ319" s="21">
        <f t="shared" si="1157"/>
        <v>0</v>
      </c>
      <c r="RR319" s="21">
        <f t="shared" si="1157"/>
        <v>0</v>
      </c>
      <c r="RS319" s="21">
        <f t="shared" si="1157"/>
        <v>0</v>
      </c>
      <c r="RT319" s="21">
        <f t="shared" si="1157"/>
        <v>0</v>
      </c>
      <c r="RU319" s="21">
        <f t="shared" si="1157"/>
        <v>0</v>
      </c>
      <c r="RV319" s="21">
        <f t="shared" ref="RV319:SC319" si="1158">IF($F$290, 0, IF($J$296, IF(AND(COLUMN($RV$319)-COLUMN($QH$319)=$Q$291,ROW($RV$319)-ROW($QH$319)=$K$291), U$290, RV319), RV319))</f>
        <v>0</v>
      </c>
      <c r="RW319" s="21">
        <f t="shared" si="1158"/>
        <v>0</v>
      </c>
      <c r="RX319" s="21">
        <f t="shared" si="1158"/>
        <v>0</v>
      </c>
      <c r="RY319" s="21">
        <f t="shared" si="1158"/>
        <v>0</v>
      </c>
      <c r="RZ319" s="21">
        <f t="shared" si="1158"/>
        <v>0</v>
      </c>
      <c r="SA319" s="21">
        <f t="shared" si="1158"/>
        <v>0</v>
      </c>
      <c r="SB319" s="21">
        <f t="shared" si="1158"/>
        <v>0</v>
      </c>
      <c r="SC319" s="21">
        <f t="shared" si="1158"/>
        <v>0</v>
      </c>
      <c r="SD319" s="21">
        <f t="shared" ref="SD319:SK319" si="1159">IF($F$290, 0, IF($J$296, IF(AND(COLUMN($SD$319)-COLUMN($QH$319)=$Q$291,ROW($SD$319)-ROW($QH$319)=$K$291), U$290, SD319), SD319))</f>
        <v>0</v>
      </c>
      <c r="SE319" s="21">
        <f t="shared" si="1159"/>
        <v>0</v>
      </c>
      <c r="SF319" s="21">
        <f t="shared" si="1159"/>
        <v>0</v>
      </c>
      <c r="SG319" s="21">
        <f t="shared" si="1159"/>
        <v>0</v>
      </c>
      <c r="SH319" s="21">
        <f t="shared" si="1159"/>
        <v>0</v>
      </c>
      <c r="SI319" s="21">
        <f t="shared" si="1159"/>
        <v>0</v>
      </c>
      <c r="SJ319" s="21">
        <f t="shared" si="1159"/>
        <v>0</v>
      </c>
      <c r="SK319" s="21">
        <f t="shared" si="1159"/>
        <v>0</v>
      </c>
      <c r="SL319" s="21">
        <f t="shared" ref="SL319:SS319" si="1160">IF($F$290, 0, IF($J$296, IF(AND(COLUMN($SL$319)-COLUMN($QH$319)=$Q$291,ROW($SL$319)-ROW($QH$319)=$K$291), U$290, SL319), SL319))</f>
        <v>0</v>
      </c>
      <c r="SM319" s="21">
        <f t="shared" si="1160"/>
        <v>0</v>
      </c>
      <c r="SN319" s="21">
        <f t="shared" si="1160"/>
        <v>0</v>
      </c>
      <c r="SO319" s="21">
        <f t="shared" si="1160"/>
        <v>0</v>
      </c>
      <c r="SP319" s="21">
        <f t="shared" si="1160"/>
        <v>0</v>
      </c>
      <c r="SQ319" s="21">
        <f t="shared" si="1160"/>
        <v>0</v>
      </c>
      <c r="SR319" s="21">
        <f t="shared" si="1160"/>
        <v>0</v>
      </c>
      <c r="SS319" s="21">
        <f t="shared" si="1160"/>
        <v>0</v>
      </c>
    </row>
    <row r="320" spans="2:513" ht="15" customHeight="1" x14ac:dyDescent="0.25">
      <c r="B320" s="21">
        <f t="shared" ref="B320:I320" si="1161">IF($F$290, 0, IF($C$296, IF(AND(COLUMN($B$320)-COLUMN($B$319)=$Q$291,ROW($B$320)-ROW($B$319)=$K$291), U$290, B320), B320))</f>
        <v>0</v>
      </c>
      <c r="C320" s="21">
        <f t="shared" si="1161"/>
        <v>0</v>
      </c>
      <c r="D320" s="21">
        <f t="shared" si="1161"/>
        <v>0</v>
      </c>
      <c r="E320" s="21">
        <f t="shared" si="1161"/>
        <v>0</v>
      </c>
      <c r="F320" s="21">
        <f t="shared" si="1161"/>
        <v>0</v>
      </c>
      <c r="G320" s="21">
        <f t="shared" si="1161"/>
        <v>0</v>
      </c>
      <c r="H320" s="21">
        <f t="shared" si="1161"/>
        <v>0</v>
      </c>
      <c r="I320" s="21">
        <f t="shared" si="1161"/>
        <v>0</v>
      </c>
      <c r="J320" s="21">
        <f t="shared" ref="J320:Q320" si="1162">IF($F$290, 0, IF($C$296, IF(AND(COLUMN($J$320)-COLUMN($B$319)=$Q$291,ROW($J$320)-ROW($B$319)=$K$291), U$290, J320), J320))</f>
        <v>0</v>
      </c>
      <c r="K320" s="21">
        <f t="shared" si="1162"/>
        <v>0</v>
      </c>
      <c r="L320" s="21">
        <f t="shared" si="1162"/>
        <v>0</v>
      </c>
      <c r="M320" s="21">
        <f t="shared" si="1162"/>
        <v>0</v>
      </c>
      <c r="N320" s="21">
        <f t="shared" si="1162"/>
        <v>0</v>
      </c>
      <c r="O320" s="21">
        <f t="shared" si="1162"/>
        <v>0</v>
      </c>
      <c r="P320" s="21">
        <f t="shared" si="1162"/>
        <v>0</v>
      </c>
      <c r="Q320" s="21">
        <f t="shared" si="1162"/>
        <v>0</v>
      </c>
      <c r="R320" s="21">
        <f>IF($F$290, 0, IF($C$296, IF(AND(COLUMN($R$320)-COLUMN($B$319)=$Q$291,ROW($R$320)-ROW($B$319)=$K$291), U$290, R320), R320))</f>
        <v>0</v>
      </c>
      <c r="S320" s="21">
        <f t="shared" ref="S320:Y320" si="1163">IF($F$290, 0, IF($C$296, IF(AND(COLUMN($R$320)-COLUMN($B$319)=$Q$291,ROW($R$320)-ROW($B$319)=$K$291), V$290, S320), S320))</f>
        <v>0</v>
      </c>
      <c r="T320" s="21">
        <f t="shared" si="1163"/>
        <v>0</v>
      </c>
      <c r="U320" s="21">
        <f t="shared" si="1163"/>
        <v>0</v>
      </c>
      <c r="V320" s="21">
        <f t="shared" si="1163"/>
        <v>0</v>
      </c>
      <c r="W320" s="21">
        <f t="shared" si="1163"/>
        <v>0</v>
      </c>
      <c r="X320" s="21">
        <f t="shared" si="1163"/>
        <v>0</v>
      </c>
      <c r="Y320" s="21">
        <f t="shared" si="1163"/>
        <v>0</v>
      </c>
      <c r="Z320" s="21">
        <f t="shared" ref="Z320:AG320" si="1164">IF($F$290, 0, IF($C$296, IF(AND(COLUMN($Z$320)-COLUMN($B$319)=$Q$291,ROW($Z$320)-ROW($B$319)=$K$291), U$290, Z320), Z320))</f>
        <v>0</v>
      </c>
      <c r="AA320" s="21">
        <f t="shared" si="1164"/>
        <v>0</v>
      </c>
      <c r="AB320" s="21">
        <f t="shared" si="1164"/>
        <v>0</v>
      </c>
      <c r="AC320" s="21">
        <f t="shared" si="1164"/>
        <v>0</v>
      </c>
      <c r="AD320" s="21">
        <f t="shared" si="1164"/>
        <v>0</v>
      </c>
      <c r="AE320" s="21">
        <f t="shared" si="1164"/>
        <v>0</v>
      </c>
      <c r="AF320" s="21">
        <f t="shared" si="1164"/>
        <v>0</v>
      </c>
      <c r="AG320" s="21">
        <f t="shared" si="1164"/>
        <v>0</v>
      </c>
      <c r="AH320" s="21">
        <f t="shared" ref="AH320:AO320" si="1165">IF($F$290, 0, IF($C$296, IF(AND(COLUMN($AH$320)-COLUMN($B$319)=$Q$291,ROW($AH$320)-ROW($B$319)=$K$291), U$290, AH320), AH320))</f>
        <v>0</v>
      </c>
      <c r="AI320" s="21">
        <f t="shared" si="1165"/>
        <v>0</v>
      </c>
      <c r="AJ320" s="21">
        <f t="shared" si="1165"/>
        <v>0</v>
      </c>
      <c r="AK320" s="21">
        <f t="shared" si="1165"/>
        <v>0</v>
      </c>
      <c r="AL320" s="21">
        <f t="shared" si="1165"/>
        <v>0</v>
      </c>
      <c r="AM320" s="21">
        <f t="shared" si="1165"/>
        <v>0</v>
      </c>
      <c r="AN320" s="21">
        <f t="shared" si="1165"/>
        <v>0</v>
      </c>
      <c r="AO320" s="21">
        <f t="shared" si="1165"/>
        <v>0</v>
      </c>
      <c r="AP320" s="21">
        <f t="shared" ref="AP320:AW320" si="1166">IF($F$290, 0, IF($C$296, IF(AND(COLUMN($AP$320)-COLUMN($B$319)=$Q$291,ROW($AP$320)-ROW($B$319)=$K$291), U$290, AP320), AP320))</f>
        <v>0</v>
      </c>
      <c r="AQ320" s="21">
        <f t="shared" si="1166"/>
        <v>0</v>
      </c>
      <c r="AR320" s="21">
        <f t="shared" si="1166"/>
        <v>0</v>
      </c>
      <c r="AS320" s="21">
        <f t="shared" si="1166"/>
        <v>0</v>
      </c>
      <c r="AT320" s="21">
        <f t="shared" si="1166"/>
        <v>0</v>
      </c>
      <c r="AU320" s="21">
        <f t="shared" si="1166"/>
        <v>0</v>
      </c>
      <c r="AV320" s="21">
        <f t="shared" si="1166"/>
        <v>0</v>
      </c>
      <c r="AW320" s="21">
        <f t="shared" si="1166"/>
        <v>0</v>
      </c>
      <c r="AX320" s="21">
        <f t="shared" ref="AX320:BE320" si="1167">IF($F$290, 0, IF($C$296, IF(AND(COLUMN($AX$320)-COLUMN($B$319)=$Q$291,ROW($AX$320)-ROW($B$319)=$K$291), U$290, AX320), AX320))</f>
        <v>0</v>
      </c>
      <c r="AY320" s="21">
        <f t="shared" si="1167"/>
        <v>0</v>
      </c>
      <c r="AZ320" s="21">
        <f t="shared" si="1167"/>
        <v>0</v>
      </c>
      <c r="BA320" s="21">
        <f t="shared" si="1167"/>
        <v>0</v>
      </c>
      <c r="BB320" s="21">
        <f t="shared" si="1167"/>
        <v>0</v>
      </c>
      <c r="BC320" s="21">
        <f t="shared" si="1167"/>
        <v>0</v>
      </c>
      <c r="BD320" s="21">
        <f t="shared" si="1167"/>
        <v>0</v>
      </c>
      <c r="BE320" s="21">
        <f t="shared" si="1167"/>
        <v>0</v>
      </c>
      <c r="BF320" s="21">
        <f t="shared" ref="BF320:BM320" si="1168">IF($F$290, 0, IF($C$296, IF(AND(COLUMN($BF$320)-COLUMN($B$319)=$Q$291,ROW($BF$320)-ROW($B$319)=$K$291), U$290, BF320), BF320))</f>
        <v>0</v>
      </c>
      <c r="BG320" s="21">
        <f t="shared" si="1168"/>
        <v>0</v>
      </c>
      <c r="BH320" s="21">
        <f t="shared" si="1168"/>
        <v>0</v>
      </c>
      <c r="BI320" s="21">
        <f t="shared" si="1168"/>
        <v>0</v>
      </c>
      <c r="BJ320" s="21">
        <f t="shared" si="1168"/>
        <v>0</v>
      </c>
      <c r="BK320" s="21">
        <f t="shared" si="1168"/>
        <v>0</v>
      </c>
      <c r="BL320" s="21">
        <f t="shared" si="1168"/>
        <v>0</v>
      </c>
      <c r="BM320" s="21">
        <f t="shared" si="1168"/>
        <v>0</v>
      </c>
      <c r="BN320" s="21">
        <f t="shared" ref="BN320:BU320" si="1169">IF($F$290, 0, IF($D$296, IF(AND(COLUMN($BN$320)-COLUMN($BN$319)=$Q$291,ROW($BN$320)-ROW($BN$319)=$K$291), U$290, BN320), BN320))</f>
        <v>0</v>
      </c>
      <c r="BO320" s="21">
        <f t="shared" si="1169"/>
        <v>0</v>
      </c>
      <c r="BP320" s="21">
        <f t="shared" si="1169"/>
        <v>0</v>
      </c>
      <c r="BQ320" s="21">
        <f t="shared" si="1169"/>
        <v>0</v>
      </c>
      <c r="BR320" s="21">
        <f t="shared" si="1169"/>
        <v>0</v>
      </c>
      <c r="BS320" s="21">
        <f t="shared" si="1169"/>
        <v>0</v>
      </c>
      <c r="BT320" s="21">
        <f t="shared" si="1169"/>
        <v>0</v>
      </c>
      <c r="BU320" s="21">
        <f t="shared" si="1169"/>
        <v>0</v>
      </c>
      <c r="BV320" s="21">
        <f t="shared" ref="BV320:CC320" si="1170">IF($F$290, 0, IF($D$296, IF(AND(COLUMN($BV$320)-COLUMN($BN$319)=$Q$291,ROW($BV$320)-ROW($BN$319)=$K$291), U$290, BV320), BV320))</f>
        <v>0</v>
      </c>
      <c r="BW320" s="21">
        <f t="shared" si="1170"/>
        <v>0</v>
      </c>
      <c r="BX320" s="21">
        <f t="shared" si="1170"/>
        <v>0</v>
      </c>
      <c r="BY320" s="21">
        <f t="shared" si="1170"/>
        <v>0</v>
      </c>
      <c r="BZ320" s="21">
        <f t="shared" si="1170"/>
        <v>0</v>
      </c>
      <c r="CA320" s="21">
        <f t="shared" si="1170"/>
        <v>0</v>
      </c>
      <c r="CB320" s="21">
        <f t="shared" si="1170"/>
        <v>0</v>
      </c>
      <c r="CC320" s="21">
        <f t="shared" si="1170"/>
        <v>0</v>
      </c>
      <c r="CD320" s="21">
        <f t="shared" ref="CD320:CK320" si="1171">IF($F$290, 0, IF($D$296, IF(AND(COLUMN($CD$320)-COLUMN($BN$319)=$Q$291,ROW($CD$320)-ROW($BN$319)=$K$291), U$290, CD320), CD320))</f>
        <v>0</v>
      </c>
      <c r="CE320" s="21">
        <f t="shared" si="1171"/>
        <v>0</v>
      </c>
      <c r="CF320" s="21">
        <f t="shared" si="1171"/>
        <v>0</v>
      </c>
      <c r="CG320" s="21">
        <f t="shared" si="1171"/>
        <v>0</v>
      </c>
      <c r="CH320" s="21">
        <f t="shared" si="1171"/>
        <v>0</v>
      </c>
      <c r="CI320" s="21">
        <f t="shared" si="1171"/>
        <v>0</v>
      </c>
      <c r="CJ320" s="21">
        <f t="shared" si="1171"/>
        <v>0</v>
      </c>
      <c r="CK320" s="21">
        <f t="shared" si="1171"/>
        <v>0</v>
      </c>
      <c r="CL320" s="21">
        <f t="shared" ref="CL320:CS320" si="1172">IF($F$290, 0, IF($D$296, IF(AND(COLUMN($CL$320)-COLUMN($BN$319)=$Q$291,ROW($CL$320)-ROW($BN$319)=$K$291), U$290, CL320), CL320))</f>
        <v>0</v>
      </c>
      <c r="CM320" s="21">
        <f t="shared" si="1172"/>
        <v>0</v>
      </c>
      <c r="CN320" s="21">
        <f t="shared" si="1172"/>
        <v>0</v>
      </c>
      <c r="CO320" s="21">
        <f t="shared" si="1172"/>
        <v>0</v>
      </c>
      <c r="CP320" s="21">
        <f t="shared" si="1172"/>
        <v>0</v>
      </c>
      <c r="CQ320" s="21">
        <f t="shared" si="1172"/>
        <v>0</v>
      </c>
      <c r="CR320" s="21">
        <f t="shared" si="1172"/>
        <v>0</v>
      </c>
      <c r="CS320" s="21">
        <f t="shared" si="1172"/>
        <v>0</v>
      </c>
      <c r="CT320" s="21">
        <f t="shared" ref="CT320:DA320" si="1173">IF($F$290, 0, IF($D$296, IF(AND(COLUMN($CT$320)-COLUMN($BN$319)=$Q$291,ROW($CT$320)-ROW($BN$319)=$K$291), U$290, CT320), CT320))</f>
        <v>0</v>
      </c>
      <c r="CU320" s="21">
        <f t="shared" si="1173"/>
        <v>0</v>
      </c>
      <c r="CV320" s="21">
        <f t="shared" si="1173"/>
        <v>0</v>
      </c>
      <c r="CW320" s="21">
        <f t="shared" si="1173"/>
        <v>0</v>
      </c>
      <c r="CX320" s="21">
        <f t="shared" si="1173"/>
        <v>0</v>
      </c>
      <c r="CY320" s="21">
        <f t="shared" si="1173"/>
        <v>0</v>
      </c>
      <c r="CZ320" s="21">
        <f t="shared" si="1173"/>
        <v>0</v>
      </c>
      <c r="DA320" s="21">
        <f t="shared" si="1173"/>
        <v>0</v>
      </c>
      <c r="DB320" s="21">
        <f t="shared" ref="DB320:DI320" si="1174">IF($F$290, 0, IF($D$296, IF(AND(COLUMN($DB$320)-COLUMN($BN$319)=$Q$291,ROW($DB$320)-ROW($BN$319)=$K$291), U$290, DB320), DB320))</f>
        <v>0</v>
      </c>
      <c r="DC320" s="21">
        <f t="shared" si="1174"/>
        <v>0</v>
      </c>
      <c r="DD320" s="21">
        <f t="shared" si="1174"/>
        <v>0</v>
      </c>
      <c r="DE320" s="21">
        <f t="shared" si="1174"/>
        <v>0</v>
      </c>
      <c r="DF320" s="21">
        <f t="shared" si="1174"/>
        <v>0</v>
      </c>
      <c r="DG320" s="21">
        <f t="shared" si="1174"/>
        <v>0</v>
      </c>
      <c r="DH320" s="21">
        <f t="shared" si="1174"/>
        <v>0</v>
      </c>
      <c r="DI320" s="21">
        <f t="shared" si="1174"/>
        <v>0</v>
      </c>
      <c r="DJ320" s="21">
        <f t="shared" ref="DJ320:DQ320" si="1175">IF($F$290, 0, IF($D$296, IF(AND(COLUMN($DJ$320)-COLUMN($BN$319)=$Q$291,ROW($DJ$320)-ROW($BN$319)=$K$291), U$290, DJ320), DJ320))</f>
        <v>0</v>
      </c>
      <c r="DK320" s="21">
        <f t="shared" si="1175"/>
        <v>0</v>
      </c>
      <c r="DL320" s="21">
        <f t="shared" si="1175"/>
        <v>0</v>
      </c>
      <c r="DM320" s="21">
        <f t="shared" si="1175"/>
        <v>0</v>
      </c>
      <c r="DN320" s="21">
        <f t="shared" si="1175"/>
        <v>0</v>
      </c>
      <c r="DO320" s="21">
        <f t="shared" si="1175"/>
        <v>0</v>
      </c>
      <c r="DP320" s="21">
        <f t="shared" si="1175"/>
        <v>0</v>
      </c>
      <c r="DQ320" s="21">
        <f t="shared" si="1175"/>
        <v>0</v>
      </c>
      <c r="DR320" s="21">
        <f t="shared" ref="DR320:DY320" si="1176">IF($F$290, 0, IF($D$296, IF(AND(COLUMN($DR$320)-COLUMN($BN$319)=$Q$291,ROW($DR$320)-ROW($BN$319)=$K$291), U$290, DR320), DR320))</f>
        <v>0</v>
      </c>
      <c r="DS320" s="21">
        <f t="shared" si="1176"/>
        <v>0</v>
      </c>
      <c r="DT320" s="21">
        <f t="shared" si="1176"/>
        <v>0</v>
      </c>
      <c r="DU320" s="21">
        <f t="shared" si="1176"/>
        <v>0</v>
      </c>
      <c r="DV320" s="21">
        <f t="shared" si="1176"/>
        <v>0</v>
      </c>
      <c r="DW320" s="21">
        <f t="shared" si="1176"/>
        <v>0</v>
      </c>
      <c r="DX320" s="21">
        <f t="shared" si="1176"/>
        <v>0</v>
      </c>
      <c r="DY320" s="21">
        <f t="shared" si="1176"/>
        <v>0</v>
      </c>
      <c r="DZ320" s="21">
        <f t="shared" ref="DZ320:EG320" si="1177">IF($F$290, 0, IF($E$296, IF(AND(COLUMN($DZ$320)-COLUMN($DZ$319)=$Q$291,ROW($DZ$320)-ROW($DZ$319)=$K$291), U$290, DZ320), DZ320))</f>
        <v>0</v>
      </c>
      <c r="EA320" s="21">
        <f t="shared" si="1177"/>
        <v>0</v>
      </c>
      <c r="EB320" s="21">
        <f t="shared" si="1177"/>
        <v>0</v>
      </c>
      <c r="EC320" s="21">
        <f t="shared" si="1177"/>
        <v>0</v>
      </c>
      <c r="ED320" s="21">
        <f t="shared" si="1177"/>
        <v>0</v>
      </c>
      <c r="EE320" s="21">
        <f t="shared" si="1177"/>
        <v>0</v>
      </c>
      <c r="EF320" s="21">
        <f t="shared" si="1177"/>
        <v>0</v>
      </c>
      <c r="EG320" s="21">
        <f t="shared" si="1177"/>
        <v>0</v>
      </c>
      <c r="EH320" s="21">
        <f t="shared" ref="EH320:EO320" si="1178">IF($F$290, 0, IF($E$296, IF(AND(COLUMN($EH$320)-COLUMN($DZ$319)=$Q$291,ROW($EH$320)-ROW($DZ$319)=$K$291), U$290, EH320), EH320))</f>
        <v>0</v>
      </c>
      <c r="EI320" s="21">
        <f t="shared" si="1178"/>
        <v>0</v>
      </c>
      <c r="EJ320" s="21">
        <f t="shared" si="1178"/>
        <v>0</v>
      </c>
      <c r="EK320" s="21">
        <f t="shared" si="1178"/>
        <v>0</v>
      </c>
      <c r="EL320" s="21">
        <f t="shared" si="1178"/>
        <v>0</v>
      </c>
      <c r="EM320" s="21">
        <f t="shared" si="1178"/>
        <v>0</v>
      </c>
      <c r="EN320" s="21">
        <f t="shared" si="1178"/>
        <v>0</v>
      </c>
      <c r="EO320" s="21">
        <f t="shared" si="1178"/>
        <v>0</v>
      </c>
      <c r="EP320" s="21">
        <f t="shared" ref="EP320:EW320" si="1179">IF($F$290, 0, IF($E$296, IF(AND(COLUMN($EP$320)-COLUMN($DZ$319)=$Q$291,ROW($EP$320)-ROW($DZ$319)=$K$291), U$290, EP320), EP320))</f>
        <v>0</v>
      </c>
      <c r="EQ320" s="21">
        <f t="shared" si="1179"/>
        <v>0</v>
      </c>
      <c r="ER320" s="21">
        <f t="shared" si="1179"/>
        <v>0</v>
      </c>
      <c r="ES320" s="21">
        <f t="shared" si="1179"/>
        <v>0</v>
      </c>
      <c r="ET320" s="21">
        <f t="shared" si="1179"/>
        <v>0</v>
      </c>
      <c r="EU320" s="21">
        <f t="shared" si="1179"/>
        <v>0</v>
      </c>
      <c r="EV320" s="21">
        <f t="shared" si="1179"/>
        <v>0</v>
      </c>
      <c r="EW320" s="21">
        <f t="shared" si="1179"/>
        <v>0</v>
      </c>
      <c r="EX320" s="21">
        <f t="shared" ref="EX320:FE320" si="1180">IF($F$290, 0, IF($E$296, IF(AND(COLUMN($EX$320)-COLUMN($DZ$319)=$Q$291,ROW($EX$320)-ROW($DZ$319)=$K$291), U$290, EX320), EX320))</f>
        <v>0</v>
      </c>
      <c r="EY320" s="21">
        <f t="shared" si="1180"/>
        <v>0</v>
      </c>
      <c r="EZ320" s="21">
        <f t="shared" si="1180"/>
        <v>0</v>
      </c>
      <c r="FA320" s="21">
        <f t="shared" si="1180"/>
        <v>0</v>
      </c>
      <c r="FB320" s="21">
        <f t="shared" si="1180"/>
        <v>0</v>
      </c>
      <c r="FC320" s="21">
        <f t="shared" si="1180"/>
        <v>0</v>
      </c>
      <c r="FD320" s="21">
        <f t="shared" si="1180"/>
        <v>0</v>
      </c>
      <c r="FE320" s="21">
        <f t="shared" si="1180"/>
        <v>0</v>
      </c>
      <c r="FF320" s="21">
        <f t="shared" ref="FF320:FM320" si="1181">IF($F$290, 0, IF($E$296, IF(AND(COLUMN($FF$320)-COLUMN($DZ$319)=$Q$291,ROW($FF$320)-ROW($DZ$319)=$K$291), U$290, FF320), FF320))</f>
        <v>0</v>
      </c>
      <c r="FG320" s="21">
        <f t="shared" si="1181"/>
        <v>0</v>
      </c>
      <c r="FH320" s="21">
        <f t="shared" si="1181"/>
        <v>0</v>
      </c>
      <c r="FI320" s="21">
        <f t="shared" si="1181"/>
        <v>0</v>
      </c>
      <c r="FJ320" s="21">
        <f t="shared" si="1181"/>
        <v>0</v>
      </c>
      <c r="FK320" s="21">
        <f t="shared" si="1181"/>
        <v>0</v>
      </c>
      <c r="FL320" s="21">
        <f t="shared" si="1181"/>
        <v>0</v>
      </c>
      <c r="FM320" s="21">
        <f t="shared" si="1181"/>
        <v>0</v>
      </c>
      <c r="FN320" s="21">
        <f t="shared" ref="FN320:FU320" si="1182">IF($F$290, 0, IF($E$296, IF(AND(COLUMN($FN$320)-COLUMN($DZ$319)=$Q$291,ROW($FN$320)-ROW($DZ$319)=$K$291), U$290, FN320), FN320))</f>
        <v>0</v>
      </c>
      <c r="FO320" s="21">
        <f t="shared" si="1182"/>
        <v>0</v>
      </c>
      <c r="FP320" s="21">
        <f t="shared" si="1182"/>
        <v>0</v>
      </c>
      <c r="FQ320" s="21">
        <f t="shared" si="1182"/>
        <v>0</v>
      </c>
      <c r="FR320" s="21">
        <f t="shared" si="1182"/>
        <v>0</v>
      </c>
      <c r="FS320" s="21">
        <f t="shared" si="1182"/>
        <v>0</v>
      </c>
      <c r="FT320" s="21">
        <f t="shared" si="1182"/>
        <v>0</v>
      </c>
      <c r="FU320" s="21">
        <f t="shared" si="1182"/>
        <v>0</v>
      </c>
      <c r="FV320" s="21">
        <f t="shared" ref="FV320:GC320" si="1183">IF($F$290, 0, IF($E$296, IF(AND(COLUMN($FV$320)-COLUMN($DZ$319)=$Q$291,ROW($FV$320)-ROW($DZ$319)=$K$291), U$290, FV320), FV320))</f>
        <v>0</v>
      </c>
      <c r="FW320" s="21">
        <f t="shared" si="1183"/>
        <v>0</v>
      </c>
      <c r="FX320" s="21">
        <f t="shared" si="1183"/>
        <v>0</v>
      </c>
      <c r="FY320" s="21">
        <f t="shared" si="1183"/>
        <v>0</v>
      </c>
      <c r="FZ320" s="21">
        <f t="shared" si="1183"/>
        <v>0</v>
      </c>
      <c r="GA320" s="21">
        <f t="shared" si="1183"/>
        <v>0</v>
      </c>
      <c r="GB320" s="21">
        <f t="shared" si="1183"/>
        <v>0</v>
      </c>
      <c r="GC320" s="21">
        <f t="shared" si="1183"/>
        <v>0</v>
      </c>
      <c r="GD320" s="21">
        <f t="shared" ref="GD320:GK320" si="1184">IF($F$290, 0, IF($E$296, IF(AND(COLUMN($GD$320)-COLUMN($DZ$319)=$Q$291,ROW($GD$320)-ROW($DZ$319)=$K$291), U$290, GD320), GD320))</f>
        <v>0</v>
      </c>
      <c r="GE320" s="21">
        <f t="shared" si="1184"/>
        <v>0</v>
      </c>
      <c r="GF320" s="21">
        <f t="shared" si="1184"/>
        <v>0</v>
      </c>
      <c r="GG320" s="21">
        <f t="shared" si="1184"/>
        <v>0</v>
      </c>
      <c r="GH320" s="21">
        <f t="shared" si="1184"/>
        <v>0</v>
      </c>
      <c r="GI320" s="21">
        <f t="shared" si="1184"/>
        <v>0</v>
      </c>
      <c r="GJ320" s="21">
        <f t="shared" si="1184"/>
        <v>0</v>
      </c>
      <c r="GK320" s="21">
        <f t="shared" si="1184"/>
        <v>0</v>
      </c>
      <c r="GL320" s="21">
        <f t="shared" ref="GL320:GS320" si="1185">IF($F$290, 0, IF($F$296, IF(AND(COLUMN($GL$320)-COLUMN($GL$319)=$Q$291,ROW($GL$320)-ROW($GL$319)=$K$291), U$290, GL320), GL320))</f>
        <v>0</v>
      </c>
      <c r="GM320" s="21">
        <f t="shared" si="1185"/>
        <v>0</v>
      </c>
      <c r="GN320" s="21">
        <f t="shared" si="1185"/>
        <v>0</v>
      </c>
      <c r="GO320" s="21">
        <f t="shared" si="1185"/>
        <v>0</v>
      </c>
      <c r="GP320" s="21">
        <f t="shared" si="1185"/>
        <v>0</v>
      </c>
      <c r="GQ320" s="21">
        <f t="shared" si="1185"/>
        <v>0</v>
      </c>
      <c r="GR320" s="21">
        <f t="shared" si="1185"/>
        <v>0</v>
      </c>
      <c r="GS320" s="21">
        <f t="shared" si="1185"/>
        <v>0</v>
      </c>
      <c r="GT320" s="21">
        <f t="shared" ref="GT320:HA320" si="1186">IF($F$290, 0, IF($F$296, IF(AND(COLUMN($GT$320)-COLUMN($GL$319)=$Q$291,ROW($GT$320)-ROW($GL$319)=$K$291), U$290, GT320), GT320))</f>
        <v>0</v>
      </c>
      <c r="GU320" s="21">
        <f t="shared" si="1186"/>
        <v>0</v>
      </c>
      <c r="GV320" s="21">
        <f t="shared" si="1186"/>
        <v>0</v>
      </c>
      <c r="GW320" s="21">
        <f t="shared" si="1186"/>
        <v>0</v>
      </c>
      <c r="GX320" s="21">
        <f t="shared" si="1186"/>
        <v>0</v>
      </c>
      <c r="GY320" s="21">
        <f t="shared" si="1186"/>
        <v>0</v>
      </c>
      <c r="GZ320" s="21">
        <f t="shared" si="1186"/>
        <v>0</v>
      </c>
      <c r="HA320" s="21">
        <f t="shared" si="1186"/>
        <v>0</v>
      </c>
      <c r="HB320" s="21">
        <f t="shared" ref="HB320:HI320" si="1187">IF($F$290, 0, IF($F$296, IF(AND(COLUMN($HB$320)-COLUMN($GL$319)=$Q$291,ROW($HB$320)-ROW($GL$319)=$K$291), U$290, HB320), HB320))</f>
        <v>0</v>
      </c>
      <c r="HC320" s="21">
        <f t="shared" si="1187"/>
        <v>0</v>
      </c>
      <c r="HD320" s="21">
        <f t="shared" si="1187"/>
        <v>0</v>
      </c>
      <c r="HE320" s="21">
        <f t="shared" si="1187"/>
        <v>0</v>
      </c>
      <c r="HF320" s="21">
        <f t="shared" si="1187"/>
        <v>0</v>
      </c>
      <c r="HG320" s="21">
        <f t="shared" si="1187"/>
        <v>0</v>
      </c>
      <c r="HH320" s="21">
        <f t="shared" si="1187"/>
        <v>0</v>
      </c>
      <c r="HI320" s="21">
        <f t="shared" si="1187"/>
        <v>0</v>
      </c>
      <c r="HJ320" s="21">
        <f t="shared" ref="HJ320:HQ320" si="1188">IF($F$290, 0, IF($F$296, IF(AND(COLUMN($HJ$320)-COLUMN($GL$319)=$Q$291,ROW($HJ$320)-ROW($GL$319)=$K$291), U$290, HJ320), HJ320))</f>
        <v>0</v>
      </c>
      <c r="HK320" s="21">
        <f t="shared" si="1188"/>
        <v>0</v>
      </c>
      <c r="HL320" s="21">
        <f t="shared" si="1188"/>
        <v>0</v>
      </c>
      <c r="HM320" s="21">
        <f t="shared" si="1188"/>
        <v>0</v>
      </c>
      <c r="HN320" s="21">
        <f t="shared" si="1188"/>
        <v>0</v>
      </c>
      <c r="HO320" s="21">
        <f t="shared" si="1188"/>
        <v>0</v>
      </c>
      <c r="HP320" s="21">
        <f t="shared" si="1188"/>
        <v>0</v>
      </c>
      <c r="HQ320" s="21">
        <f t="shared" si="1188"/>
        <v>0</v>
      </c>
      <c r="HR320" s="21">
        <f t="shared" ref="HR320:HY320" si="1189">IF($F$290, 0, IF($F$296, IF(AND(COLUMN($HR$320)-COLUMN($GL$319)=$Q$291,ROW($HR$320)-ROW($GL$319)=$K$291), U$290, HR320), HR320))</f>
        <v>0</v>
      </c>
      <c r="HS320" s="21">
        <f t="shared" si="1189"/>
        <v>0</v>
      </c>
      <c r="HT320" s="21">
        <f t="shared" si="1189"/>
        <v>0</v>
      </c>
      <c r="HU320" s="21">
        <f t="shared" si="1189"/>
        <v>0</v>
      </c>
      <c r="HV320" s="21">
        <f t="shared" si="1189"/>
        <v>0</v>
      </c>
      <c r="HW320" s="21">
        <f t="shared" si="1189"/>
        <v>0</v>
      </c>
      <c r="HX320" s="21">
        <f t="shared" si="1189"/>
        <v>0</v>
      </c>
      <c r="HY320" s="21">
        <f t="shared" si="1189"/>
        <v>0</v>
      </c>
      <c r="HZ320" s="21">
        <f t="shared" ref="HZ320:IG320" si="1190">IF($F$290, 0, IF($F$296, IF(AND(COLUMN($HZ$320)-COLUMN($GL$319)=$Q$291,ROW($HZ$320)-ROW($GL$319)=$K$291), U$290, HZ320), HZ320))</f>
        <v>0</v>
      </c>
      <c r="IA320" s="21">
        <f t="shared" si="1190"/>
        <v>0</v>
      </c>
      <c r="IB320" s="21">
        <f t="shared" si="1190"/>
        <v>0</v>
      </c>
      <c r="IC320" s="21">
        <f t="shared" si="1190"/>
        <v>0</v>
      </c>
      <c r="ID320" s="21">
        <f t="shared" si="1190"/>
        <v>0</v>
      </c>
      <c r="IE320" s="21">
        <f t="shared" si="1190"/>
        <v>0</v>
      </c>
      <c r="IF320" s="21">
        <f t="shared" si="1190"/>
        <v>0</v>
      </c>
      <c r="IG320" s="21">
        <f t="shared" si="1190"/>
        <v>0</v>
      </c>
      <c r="IH320" s="21">
        <f t="shared" ref="IH320:IO320" si="1191">IF($F$290, 0, IF($F$296, IF(AND(COLUMN($IH$320)-COLUMN($GL$319)=$Q$291,ROW($IH$320)-ROW($GL$319)=$K$291), U$290, IH320), IH320))</f>
        <v>0</v>
      </c>
      <c r="II320" s="21">
        <f t="shared" si="1191"/>
        <v>0</v>
      </c>
      <c r="IJ320" s="21">
        <f t="shared" si="1191"/>
        <v>0</v>
      </c>
      <c r="IK320" s="21">
        <f t="shared" si="1191"/>
        <v>0</v>
      </c>
      <c r="IL320" s="21">
        <f t="shared" si="1191"/>
        <v>0</v>
      </c>
      <c r="IM320" s="21">
        <f t="shared" si="1191"/>
        <v>0</v>
      </c>
      <c r="IN320" s="21">
        <f t="shared" si="1191"/>
        <v>0</v>
      </c>
      <c r="IO320" s="21">
        <f t="shared" si="1191"/>
        <v>0</v>
      </c>
      <c r="IP320" s="21">
        <f t="shared" ref="IP320:IW320" si="1192">IF($F$290, 0, IF($F$296, IF(AND(COLUMN($IP$320)-COLUMN($GL$319)=$Q$291,ROW($IP$320)-ROW($GL$319)=$K$291), U$290, IP320), IP320))</f>
        <v>0</v>
      </c>
      <c r="IQ320" s="21">
        <f t="shared" si="1192"/>
        <v>0</v>
      </c>
      <c r="IR320" s="21">
        <f t="shared" si="1192"/>
        <v>0</v>
      </c>
      <c r="IS320" s="21">
        <f t="shared" si="1192"/>
        <v>0</v>
      </c>
      <c r="IT320" s="21">
        <f t="shared" si="1192"/>
        <v>0</v>
      </c>
      <c r="IU320" s="21">
        <f t="shared" si="1192"/>
        <v>0</v>
      </c>
      <c r="IV320" s="21">
        <f t="shared" si="1192"/>
        <v>0</v>
      </c>
      <c r="IW320" s="21">
        <f t="shared" si="1192"/>
        <v>0</v>
      </c>
      <c r="IX320" s="21">
        <f t="shared" ref="IX320:JE320" si="1193">IF($F$290, 0, IF($G$296, IF(AND(COLUMN($IX$320)-COLUMN($IX$319)=$Q$291,ROW($IX$320)-ROW($IX$319)=$K$291), U$290, IX320), IX320))</f>
        <v>0</v>
      </c>
      <c r="IY320" s="21">
        <f t="shared" si="1193"/>
        <v>0</v>
      </c>
      <c r="IZ320" s="21">
        <f t="shared" si="1193"/>
        <v>0</v>
      </c>
      <c r="JA320" s="21">
        <f t="shared" si="1193"/>
        <v>0</v>
      </c>
      <c r="JB320" s="21">
        <f t="shared" si="1193"/>
        <v>0</v>
      </c>
      <c r="JC320" s="21">
        <f t="shared" si="1193"/>
        <v>0</v>
      </c>
      <c r="JD320" s="21">
        <f t="shared" si="1193"/>
        <v>0</v>
      </c>
      <c r="JE320" s="21">
        <f t="shared" si="1193"/>
        <v>0</v>
      </c>
      <c r="JF320" s="21">
        <f t="shared" ref="JF320:JM320" si="1194">IF($F$290, 0, IF($G$296, IF(AND(COLUMN($JF$320)-COLUMN($IX$319)=$Q$291,ROW($JF$320)-ROW($IX$319)=$K$291), U$290, JF320), JF320))</f>
        <v>0</v>
      </c>
      <c r="JG320" s="21">
        <f t="shared" si="1194"/>
        <v>0</v>
      </c>
      <c r="JH320" s="21">
        <f t="shared" si="1194"/>
        <v>0</v>
      </c>
      <c r="JI320" s="21">
        <f t="shared" si="1194"/>
        <v>0</v>
      </c>
      <c r="JJ320" s="21">
        <f t="shared" si="1194"/>
        <v>0</v>
      </c>
      <c r="JK320" s="21">
        <f t="shared" si="1194"/>
        <v>0</v>
      </c>
      <c r="JL320" s="21">
        <f t="shared" si="1194"/>
        <v>0</v>
      </c>
      <c r="JM320" s="21">
        <f t="shared" si="1194"/>
        <v>0</v>
      </c>
      <c r="JN320" s="21">
        <f t="shared" ref="JN320:JU320" si="1195">IF($F$290, 0, IF($G$296, IF(AND(COLUMN($JN$320)-COLUMN($IX$319)=$Q$291,ROW($JN$320)-ROW($IX$319)=$K$291), U$290, JN320), JN320))</f>
        <v>0</v>
      </c>
      <c r="JO320" s="21">
        <f t="shared" si="1195"/>
        <v>0</v>
      </c>
      <c r="JP320" s="21">
        <f t="shared" si="1195"/>
        <v>0</v>
      </c>
      <c r="JQ320" s="21">
        <f t="shared" si="1195"/>
        <v>0</v>
      </c>
      <c r="JR320" s="21">
        <f t="shared" si="1195"/>
        <v>0</v>
      </c>
      <c r="JS320" s="21">
        <f t="shared" si="1195"/>
        <v>0</v>
      </c>
      <c r="JT320" s="21">
        <f t="shared" si="1195"/>
        <v>0</v>
      </c>
      <c r="JU320" s="21">
        <f t="shared" si="1195"/>
        <v>0</v>
      </c>
      <c r="JV320" s="21">
        <f t="shared" ref="JV320:KC320" si="1196">IF($F$290, 0, IF($G$296, IF(AND(COLUMN($JV$320)-COLUMN($IX$319)=$Q$291,ROW($JV$320)-ROW($IX$319)=$K$291), U$290, JV320), JV320))</f>
        <v>0</v>
      </c>
      <c r="JW320" s="21">
        <f t="shared" si="1196"/>
        <v>0</v>
      </c>
      <c r="JX320" s="21">
        <f t="shared" si="1196"/>
        <v>0</v>
      </c>
      <c r="JY320" s="21">
        <f t="shared" si="1196"/>
        <v>0</v>
      </c>
      <c r="JZ320" s="21">
        <f t="shared" si="1196"/>
        <v>0</v>
      </c>
      <c r="KA320" s="21">
        <f t="shared" si="1196"/>
        <v>0</v>
      </c>
      <c r="KB320" s="21">
        <f t="shared" si="1196"/>
        <v>0</v>
      </c>
      <c r="KC320" s="21">
        <f t="shared" si="1196"/>
        <v>0</v>
      </c>
      <c r="KD320" s="21">
        <f t="shared" ref="KD320:KK320" si="1197">IF($F$290, 0, IF($G$296, IF(AND(COLUMN($KD$320)-COLUMN($IX$319)=$Q$291,ROW($KD$320)-ROW($IX$319)=$K$291), U$290, KD320), KD320))</f>
        <v>0</v>
      </c>
      <c r="KE320" s="21">
        <f t="shared" si="1197"/>
        <v>0</v>
      </c>
      <c r="KF320" s="21">
        <f t="shared" si="1197"/>
        <v>0</v>
      </c>
      <c r="KG320" s="21">
        <f t="shared" si="1197"/>
        <v>0</v>
      </c>
      <c r="KH320" s="21">
        <f t="shared" si="1197"/>
        <v>0</v>
      </c>
      <c r="KI320" s="21">
        <f t="shared" si="1197"/>
        <v>0</v>
      </c>
      <c r="KJ320" s="21">
        <f t="shared" si="1197"/>
        <v>0</v>
      </c>
      <c r="KK320" s="21">
        <f t="shared" si="1197"/>
        <v>0</v>
      </c>
      <c r="KL320" s="21">
        <f t="shared" ref="KL320:KS320" si="1198">IF($F$290, 0, IF($G$296, IF(AND(COLUMN($KL$320)-COLUMN($IX$319)=$Q$291,ROW($KL$320)-ROW($IX$319)=$K$291), U$290, KL320), KL320))</f>
        <v>0</v>
      </c>
      <c r="KM320" s="21">
        <f t="shared" si="1198"/>
        <v>0</v>
      </c>
      <c r="KN320" s="21">
        <f t="shared" si="1198"/>
        <v>0</v>
      </c>
      <c r="KO320" s="21">
        <f t="shared" si="1198"/>
        <v>0</v>
      </c>
      <c r="KP320" s="21">
        <f t="shared" si="1198"/>
        <v>0</v>
      </c>
      <c r="KQ320" s="21">
        <f t="shared" si="1198"/>
        <v>0</v>
      </c>
      <c r="KR320" s="21">
        <f t="shared" si="1198"/>
        <v>0</v>
      </c>
      <c r="KS320" s="21">
        <f t="shared" si="1198"/>
        <v>0</v>
      </c>
      <c r="KT320" s="21">
        <f t="shared" ref="KT320:LA320" si="1199">IF($F$290, 0, IF($G$296, IF(AND(COLUMN($KT$320)-COLUMN($IX$319)=$Q$291,ROW($KT$320)-ROW($IX$319)=$K$291), U$290, KT320), KT320))</f>
        <v>0</v>
      </c>
      <c r="KU320" s="21">
        <f t="shared" si="1199"/>
        <v>0</v>
      </c>
      <c r="KV320" s="21">
        <f t="shared" si="1199"/>
        <v>0</v>
      </c>
      <c r="KW320" s="21">
        <f t="shared" si="1199"/>
        <v>0</v>
      </c>
      <c r="KX320" s="21">
        <f t="shared" si="1199"/>
        <v>0</v>
      </c>
      <c r="KY320" s="21">
        <f t="shared" si="1199"/>
        <v>0</v>
      </c>
      <c r="KZ320" s="21">
        <f t="shared" si="1199"/>
        <v>0</v>
      </c>
      <c r="LA320" s="21">
        <f t="shared" si="1199"/>
        <v>0</v>
      </c>
      <c r="LB320" s="21">
        <f t="shared" ref="LB320:LI320" si="1200">IF($F$290, 0, IF($G$296, IF(AND(COLUMN($LB$320)-COLUMN($IX$319)=$Q$291,ROW($LB$320)-ROW($IX$319)=$K$291), U$290, LB320), LB320))</f>
        <v>0</v>
      </c>
      <c r="LC320" s="21">
        <f t="shared" si="1200"/>
        <v>0</v>
      </c>
      <c r="LD320" s="21">
        <f t="shared" si="1200"/>
        <v>0</v>
      </c>
      <c r="LE320" s="21">
        <f t="shared" si="1200"/>
        <v>0</v>
      </c>
      <c r="LF320" s="21">
        <f t="shared" si="1200"/>
        <v>0</v>
      </c>
      <c r="LG320" s="21">
        <f t="shared" si="1200"/>
        <v>0</v>
      </c>
      <c r="LH320" s="21">
        <f t="shared" si="1200"/>
        <v>0</v>
      </c>
      <c r="LI320" s="21">
        <f t="shared" si="1200"/>
        <v>0</v>
      </c>
      <c r="LJ320" s="21">
        <f t="shared" ref="LJ320:LQ320" si="1201">IF($F$290, 0, IF($H$296, IF(AND(COLUMN($LJ$320)-COLUMN($LJ$319)=$Q$291,ROW($LJ$320)-ROW($LJ$319)=$K$291), U$290, LJ320), LJ320))</f>
        <v>0</v>
      </c>
      <c r="LK320" s="21">
        <f t="shared" si="1201"/>
        <v>0</v>
      </c>
      <c r="LL320" s="21">
        <f t="shared" si="1201"/>
        <v>0</v>
      </c>
      <c r="LM320" s="21">
        <f t="shared" si="1201"/>
        <v>0</v>
      </c>
      <c r="LN320" s="21">
        <f t="shared" si="1201"/>
        <v>0</v>
      </c>
      <c r="LO320" s="21">
        <f t="shared" si="1201"/>
        <v>0</v>
      </c>
      <c r="LP320" s="21">
        <f t="shared" si="1201"/>
        <v>0</v>
      </c>
      <c r="LQ320" s="21">
        <f t="shared" si="1201"/>
        <v>0</v>
      </c>
      <c r="LR320" s="21">
        <f t="shared" ref="LR320:LY320" si="1202">IF($F$290, 0, IF($H$296, IF(AND(COLUMN($LR$320)-COLUMN($LJ$319)=$Q$291,ROW($LR$320)-ROW($LJ$319)=$K$291), U$290, LR320), LR320))</f>
        <v>0</v>
      </c>
      <c r="LS320" s="21">
        <f t="shared" si="1202"/>
        <v>0</v>
      </c>
      <c r="LT320" s="21">
        <f t="shared" si="1202"/>
        <v>0</v>
      </c>
      <c r="LU320" s="21">
        <f t="shared" si="1202"/>
        <v>0</v>
      </c>
      <c r="LV320" s="21">
        <f t="shared" si="1202"/>
        <v>0</v>
      </c>
      <c r="LW320" s="21">
        <f t="shared" si="1202"/>
        <v>0</v>
      </c>
      <c r="LX320" s="21">
        <f t="shared" si="1202"/>
        <v>0</v>
      </c>
      <c r="LY320" s="21">
        <f t="shared" si="1202"/>
        <v>0</v>
      </c>
      <c r="LZ320" s="21">
        <f t="shared" ref="LZ320:MG320" si="1203">IF($F$290, 0, IF($H$296, IF(AND(COLUMN($LZ$320)-COLUMN($LJ$319)=$Q$291,ROW($LZ$320)-ROW($LJ$319)=$K$291), U$290, LZ320), LZ320))</f>
        <v>0</v>
      </c>
      <c r="MA320" s="21">
        <f t="shared" si="1203"/>
        <v>0</v>
      </c>
      <c r="MB320" s="21">
        <f t="shared" si="1203"/>
        <v>0</v>
      </c>
      <c r="MC320" s="21">
        <f t="shared" si="1203"/>
        <v>0</v>
      </c>
      <c r="MD320" s="21">
        <f t="shared" si="1203"/>
        <v>0</v>
      </c>
      <c r="ME320" s="21">
        <f t="shared" si="1203"/>
        <v>0</v>
      </c>
      <c r="MF320" s="21">
        <f t="shared" si="1203"/>
        <v>0</v>
      </c>
      <c r="MG320" s="21">
        <f t="shared" si="1203"/>
        <v>0</v>
      </c>
      <c r="MH320" s="21">
        <f t="shared" ref="MH320:MO320" si="1204">IF($F$290, 0, IF($H$296, IF(AND(COLUMN($MH$320)-COLUMN($LJ$319)=$Q$291,ROW($MH$320)-ROW($LJ$319)=$K$291), U$290, MH320), MH320))</f>
        <v>0</v>
      </c>
      <c r="MI320" s="21">
        <f t="shared" si="1204"/>
        <v>0</v>
      </c>
      <c r="MJ320" s="21">
        <f t="shared" si="1204"/>
        <v>0</v>
      </c>
      <c r="MK320" s="21">
        <f t="shared" si="1204"/>
        <v>0</v>
      </c>
      <c r="ML320" s="21">
        <f t="shared" si="1204"/>
        <v>0</v>
      </c>
      <c r="MM320" s="21">
        <f t="shared" si="1204"/>
        <v>0</v>
      </c>
      <c r="MN320" s="21">
        <f t="shared" si="1204"/>
        <v>0</v>
      </c>
      <c r="MO320" s="21">
        <f t="shared" si="1204"/>
        <v>0</v>
      </c>
      <c r="MP320" s="21">
        <f t="shared" ref="MP320:MW320" si="1205">IF($F$290, 0, IF($H$296, IF(AND(COLUMN($MP$320)-COLUMN($LJ$319)=$Q$291,ROW($MP$320)-ROW($LJ$319)=$K$291), U$290, MP320), MP320))</f>
        <v>0</v>
      </c>
      <c r="MQ320" s="21">
        <f t="shared" si="1205"/>
        <v>0</v>
      </c>
      <c r="MR320" s="21">
        <f t="shared" si="1205"/>
        <v>0</v>
      </c>
      <c r="MS320" s="21">
        <f t="shared" si="1205"/>
        <v>0</v>
      </c>
      <c r="MT320" s="21">
        <f t="shared" si="1205"/>
        <v>0</v>
      </c>
      <c r="MU320" s="21">
        <f t="shared" si="1205"/>
        <v>0</v>
      </c>
      <c r="MV320" s="21">
        <f t="shared" si="1205"/>
        <v>0</v>
      </c>
      <c r="MW320" s="21">
        <f t="shared" si="1205"/>
        <v>0</v>
      </c>
      <c r="MX320" s="21">
        <f t="shared" ref="MX320:NE320" si="1206">IF($F$290, 0, IF($H$296, IF(AND(COLUMN($MX$320)-COLUMN($LJ$319)=$Q$291,ROW($MX$320)-ROW($LJ$319)=$K$291), U$290, MX320), MX320))</f>
        <v>0</v>
      </c>
      <c r="MY320" s="21">
        <f t="shared" si="1206"/>
        <v>0</v>
      </c>
      <c r="MZ320" s="21">
        <f t="shared" si="1206"/>
        <v>0</v>
      </c>
      <c r="NA320" s="21">
        <f t="shared" si="1206"/>
        <v>0</v>
      </c>
      <c r="NB320" s="21">
        <f t="shared" si="1206"/>
        <v>0</v>
      </c>
      <c r="NC320" s="21">
        <f t="shared" si="1206"/>
        <v>0</v>
      </c>
      <c r="ND320" s="21">
        <f t="shared" si="1206"/>
        <v>0</v>
      </c>
      <c r="NE320" s="21">
        <f t="shared" si="1206"/>
        <v>0</v>
      </c>
      <c r="NF320" s="21">
        <f t="shared" ref="NF320:NM320" si="1207">IF($F$290, 0, IF($H$296, IF(AND(COLUMN($NF$320)-COLUMN($LJ$319)=$Q$291,ROW($NF$320)-ROW($LJ$319)=$K$291), U$290, NF320), NF320))</f>
        <v>0</v>
      </c>
      <c r="NG320" s="21">
        <f t="shared" si="1207"/>
        <v>0</v>
      </c>
      <c r="NH320" s="21">
        <f t="shared" si="1207"/>
        <v>0</v>
      </c>
      <c r="NI320" s="21">
        <f t="shared" si="1207"/>
        <v>0</v>
      </c>
      <c r="NJ320" s="21">
        <f t="shared" si="1207"/>
        <v>0</v>
      </c>
      <c r="NK320" s="21">
        <f t="shared" si="1207"/>
        <v>0</v>
      </c>
      <c r="NL320" s="21">
        <f t="shared" si="1207"/>
        <v>0</v>
      </c>
      <c r="NM320" s="21">
        <f t="shared" si="1207"/>
        <v>0</v>
      </c>
      <c r="NN320" s="21">
        <f t="shared" ref="NN320:NU320" si="1208">IF($F$290, 0, IF($H$296, IF(AND(COLUMN($NN$320)-COLUMN($LJ$319)=$Q$291,ROW($NN$320)-ROW($LJ$319)=$K$291), U$290, NN320), NN320))</f>
        <v>0</v>
      </c>
      <c r="NO320" s="21">
        <f t="shared" si="1208"/>
        <v>0</v>
      </c>
      <c r="NP320" s="21">
        <f t="shared" si="1208"/>
        <v>0</v>
      </c>
      <c r="NQ320" s="21">
        <f t="shared" si="1208"/>
        <v>0</v>
      </c>
      <c r="NR320" s="21">
        <f t="shared" si="1208"/>
        <v>0</v>
      </c>
      <c r="NS320" s="21">
        <f t="shared" si="1208"/>
        <v>0</v>
      </c>
      <c r="NT320" s="21">
        <f t="shared" si="1208"/>
        <v>0</v>
      </c>
      <c r="NU320" s="21">
        <f t="shared" si="1208"/>
        <v>0</v>
      </c>
      <c r="NV320" s="21">
        <f t="shared" ref="NV320:OC320" si="1209">IF($F$290, 0, IF($I$296, IF(AND(COLUMN($NV$320)-COLUMN($NV$319)=$Q$291,ROW($NV$320)-ROW($NV$319)=$K$291), U$290, NV320), NV320))</f>
        <v>0</v>
      </c>
      <c r="NW320" s="21">
        <f t="shared" si="1209"/>
        <v>0</v>
      </c>
      <c r="NX320" s="21">
        <f t="shared" si="1209"/>
        <v>0</v>
      </c>
      <c r="NY320" s="21">
        <f t="shared" si="1209"/>
        <v>0</v>
      </c>
      <c r="NZ320" s="21">
        <f t="shared" si="1209"/>
        <v>0</v>
      </c>
      <c r="OA320" s="21">
        <f t="shared" si="1209"/>
        <v>0</v>
      </c>
      <c r="OB320" s="21">
        <f t="shared" si="1209"/>
        <v>0</v>
      </c>
      <c r="OC320" s="21">
        <f t="shared" si="1209"/>
        <v>0</v>
      </c>
      <c r="OD320" s="21">
        <f t="shared" ref="OD320:OK320" si="1210">IF($F$290, 0, IF($I$296, IF(AND(COLUMN($OD$320)-COLUMN($NV$319)=$Q$291,ROW($OD$320)-ROW($NV$319)=$K$291), U$290, OD320), OD320))</f>
        <v>0</v>
      </c>
      <c r="OE320" s="21">
        <f t="shared" si="1210"/>
        <v>0</v>
      </c>
      <c r="OF320" s="21">
        <f t="shared" si="1210"/>
        <v>0</v>
      </c>
      <c r="OG320" s="21">
        <f t="shared" si="1210"/>
        <v>0</v>
      </c>
      <c r="OH320" s="21">
        <f t="shared" si="1210"/>
        <v>0</v>
      </c>
      <c r="OI320" s="21">
        <f t="shared" si="1210"/>
        <v>0</v>
      </c>
      <c r="OJ320" s="21">
        <f t="shared" si="1210"/>
        <v>0</v>
      </c>
      <c r="OK320" s="21">
        <f t="shared" si="1210"/>
        <v>0</v>
      </c>
      <c r="OL320" s="21">
        <f t="shared" ref="OL320:OS320" si="1211">IF($F$290, 0, IF($I$296, IF(AND(COLUMN($OL$320)-COLUMN($NV$319)=$Q$291,ROW($OL$320)-ROW($NV$319)=$K$291), U$290, OL320), OL320))</f>
        <v>0</v>
      </c>
      <c r="OM320" s="21">
        <f t="shared" si="1211"/>
        <v>0</v>
      </c>
      <c r="ON320" s="21">
        <f t="shared" si="1211"/>
        <v>0</v>
      </c>
      <c r="OO320" s="21">
        <f t="shared" si="1211"/>
        <v>0</v>
      </c>
      <c r="OP320" s="21">
        <f t="shared" si="1211"/>
        <v>0</v>
      </c>
      <c r="OQ320" s="21">
        <f t="shared" si="1211"/>
        <v>0</v>
      </c>
      <c r="OR320" s="21">
        <f t="shared" si="1211"/>
        <v>0</v>
      </c>
      <c r="OS320" s="21">
        <f t="shared" si="1211"/>
        <v>0</v>
      </c>
      <c r="OT320" s="21">
        <f t="shared" ref="OT320:PA320" si="1212">IF($F$290, 0, IF($I$296, IF(AND(COLUMN($OT$320)-COLUMN($NV$319)=$Q$291,ROW($OT$320)-ROW($NV$319)=$K$291), U$290, OT320), OT320))</f>
        <v>0</v>
      </c>
      <c r="OU320" s="21">
        <f t="shared" si="1212"/>
        <v>0</v>
      </c>
      <c r="OV320" s="21">
        <f t="shared" si="1212"/>
        <v>0</v>
      </c>
      <c r="OW320" s="21">
        <f t="shared" si="1212"/>
        <v>0</v>
      </c>
      <c r="OX320" s="21">
        <f t="shared" si="1212"/>
        <v>0</v>
      </c>
      <c r="OY320" s="21">
        <f t="shared" si="1212"/>
        <v>0</v>
      </c>
      <c r="OZ320" s="21">
        <f t="shared" si="1212"/>
        <v>0</v>
      </c>
      <c r="PA320" s="21">
        <f t="shared" si="1212"/>
        <v>0</v>
      </c>
      <c r="PB320" s="21">
        <f t="shared" ref="PB320:PI320" si="1213">IF($F$290, 0, IF($I$296, IF(AND(COLUMN($PB$320)-COLUMN($NV$319)=$Q$291,ROW($PB$320)-ROW($NV$319)=$K$291), U$290, PB320), PB320))</f>
        <v>0</v>
      </c>
      <c r="PC320" s="21">
        <f t="shared" si="1213"/>
        <v>0</v>
      </c>
      <c r="PD320" s="21">
        <f t="shared" si="1213"/>
        <v>0</v>
      </c>
      <c r="PE320" s="21">
        <f t="shared" si="1213"/>
        <v>0</v>
      </c>
      <c r="PF320" s="21">
        <f t="shared" si="1213"/>
        <v>0</v>
      </c>
      <c r="PG320" s="21">
        <f t="shared" si="1213"/>
        <v>0</v>
      </c>
      <c r="PH320" s="21">
        <f t="shared" si="1213"/>
        <v>0</v>
      </c>
      <c r="PI320" s="21">
        <f t="shared" si="1213"/>
        <v>0</v>
      </c>
      <c r="PJ320" s="21">
        <f t="shared" ref="PJ320:PQ320" si="1214">IF($F$290, 0, IF($I$296, IF(AND(COLUMN($PJ$320)-COLUMN($NV$319)=$Q$291,ROW($PJ$320)-ROW($NV$319)=$K$291), U$290, PJ320), PJ320))</f>
        <v>0</v>
      </c>
      <c r="PK320" s="21">
        <f t="shared" si="1214"/>
        <v>0</v>
      </c>
      <c r="PL320" s="21">
        <f t="shared" si="1214"/>
        <v>0</v>
      </c>
      <c r="PM320" s="21">
        <f t="shared" si="1214"/>
        <v>0</v>
      </c>
      <c r="PN320" s="21">
        <f t="shared" si="1214"/>
        <v>0</v>
      </c>
      <c r="PO320" s="21">
        <f t="shared" si="1214"/>
        <v>0</v>
      </c>
      <c r="PP320" s="21">
        <f t="shared" si="1214"/>
        <v>0</v>
      </c>
      <c r="PQ320" s="21">
        <f t="shared" si="1214"/>
        <v>0</v>
      </c>
      <c r="PR320" s="21">
        <f t="shared" ref="PR320:PY320" si="1215">IF($F$290, 0, IF($I$296, IF(AND(COLUMN($PR$320)-COLUMN($NV$319)=$Q$291,ROW($PR$320)-ROW($NV$319)=$K$291), U$290, PR320), PR320))</f>
        <v>0</v>
      </c>
      <c r="PS320" s="21">
        <f t="shared" si="1215"/>
        <v>0</v>
      </c>
      <c r="PT320" s="21">
        <f t="shared" si="1215"/>
        <v>0</v>
      </c>
      <c r="PU320" s="21">
        <f t="shared" si="1215"/>
        <v>0</v>
      </c>
      <c r="PV320" s="21">
        <f t="shared" si="1215"/>
        <v>0</v>
      </c>
      <c r="PW320" s="21">
        <f t="shared" si="1215"/>
        <v>0</v>
      </c>
      <c r="PX320" s="21">
        <f t="shared" si="1215"/>
        <v>0</v>
      </c>
      <c r="PY320" s="21">
        <f t="shared" si="1215"/>
        <v>0</v>
      </c>
      <c r="PZ320" s="21">
        <f t="shared" ref="PZ320:QG320" si="1216">IF($F$290, 0, IF($I$296, IF(AND(COLUMN($PZ$320)-COLUMN($NV$319)=$Q$291,ROW($PZ$320)-ROW($NV$319)=$K$291), U$290, PZ320), PZ320))</f>
        <v>0</v>
      </c>
      <c r="QA320" s="21">
        <f t="shared" si="1216"/>
        <v>0</v>
      </c>
      <c r="QB320" s="21">
        <f t="shared" si="1216"/>
        <v>0</v>
      </c>
      <c r="QC320" s="21">
        <f t="shared" si="1216"/>
        <v>0</v>
      </c>
      <c r="QD320" s="21">
        <f t="shared" si="1216"/>
        <v>0</v>
      </c>
      <c r="QE320" s="21">
        <f t="shared" si="1216"/>
        <v>0</v>
      </c>
      <c r="QF320" s="21">
        <f t="shared" si="1216"/>
        <v>0</v>
      </c>
      <c r="QG320" s="21">
        <f t="shared" si="1216"/>
        <v>0</v>
      </c>
      <c r="QH320" s="21">
        <f t="shared" ref="QH320:QO320" si="1217">IF($F$290, 0, IF($J$296, IF(AND(COLUMN($QH$320)-COLUMN($QH$319)=$Q$291,ROW($QH$320)-ROW($QH$319)=$K$291), U$290, QH320), QH320))</f>
        <v>0</v>
      </c>
      <c r="QI320" s="21">
        <f t="shared" si="1217"/>
        <v>0</v>
      </c>
      <c r="QJ320" s="21">
        <f t="shared" si="1217"/>
        <v>0</v>
      </c>
      <c r="QK320" s="21">
        <f t="shared" si="1217"/>
        <v>0</v>
      </c>
      <c r="QL320" s="21">
        <f t="shared" si="1217"/>
        <v>0</v>
      </c>
      <c r="QM320" s="21">
        <f t="shared" si="1217"/>
        <v>0</v>
      </c>
      <c r="QN320" s="21">
        <f t="shared" si="1217"/>
        <v>0</v>
      </c>
      <c r="QO320" s="21">
        <f t="shared" si="1217"/>
        <v>0</v>
      </c>
      <c r="QP320" s="21">
        <f t="shared" ref="QP320:QW320" si="1218">IF($F$290, 0, IF($J$296, IF(AND(COLUMN($QP$320)-COLUMN($QH$319)=$Q$291,ROW($QP$320)-ROW($QH$319)=$K$291), U$290, QP320), QP320))</f>
        <v>0</v>
      </c>
      <c r="QQ320" s="21">
        <f t="shared" si="1218"/>
        <v>0</v>
      </c>
      <c r="QR320" s="21">
        <f t="shared" si="1218"/>
        <v>0</v>
      </c>
      <c r="QS320" s="21">
        <f t="shared" si="1218"/>
        <v>0</v>
      </c>
      <c r="QT320" s="21">
        <f t="shared" si="1218"/>
        <v>0</v>
      </c>
      <c r="QU320" s="21">
        <f t="shared" si="1218"/>
        <v>0</v>
      </c>
      <c r="QV320" s="21">
        <f t="shared" si="1218"/>
        <v>0</v>
      </c>
      <c r="QW320" s="21">
        <f t="shared" si="1218"/>
        <v>0</v>
      </c>
      <c r="QX320" s="21">
        <f t="shared" ref="QX320:RE320" si="1219">IF($F$290, 0, IF($J$296, IF(AND(COLUMN($QX$320)-COLUMN($QH$319)=$Q$291,ROW($QX$320)-ROW($QH$319)=$K$291), U$290, QX320), QX320))</f>
        <v>0</v>
      </c>
      <c r="QY320" s="21">
        <f t="shared" si="1219"/>
        <v>0</v>
      </c>
      <c r="QZ320" s="21">
        <f t="shared" si="1219"/>
        <v>0</v>
      </c>
      <c r="RA320" s="21">
        <f t="shared" si="1219"/>
        <v>0</v>
      </c>
      <c r="RB320" s="21">
        <f t="shared" si="1219"/>
        <v>0</v>
      </c>
      <c r="RC320" s="21">
        <f t="shared" si="1219"/>
        <v>0</v>
      </c>
      <c r="RD320" s="21">
        <f t="shared" si="1219"/>
        <v>0</v>
      </c>
      <c r="RE320" s="21">
        <f t="shared" si="1219"/>
        <v>0</v>
      </c>
      <c r="RF320" s="21">
        <f t="shared" ref="RF320:RM320" si="1220">IF($F$290, 0, IF($J$296, IF(AND(COLUMN($RF$320)-COLUMN($QH$319)=$Q$291,ROW($RF$320)-ROW($QH$319)=$K$291), U$290, RF320), RF320))</f>
        <v>0</v>
      </c>
      <c r="RG320" s="21">
        <f t="shared" si="1220"/>
        <v>0</v>
      </c>
      <c r="RH320" s="21">
        <f t="shared" si="1220"/>
        <v>0</v>
      </c>
      <c r="RI320" s="21">
        <f t="shared" si="1220"/>
        <v>0</v>
      </c>
      <c r="RJ320" s="21">
        <f t="shared" si="1220"/>
        <v>0</v>
      </c>
      <c r="RK320" s="21">
        <f t="shared" si="1220"/>
        <v>0</v>
      </c>
      <c r="RL320" s="21">
        <f t="shared" si="1220"/>
        <v>0</v>
      </c>
      <c r="RM320" s="21">
        <f t="shared" si="1220"/>
        <v>0</v>
      </c>
      <c r="RN320" s="21">
        <f t="shared" ref="RN320:RU320" si="1221">IF($F$290, 0, IF($J$296, IF(AND(COLUMN($RN$320)-COLUMN($QH$319)=$Q$291,ROW($RN$320)-ROW($QH$319)=$K$291), U$290, RN320), RN320))</f>
        <v>0</v>
      </c>
      <c r="RO320" s="21">
        <f t="shared" si="1221"/>
        <v>0</v>
      </c>
      <c r="RP320" s="21">
        <f t="shared" si="1221"/>
        <v>0</v>
      </c>
      <c r="RQ320" s="21">
        <f t="shared" si="1221"/>
        <v>0</v>
      </c>
      <c r="RR320" s="21">
        <f t="shared" si="1221"/>
        <v>0</v>
      </c>
      <c r="RS320" s="21">
        <f t="shared" si="1221"/>
        <v>0</v>
      </c>
      <c r="RT320" s="21">
        <f t="shared" si="1221"/>
        <v>0</v>
      </c>
      <c r="RU320" s="21">
        <f t="shared" si="1221"/>
        <v>0</v>
      </c>
      <c r="RV320" s="21">
        <f t="shared" ref="RV320:SC320" si="1222">IF($F$290, 0, IF($J$296, IF(AND(COLUMN($RV$320)-COLUMN($QH$319)=$Q$291,ROW($RV$320)-ROW($QH$319)=$K$291), U$290, RV320), RV320))</f>
        <v>0</v>
      </c>
      <c r="RW320" s="21">
        <f t="shared" si="1222"/>
        <v>0</v>
      </c>
      <c r="RX320" s="21">
        <f t="shared" si="1222"/>
        <v>0</v>
      </c>
      <c r="RY320" s="21">
        <f t="shared" si="1222"/>
        <v>0</v>
      </c>
      <c r="RZ320" s="21">
        <f t="shared" si="1222"/>
        <v>0</v>
      </c>
      <c r="SA320" s="21">
        <f t="shared" si="1222"/>
        <v>0</v>
      </c>
      <c r="SB320" s="21">
        <f t="shared" si="1222"/>
        <v>0</v>
      </c>
      <c r="SC320" s="21">
        <f t="shared" si="1222"/>
        <v>0</v>
      </c>
      <c r="SD320" s="21">
        <f t="shared" ref="SD320:SK320" si="1223">IF($F$290, 0, IF($J$296, IF(AND(COLUMN($SD$320)-COLUMN($QH$319)=$Q$291,ROW($SD$320)-ROW($QH$319)=$K$291), U$290, SD320), SD320))</f>
        <v>0</v>
      </c>
      <c r="SE320" s="21">
        <f t="shared" si="1223"/>
        <v>0</v>
      </c>
      <c r="SF320" s="21">
        <f t="shared" si="1223"/>
        <v>0</v>
      </c>
      <c r="SG320" s="21">
        <f t="shared" si="1223"/>
        <v>0</v>
      </c>
      <c r="SH320" s="21">
        <f t="shared" si="1223"/>
        <v>0</v>
      </c>
      <c r="SI320" s="21">
        <f t="shared" si="1223"/>
        <v>0</v>
      </c>
      <c r="SJ320" s="21">
        <f t="shared" si="1223"/>
        <v>0</v>
      </c>
      <c r="SK320" s="21">
        <f t="shared" si="1223"/>
        <v>0</v>
      </c>
      <c r="SL320" s="21">
        <f t="shared" ref="SL320:SS320" si="1224">IF($F$290, 0, IF($J$296, IF(AND(COLUMN($SL$320)-COLUMN($QH$319)=$Q$291,ROW($SL$320)-ROW($QH$319)=$K$291), U$290, SL320), SL320))</f>
        <v>0</v>
      </c>
      <c r="SM320" s="21">
        <f t="shared" si="1224"/>
        <v>0</v>
      </c>
      <c r="SN320" s="21">
        <f t="shared" si="1224"/>
        <v>0</v>
      </c>
      <c r="SO320" s="21">
        <f t="shared" si="1224"/>
        <v>0</v>
      </c>
      <c r="SP320" s="21">
        <f t="shared" si="1224"/>
        <v>0</v>
      </c>
      <c r="SQ320" s="21">
        <f t="shared" si="1224"/>
        <v>0</v>
      </c>
      <c r="SR320" s="21">
        <f t="shared" si="1224"/>
        <v>0</v>
      </c>
      <c r="SS320" s="21">
        <f t="shared" si="1224"/>
        <v>0</v>
      </c>
    </row>
    <row r="321" spans="2:513" ht="15" customHeight="1" x14ac:dyDescent="0.25">
      <c r="B321" s="21">
        <f t="shared" ref="B321:I321" si="1225">IF($F$290, 0, IF($C$296, IF(AND(COLUMN($B$321)-COLUMN($B$319)=$Q$291,ROW($B$321)-ROW($B$319)=$K$291), U$290, B321), B321))</f>
        <v>0</v>
      </c>
      <c r="C321" s="21">
        <f t="shared" si="1225"/>
        <v>0</v>
      </c>
      <c r="D321" s="21">
        <f t="shared" si="1225"/>
        <v>0</v>
      </c>
      <c r="E321" s="21">
        <f t="shared" si="1225"/>
        <v>0</v>
      </c>
      <c r="F321" s="21">
        <f t="shared" si="1225"/>
        <v>0</v>
      </c>
      <c r="G321" s="21">
        <f t="shared" si="1225"/>
        <v>0</v>
      </c>
      <c r="H321" s="21">
        <f t="shared" si="1225"/>
        <v>0</v>
      </c>
      <c r="I321" s="21">
        <f t="shared" si="1225"/>
        <v>0</v>
      </c>
      <c r="J321" s="21">
        <f t="shared" ref="J321:Q321" si="1226">IF($F$290, 0, IF($C$296, IF(AND(COLUMN($J$321)-COLUMN($B$319)=$Q$291,ROW($J$321)-ROW($B$319)=$K$291), U$290, J321), J321))</f>
        <v>0</v>
      </c>
      <c r="K321" s="21">
        <f t="shared" si="1226"/>
        <v>0</v>
      </c>
      <c r="L321" s="21">
        <f t="shared" si="1226"/>
        <v>0</v>
      </c>
      <c r="M321" s="21">
        <f t="shared" si="1226"/>
        <v>0</v>
      </c>
      <c r="N321" s="21">
        <f t="shared" si="1226"/>
        <v>0</v>
      </c>
      <c r="O321" s="21">
        <f t="shared" si="1226"/>
        <v>0</v>
      </c>
      <c r="P321" s="21">
        <f t="shared" si="1226"/>
        <v>0</v>
      </c>
      <c r="Q321" s="21">
        <f t="shared" si="1226"/>
        <v>0</v>
      </c>
      <c r="R321" s="21">
        <f>IF($F$290, 0, IF($C$296, IF(AND(COLUMN($R$321)-COLUMN($B$319)=$Q$291,ROW($R$321)-ROW($B$319)=$K$291), U$290, R321), R321))</f>
        <v>0</v>
      </c>
      <c r="S321" s="21">
        <f t="shared" ref="S321:Y321" si="1227">IF($F$290, 0, IF($C$296, IF(AND(COLUMN($R$321)-COLUMN($B$319)=$Q$291,ROW($R$321)-ROW($B$319)=$K$291), V$290, S321), S321))</f>
        <v>0</v>
      </c>
      <c r="T321" s="21">
        <f t="shared" si="1227"/>
        <v>0</v>
      </c>
      <c r="U321" s="21">
        <f t="shared" si="1227"/>
        <v>0</v>
      </c>
      <c r="V321" s="21">
        <f t="shared" si="1227"/>
        <v>0</v>
      </c>
      <c r="W321" s="21">
        <f t="shared" si="1227"/>
        <v>0</v>
      </c>
      <c r="X321" s="21">
        <f t="shared" si="1227"/>
        <v>0</v>
      </c>
      <c r="Y321" s="21">
        <f t="shared" si="1227"/>
        <v>0</v>
      </c>
      <c r="Z321" s="21">
        <f t="shared" ref="Z321:AG321" si="1228">IF($F$290, 0, IF($C$296, IF(AND(COLUMN($Z$321)-COLUMN($B$319)=$Q$291,ROW($Z$321)-ROW($B$319)=$K$291), U$290, Z321), Z321))</f>
        <v>0</v>
      </c>
      <c r="AA321" s="21">
        <f t="shared" si="1228"/>
        <v>0</v>
      </c>
      <c r="AB321" s="21">
        <f t="shared" si="1228"/>
        <v>0</v>
      </c>
      <c r="AC321" s="21">
        <f t="shared" si="1228"/>
        <v>0</v>
      </c>
      <c r="AD321" s="21">
        <f t="shared" si="1228"/>
        <v>0</v>
      </c>
      <c r="AE321" s="21">
        <f t="shared" si="1228"/>
        <v>0</v>
      </c>
      <c r="AF321" s="21">
        <f t="shared" si="1228"/>
        <v>0</v>
      </c>
      <c r="AG321" s="21">
        <f t="shared" si="1228"/>
        <v>0</v>
      </c>
      <c r="AH321" s="21">
        <f t="shared" ref="AH321:AO321" si="1229">IF($F$290, 0, IF($C$296, IF(AND(COLUMN($AH$321)-COLUMN($B$319)=$Q$291,ROW($AH$321)-ROW($B$319)=$K$291), U$290, AH321), AH321))</f>
        <v>0</v>
      </c>
      <c r="AI321" s="21">
        <f t="shared" si="1229"/>
        <v>0</v>
      </c>
      <c r="AJ321" s="21">
        <f t="shared" si="1229"/>
        <v>0</v>
      </c>
      <c r="AK321" s="21">
        <f t="shared" si="1229"/>
        <v>0</v>
      </c>
      <c r="AL321" s="21">
        <f t="shared" si="1229"/>
        <v>0</v>
      </c>
      <c r="AM321" s="21">
        <f t="shared" si="1229"/>
        <v>0</v>
      </c>
      <c r="AN321" s="21">
        <f t="shared" si="1229"/>
        <v>0</v>
      </c>
      <c r="AO321" s="21">
        <f t="shared" si="1229"/>
        <v>0</v>
      </c>
      <c r="AP321" s="21">
        <f t="shared" ref="AP321:AW321" si="1230">IF($F$290, 0, IF($C$296, IF(AND(COLUMN($AP$321)-COLUMN($B$319)=$Q$291,ROW($AP$321)-ROW($B$319)=$K$291), U$290, AP321), AP321))</f>
        <v>0</v>
      </c>
      <c r="AQ321" s="21">
        <f t="shared" si="1230"/>
        <v>0</v>
      </c>
      <c r="AR321" s="21">
        <f t="shared" si="1230"/>
        <v>0</v>
      </c>
      <c r="AS321" s="21">
        <f t="shared" si="1230"/>
        <v>0</v>
      </c>
      <c r="AT321" s="21">
        <f t="shared" si="1230"/>
        <v>0</v>
      </c>
      <c r="AU321" s="21">
        <f t="shared" si="1230"/>
        <v>0</v>
      </c>
      <c r="AV321" s="21">
        <f t="shared" si="1230"/>
        <v>0</v>
      </c>
      <c r="AW321" s="21">
        <f t="shared" si="1230"/>
        <v>0</v>
      </c>
      <c r="AX321" s="21">
        <f t="shared" ref="AX321:BE321" si="1231">IF($F$290, 0, IF($C$296, IF(AND(COLUMN($AX$321)-COLUMN($B$319)=$Q$291,ROW($AX$321)-ROW($B$319)=$K$291), U$290, AX321), AX321))</f>
        <v>0</v>
      </c>
      <c r="AY321" s="21">
        <f t="shared" si="1231"/>
        <v>0</v>
      </c>
      <c r="AZ321" s="21">
        <f t="shared" si="1231"/>
        <v>0</v>
      </c>
      <c r="BA321" s="21">
        <f t="shared" si="1231"/>
        <v>0</v>
      </c>
      <c r="BB321" s="21">
        <f t="shared" si="1231"/>
        <v>0</v>
      </c>
      <c r="BC321" s="21">
        <f t="shared" si="1231"/>
        <v>0</v>
      </c>
      <c r="BD321" s="21">
        <f t="shared" si="1231"/>
        <v>0</v>
      </c>
      <c r="BE321" s="21">
        <f t="shared" si="1231"/>
        <v>0</v>
      </c>
      <c r="BF321" s="21">
        <f t="shared" ref="BF321:BM321" si="1232">IF($F$290, 0, IF($C$296, IF(AND(COLUMN($BF$321)-COLUMN($B$319)=$Q$291,ROW($BF$321)-ROW($B$319)=$K$291), U$290, BF321), BF321))</f>
        <v>0</v>
      </c>
      <c r="BG321" s="21">
        <f t="shared" si="1232"/>
        <v>0</v>
      </c>
      <c r="BH321" s="21">
        <f t="shared" si="1232"/>
        <v>0</v>
      </c>
      <c r="BI321" s="21">
        <f t="shared" si="1232"/>
        <v>0</v>
      </c>
      <c r="BJ321" s="21">
        <f t="shared" si="1232"/>
        <v>0</v>
      </c>
      <c r="BK321" s="21">
        <f t="shared" si="1232"/>
        <v>0</v>
      </c>
      <c r="BL321" s="21">
        <f t="shared" si="1232"/>
        <v>0</v>
      </c>
      <c r="BM321" s="21">
        <f t="shared" si="1232"/>
        <v>0</v>
      </c>
      <c r="BN321" s="21">
        <f t="shared" ref="BN321:BU321" si="1233">IF($F$290, 0, IF($D$296, IF(AND(COLUMN($BN$321)-COLUMN($BN$319)=$Q$291,ROW($BN$321)-ROW($BN$319)=$K$291), U$290, BN321), BN321))</f>
        <v>0</v>
      </c>
      <c r="BO321" s="21">
        <f t="shared" si="1233"/>
        <v>0</v>
      </c>
      <c r="BP321" s="21">
        <f t="shared" si="1233"/>
        <v>0</v>
      </c>
      <c r="BQ321" s="21">
        <f t="shared" si="1233"/>
        <v>0</v>
      </c>
      <c r="BR321" s="21">
        <f t="shared" si="1233"/>
        <v>0</v>
      </c>
      <c r="BS321" s="21">
        <f t="shared" si="1233"/>
        <v>0</v>
      </c>
      <c r="BT321" s="21">
        <f t="shared" si="1233"/>
        <v>0</v>
      </c>
      <c r="BU321" s="21">
        <f t="shared" si="1233"/>
        <v>0</v>
      </c>
      <c r="BV321" s="21">
        <f t="shared" ref="BV321:CC321" si="1234">IF($F$290, 0, IF($D$296, IF(AND(COLUMN($BV$321)-COLUMN($BN$319)=$Q$291,ROW($BV$321)-ROW($BN$319)=$K$291), U$290, BV321), BV321))</f>
        <v>0</v>
      </c>
      <c r="BW321" s="21">
        <f t="shared" si="1234"/>
        <v>0</v>
      </c>
      <c r="BX321" s="21">
        <f t="shared" si="1234"/>
        <v>0</v>
      </c>
      <c r="BY321" s="21">
        <f t="shared" si="1234"/>
        <v>0</v>
      </c>
      <c r="BZ321" s="21">
        <f t="shared" si="1234"/>
        <v>0</v>
      </c>
      <c r="CA321" s="21">
        <f t="shared" si="1234"/>
        <v>0</v>
      </c>
      <c r="CB321" s="21">
        <f t="shared" si="1234"/>
        <v>0</v>
      </c>
      <c r="CC321" s="21">
        <f t="shared" si="1234"/>
        <v>0</v>
      </c>
      <c r="CD321" s="21">
        <f t="shared" ref="CD321:CK321" si="1235">IF($F$290, 0, IF($D$296, IF(AND(COLUMN($CD$321)-COLUMN($BN$319)=$Q$291,ROW($CD$321)-ROW($BN$319)=$K$291), U$290, CD321), CD321))</f>
        <v>0</v>
      </c>
      <c r="CE321" s="21">
        <f t="shared" si="1235"/>
        <v>0</v>
      </c>
      <c r="CF321" s="21">
        <f t="shared" si="1235"/>
        <v>0</v>
      </c>
      <c r="CG321" s="21">
        <f t="shared" si="1235"/>
        <v>0</v>
      </c>
      <c r="CH321" s="21">
        <f t="shared" si="1235"/>
        <v>0</v>
      </c>
      <c r="CI321" s="21">
        <f t="shared" si="1235"/>
        <v>0</v>
      </c>
      <c r="CJ321" s="21">
        <f t="shared" si="1235"/>
        <v>0</v>
      </c>
      <c r="CK321" s="21">
        <f t="shared" si="1235"/>
        <v>0</v>
      </c>
      <c r="CL321" s="21">
        <f t="shared" ref="CL321:CS321" si="1236">IF($F$290, 0, IF($D$296, IF(AND(COLUMN($CL$321)-COLUMN($BN$319)=$Q$291,ROW($CL$321)-ROW($BN$319)=$K$291), U$290, CL321), CL321))</f>
        <v>0</v>
      </c>
      <c r="CM321" s="21">
        <f t="shared" si="1236"/>
        <v>0</v>
      </c>
      <c r="CN321" s="21">
        <f t="shared" si="1236"/>
        <v>0</v>
      </c>
      <c r="CO321" s="21">
        <f t="shared" si="1236"/>
        <v>0</v>
      </c>
      <c r="CP321" s="21">
        <f t="shared" si="1236"/>
        <v>0</v>
      </c>
      <c r="CQ321" s="21">
        <f t="shared" si="1236"/>
        <v>0</v>
      </c>
      <c r="CR321" s="21">
        <f t="shared" si="1236"/>
        <v>0</v>
      </c>
      <c r="CS321" s="21">
        <f t="shared" si="1236"/>
        <v>0</v>
      </c>
      <c r="CT321" s="21">
        <f t="shared" ref="CT321:DA321" si="1237">IF($F$290, 0, IF($D$296, IF(AND(COLUMN($CT$321)-COLUMN($BN$319)=$Q$291,ROW($CT$321)-ROW($BN$319)=$K$291), U$290, CT321), CT321))</f>
        <v>0</v>
      </c>
      <c r="CU321" s="21">
        <f t="shared" si="1237"/>
        <v>0</v>
      </c>
      <c r="CV321" s="21">
        <f t="shared" si="1237"/>
        <v>0</v>
      </c>
      <c r="CW321" s="21">
        <f t="shared" si="1237"/>
        <v>0</v>
      </c>
      <c r="CX321" s="21">
        <f t="shared" si="1237"/>
        <v>0</v>
      </c>
      <c r="CY321" s="21">
        <f t="shared" si="1237"/>
        <v>0</v>
      </c>
      <c r="CZ321" s="21">
        <f t="shared" si="1237"/>
        <v>0</v>
      </c>
      <c r="DA321" s="21">
        <f t="shared" si="1237"/>
        <v>0</v>
      </c>
      <c r="DB321" s="21">
        <f t="shared" ref="DB321:DI321" si="1238">IF($F$290, 0, IF($D$296, IF(AND(COLUMN($DB$321)-COLUMN($BN$319)=$Q$291,ROW($DB$321)-ROW($BN$319)=$K$291), U$290, DB321), DB321))</f>
        <v>0</v>
      </c>
      <c r="DC321" s="21">
        <f t="shared" si="1238"/>
        <v>0</v>
      </c>
      <c r="DD321" s="21">
        <f t="shared" si="1238"/>
        <v>0</v>
      </c>
      <c r="DE321" s="21">
        <f t="shared" si="1238"/>
        <v>0</v>
      </c>
      <c r="DF321" s="21">
        <f t="shared" si="1238"/>
        <v>0</v>
      </c>
      <c r="DG321" s="21">
        <f t="shared" si="1238"/>
        <v>0</v>
      </c>
      <c r="DH321" s="21">
        <f t="shared" si="1238"/>
        <v>0</v>
      </c>
      <c r="DI321" s="21">
        <f t="shared" si="1238"/>
        <v>0</v>
      </c>
      <c r="DJ321" s="21">
        <f t="shared" ref="DJ321:DQ321" si="1239">IF($F$290, 0, IF($D$296, IF(AND(COLUMN($DJ$321)-COLUMN($BN$319)=$Q$291,ROW($DJ$321)-ROW($BN$319)=$K$291), U$290, DJ321), DJ321))</f>
        <v>0</v>
      </c>
      <c r="DK321" s="21">
        <f t="shared" si="1239"/>
        <v>0</v>
      </c>
      <c r="DL321" s="21">
        <f t="shared" si="1239"/>
        <v>0</v>
      </c>
      <c r="DM321" s="21">
        <f t="shared" si="1239"/>
        <v>0</v>
      </c>
      <c r="DN321" s="21">
        <f t="shared" si="1239"/>
        <v>0</v>
      </c>
      <c r="DO321" s="21">
        <f t="shared" si="1239"/>
        <v>0</v>
      </c>
      <c r="DP321" s="21">
        <f t="shared" si="1239"/>
        <v>0</v>
      </c>
      <c r="DQ321" s="21">
        <f t="shared" si="1239"/>
        <v>0</v>
      </c>
      <c r="DR321" s="21">
        <f t="shared" ref="DR321:DY321" si="1240">IF($F$290, 0, IF($D$296, IF(AND(COLUMN($DR$321)-COLUMN($BN$319)=$Q$291,ROW($DR$321)-ROW($BN$319)=$K$291), U$290, DR321), DR321))</f>
        <v>0</v>
      </c>
      <c r="DS321" s="21">
        <f t="shared" si="1240"/>
        <v>0</v>
      </c>
      <c r="DT321" s="21">
        <f t="shared" si="1240"/>
        <v>0</v>
      </c>
      <c r="DU321" s="21">
        <f t="shared" si="1240"/>
        <v>0</v>
      </c>
      <c r="DV321" s="21">
        <f t="shared" si="1240"/>
        <v>0</v>
      </c>
      <c r="DW321" s="21">
        <f t="shared" si="1240"/>
        <v>0</v>
      </c>
      <c r="DX321" s="21">
        <f t="shared" si="1240"/>
        <v>0</v>
      </c>
      <c r="DY321" s="21">
        <f t="shared" si="1240"/>
        <v>0</v>
      </c>
      <c r="DZ321" s="21">
        <f t="shared" ref="DZ321:EG321" si="1241">IF($F$290, 0, IF($E$296, IF(AND(COLUMN($DZ$321)-COLUMN($DZ$319)=$Q$291,ROW($DZ$321)-ROW($DZ$319)=$K$291), U$290, DZ321), DZ321))</f>
        <v>0</v>
      </c>
      <c r="EA321" s="21">
        <f t="shared" si="1241"/>
        <v>0</v>
      </c>
      <c r="EB321" s="21">
        <f t="shared" si="1241"/>
        <v>0</v>
      </c>
      <c r="EC321" s="21">
        <f t="shared" si="1241"/>
        <v>0</v>
      </c>
      <c r="ED321" s="21">
        <f t="shared" si="1241"/>
        <v>0</v>
      </c>
      <c r="EE321" s="21">
        <f t="shared" si="1241"/>
        <v>0</v>
      </c>
      <c r="EF321" s="21">
        <f t="shared" si="1241"/>
        <v>0</v>
      </c>
      <c r="EG321" s="21">
        <f t="shared" si="1241"/>
        <v>0</v>
      </c>
      <c r="EH321" s="21">
        <f t="shared" ref="EH321:EO321" si="1242">IF($F$290, 0, IF($E$296, IF(AND(COLUMN($EH$321)-COLUMN($DZ$319)=$Q$291,ROW($EH$321)-ROW($DZ$319)=$K$291), U$290, EH321), EH321))</f>
        <v>0</v>
      </c>
      <c r="EI321" s="21">
        <f t="shared" si="1242"/>
        <v>0</v>
      </c>
      <c r="EJ321" s="21">
        <f t="shared" si="1242"/>
        <v>0</v>
      </c>
      <c r="EK321" s="21">
        <f t="shared" si="1242"/>
        <v>0</v>
      </c>
      <c r="EL321" s="21">
        <f t="shared" si="1242"/>
        <v>0</v>
      </c>
      <c r="EM321" s="21">
        <f t="shared" si="1242"/>
        <v>0</v>
      </c>
      <c r="EN321" s="21">
        <f t="shared" si="1242"/>
        <v>0</v>
      </c>
      <c r="EO321" s="21">
        <f t="shared" si="1242"/>
        <v>0</v>
      </c>
      <c r="EP321" s="21">
        <f t="shared" ref="EP321:EW321" si="1243">IF($F$290, 0, IF($E$296, IF(AND(COLUMN($EP$321)-COLUMN($DZ$319)=$Q$291,ROW($EP$321)-ROW($DZ$319)=$K$291), U$290, EP321), EP321))</f>
        <v>0</v>
      </c>
      <c r="EQ321" s="21">
        <f t="shared" si="1243"/>
        <v>0</v>
      </c>
      <c r="ER321" s="21">
        <f t="shared" si="1243"/>
        <v>0</v>
      </c>
      <c r="ES321" s="21">
        <f t="shared" si="1243"/>
        <v>0</v>
      </c>
      <c r="ET321" s="21">
        <f t="shared" si="1243"/>
        <v>0</v>
      </c>
      <c r="EU321" s="21">
        <f t="shared" si="1243"/>
        <v>0</v>
      </c>
      <c r="EV321" s="21">
        <f t="shared" si="1243"/>
        <v>0</v>
      </c>
      <c r="EW321" s="21">
        <f t="shared" si="1243"/>
        <v>0</v>
      </c>
      <c r="EX321" s="21">
        <f t="shared" ref="EX321:FE321" si="1244">IF($F$290, 0, IF($E$296, IF(AND(COLUMN($EX$321)-COLUMN($DZ$319)=$Q$291,ROW($EX$321)-ROW($DZ$319)=$K$291), U$290, EX321), EX321))</f>
        <v>0</v>
      </c>
      <c r="EY321" s="21">
        <f t="shared" si="1244"/>
        <v>0</v>
      </c>
      <c r="EZ321" s="21">
        <f t="shared" si="1244"/>
        <v>0</v>
      </c>
      <c r="FA321" s="21">
        <f t="shared" si="1244"/>
        <v>0</v>
      </c>
      <c r="FB321" s="21">
        <f t="shared" si="1244"/>
        <v>0</v>
      </c>
      <c r="FC321" s="21">
        <f t="shared" si="1244"/>
        <v>0</v>
      </c>
      <c r="FD321" s="21">
        <f t="shared" si="1244"/>
        <v>0</v>
      </c>
      <c r="FE321" s="21">
        <f t="shared" si="1244"/>
        <v>0</v>
      </c>
      <c r="FF321" s="21">
        <f t="shared" ref="FF321:FM321" si="1245">IF($F$290, 0, IF($E$296, IF(AND(COLUMN($FF$321)-COLUMN($DZ$319)=$Q$291,ROW($FF$321)-ROW($DZ$319)=$K$291), U$290, FF321), FF321))</f>
        <v>0</v>
      </c>
      <c r="FG321" s="21">
        <f t="shared" si="1245"/>
        <v>0</v>
      </c>
      <c r="FH321" s="21">
        <f t="shared" si="1245"/>
        <v>0</v>
      </c>
      <c r="FI321" s="21">
        <f t="shared" si="1245"/>
        <v>0</v>
      </c>
      <c r="FJ321" s="21">
        <f t="shared" si="1245"/>
        <v>0</v>
      </c>
      <c r="FK321" s="21">
        <f t="shared" si="1245"/>
        <v>0</v>
      </c>
      <c r="FL321" s="21">
        <f t="shared" si="1245"/>
        <v>0</v>
      </c>
      <c r="FM321" s="21">
        <f t="shared" si="1245"/>
        <v>0</v>
      </c>
      <c r="FN321" s="21">
        <f t="shared" ref="FN321:FU321" si="1246">IF($F$290, 0, IF($E$296, IF(AND(COLUMN($FN$321)-COLUMN($DZ$319)=$Q$291,ROW($FN$321)-ROW($DZ$319)=$K$291), U$290, FN321), FN321))</f>
        <v>0</v>
      </c>
      <c r="FO321" s="21">
        <f t="shared" si="1246"/>
        <v>0</v>
      </c>
      <c r="FP321" s="21">
        <f t="shared" si="1246"/>
        <v>0</v>
      </c>
      <c r="FQ321" s="21">
        <f t="shared" si="1246"/>
        <v>0</v>
      </c>
      <c r="FR321" s="21">
        <f t="shared" si="1246"/>
        <v>0</v>
      </c>
      <c r="FS321" s="21">
        <f t="shared" si="1246"/>
        <v>0</v>
      </c>
      <c r="FT321" s="21">
        <f t="shared" si="1246"/>
        <v>0</v>
      </c>
      <c r="FU321" s="21">
        <f t="shared" si="1246"/>
        <v>0</v>
      </c>
      <c r="FV321" s="21">
        <f t="shared" ref="FV321:GC321" si="1247">IF($F$290, 0, IF($E$296, IF(AND(COLUMN($FV$321)-COLUMN($DZ$319)=$Q$291,ROW($FV$321)-ROW($DZ$319)=$K$291), U$290, FV321), FV321))</f>
        <v>0</v>
      </c>
      <c r="FW321" s="21">
        <f t="shared" si="1247"/>
        <v>0</v>
      </c>
      <c r="FX321" s="21">
        <f t="shared" si="1247"/>
        <v>0</v>
      </c>
      <c r="FY321" s="21">
        <f t="shared" si="1247"/>
        <v>0</v>
      </c>
      <c r="FZ321" s="21">
        <f t="shared" si="1247"/>
        <v>0</v>
      </c>
      <c r="GA321" s="21">
        <f t="shared" si="1247"/>
        <v>0</v>
      </c>
      <c r="GB321" s="21">
        <f t="shared" si="1247"/>
        <v>0</v>
      </c>
      <c r="GC321" s="21">
        <f t="shared" si="1247"/>
        <v>0</v>
      </c>
      <c r="GD321" s="21">
        <f t="shared" ref="GD321:GK321" si="1248">IF($F$290, 0, IF($E$296, IF(AND(COLUMN($GD$321)-COLUMN($DZ$319)=$Q$291,ROW($GD$321)-ROW($DZ$319)=$K$291), U$290, GD321), GD321))</f>
        <v>0</v>
      </c>
      <c r="GE321" s="21">
        <f t="shared" si="1248"/>
        <v>0</v>
      </c>
      <c r="GF321" s="21">
        <f t="shared" si="1248"/>
        <v>0</v>
      </c>
      <c r="GG321" s="21">
        <f t="shared" si="1248"/>
        <v>0</v>
      </c>
      <c r="GH321" s="21">
        <f t="shared" si="1248"/>
        <v>0</v>
      </c>
      <c r="GI321" s="21">
        <f t="shared" si="1248"/>
        <v>0</v>
      </c>
      <c r="GJ321" s="21">
        <f t="shared" si="1248"/>
        <v>0</v>
      </c>
      <c r="GK321" s="21">
        <f t="shared" si="1248"/>
        <v>0</v>
      </c>
      <c r="GL321" s="21">
        <f t="shared" ref="GL321:GS321" si="1249">IF($F$290, 0, IF($F$296, IF(AND(COLUMN($GL$321)-COLUMN($GL$319)=$Q$291,ROW($GL$321)-ROW($GL$319)=$K$291), U$290, GL321), GL321))</f>
        <v>0</v>
      </c>
      <c r="GM321" s="21">
        <f t="shared" si="1249"/>
        <v>0</v>
      </c>
      <c r="GN321" s="21">
        <f t="shared" si="1249"/>
        <v>0</v>
      </c>
      <c r="GO321" s="21">
        <f t="shared" si="1249"/>
        <v>0</v>
      </c>
      <c r="GP321" s="21">
        <f t="shared" si="1249"/>
        <v>0</v>
      </c>
      <c r="GQ321" s="21">
        <f t="shared" si="1249"/>
        <v>0</v>
      </c>
      <c r="GR321" s="21">
        <f t="shared" si="1249"/>
        <v>0</v>
      </c>
      <c r="GS321" s="21">
        <f t="shared" si="1249"/>
        <v>0</v>
      </c>
      <c r="GT321" s="21">
        <f t="shared" ref="GT321:HA321" si="1250">IF($F$290, 0, IF($F$296, IF(AND(COLUMN($GT$321)-COLUMN($GL$319)=$Q$291,ROW($GT$321)-ROW($GL$319)=$K$291), U$290, GT321), GT321))</f>
        <v>0</v>
      </c>
      <c r="GU321" s="21">
        <f t="shared" si="1250"/>
        <v>0</v>
      </c>
      <c r="GV321" s="21">
        <f t="shared" si="1250"/>
        <v>0</v>
      </c>
      <c r="GW321" s="21">
        <f t="shared" si="1250"/>
        <v>0</v>
      </c>
      <c r="GX321" s="21">
        <f t="shared" si="1250"/>
        <v>0</v>
      </c>
      <c r="GY321" s="21">
        <f t="shared" si="1250"/>
        <v>0</v>
      </c>
      <c r="GZ321" s="21">
        <f t="shared" si="1250"/>
        <v>0</v>
      </c>
      <c r="HA321" s="21">
        <f t="shared" si="1250"/>
        <v>0</v>
      </c>
      <c r="HB321" s="21">
        <f t="shared" ref="HB321:HI321" si="1251">IF($F$290, 0, IF($F$296, IF(AND(COLUMN($HB$321)-COLUMN($GL$319)=$Q$291,ROW($HB$321)-ROW($GL$319)=$K$291), U$290, HB321), HB321))</f>
        <v>0</v>
      </c>
      <c r="HC321" s="21">
        <f t="shared" si="1251"/>
        <v>0</v>
      </c>
      <c r="HD321" s="21">
        <f t="shared" si="1251"/>
        <v>0</v>
      </c>
      <c r="HE321" s="21">
        <f t="shared" si="1251"/>
        <v>0</v>
      </c>
      <c r="HF321" s="21">
        <f t="shared" si="1251"/>
        <v>0</v>
      </c>
      <c r="HG321" s="21">
        <f t="shared" si="1251"/>
        <v>0</v>
      </c>
      <c r="HH321" s="21">
        <f t="shared" si="1251"/>
        <v>0</v>
      </c>
      <c r="HI321" s="21">
        <f t="shared" si="1251"/>
        <v>0</v>
      </c>
      <c r="HJ321" s="21">
        <f t="shared" ref="HJ321:HQ321" si="1252">IF($F$290, 0, IF($F$296, IF(AND(COLUMN($HJ$321)-COLUMN($GL$319)=$Q$291,ROW($HJ$321)-ROW($GL$319)=$K$291), U$290, HJ321), HJ321))</f>
        <v>0</v>
      </c>
      <c r="HK321" s="21">
        <f t="shared" si="1252"/>
        <v>0</v>
      </c>
      <c r="HL321" s="21">
        <f t="shared" si="1252"/>
        <v>0</v>
      </c>
      <c r="HM321" s="21">
        <f t="shared" si="1252"/>
        <v>0</v>
      </c>
      <c r="HN321" s="21">
        <f t="shared" si="1252"/>
        <v>0</v>
      </c>
      <c r="HO321" s="21">
        <f t="shared" si="1252"/>
        <v>0</v>
      </c>
      <c r="HP321" s="21">
        <f t="shared" si="1252"/>
        <v>0</v>
      </c>
      <c r="HQ321" s="21">
        <f t="shared" si="1252"/>
        <v>0</v>
      </c>
      <c r="HR321" s="21">
        <f t="shared" ref="HR321:HY321" si="1253">IF($F$290, 0, IF($F$296, IF(AND(COLUMN($HR$321)-COLUMN($GL$319)=$Q$291,ROW($HR$321)-ROW($GL$319)=$K$291), U$290, HR321), HR321))</f>
        <v>0</v>
      </c>
      <c r="HS321" s="21">
        <f t="shared" si="1253"/>
        <v>0</v>
      </c>
      <c r="HT321" s="21">
        <f t="shared" si="1253"/>
        <v>0</v>
      </c>
      <c r="HU321" s="21">
        <f t="shared" si="1253"/>
        <v>0</v>
      </c>
      <c r="HV321" s="21">
        <f t="shared" si="1253"/>
        <v>0</v>
      </c>
      <c r="HW321" s="21">
        <f t="shared" si="1253"/>
        <v>0</v>
      </c>
      <c r="HX321" s="21">
        <f t="shared" si="1253"/>
        <v>0</v>
      </c>
      <c r="HY321" s="21">
        <f t="shared" si="1253"/>
        <v>0</v>
      </c>
      <c r="HZ321" s="21">
        <f t="shared" ref="HZ321:IG321" si="1254">IF($F$290, 0, IF($F$296, IF(AND(COLUMN($HZ$321)-COLUMN($GL$319)=$Q$291,ROW($HZ$321)-ROW($GL$319)=$K$291), U$290, HZ321), HZ321))</f>
        <v>0</v>
      </c>
      <c r="IA321" s="21">
        <f t="shared" si="1254"/>
        <v>0</v>
      </c>
      <c r="IB321" s="21">
        <f t="shared" si="1254"/>
        <v>0</v>
      </c>
      <c r="IC321" s="21">
        <f t="shared" si="1254"/>
        <v>0</v>
      </c>
      <c r="ID321" s="21">
        <f t="shared" si="1254"/>
        <v>0</v>
      </c>
      <c r="IE321" s="21">
        <f t="shared" si="1254"/>
        <v>0</v>
      </c>
      <c r="IF321" s="21">
        <f t="shared" si="1254"/>
        <v>0</v>
      </c>
      <c r="IG321" s="21">
        <f t="shared" si="1254"/>
        <v>0</v>
      </c>
      <c r="IH321" s="21">
        <f t="shared" ref="IH321:IO321" si="1255">IF($F$290, 0, IF($F$296, IF(AND(COLUMN($IH$321)-COLUMN($GL$319)=$Q$291,ROW($IH$321)-ROW($GL$319)=$K$291), U$290, IH321), IH321))</f>
        <v>0</v>
      </c>
      <c r="II321" s="21">
        <f t="shared" si="1255"/>
        <v>0</v>
      </c>
      <c r="IJ321" s="21">
        <f t="shared" si="1255"/>
        <v>0</v>
      </c>
      <c r="IK321" s="21">
        <f t="shared" si="1255"/>
        <v>0</v>
      </c>
      <c r="IL321" s="21">
        <f t="shared" si="1255"/>
        <v>0</v>
      </c>
      <c r="IM321" s="21">
        <f t="shared" si="1255"/>
        <v>0</v>
      </c>
      <c r="IN321" s="21">
        <f t="shared" si="1255"/>
        <v>0</v>
      </c>
      <c r="IO321" s="21">
        <f t="shared" si="1255"/>
        <v>0</v>
      </c>
      <c r="IP321" s="21">
        <f t="shared" ref="IP321:IW321" si="1256">IF($F$290, 0, IF($F$296, IF(AND(COLUMN($IP$321)-COLUMN($GL$319)=$Q$291,ROW($IP$321)-ROW($GL$319)=$K$291), U$290, IP321), IP321))</f>
        <v>0</v>
      </c>
      <c r="IQ321" s="21">
        <f t="shared" si="1256"/>
        <v>0</v>
      </c>
      <c r="IR321" s="21">
        <f t="shared" si="1256"/>
        <v>0</v>
      </c>
      <c r="IS321" s="21">
        <f t="shared" si="1256"/>
        <v>0</v>
      </c>
      <c r="IT321" s="21">
        <f t="shared" si="1256"/>
        <v>0</v>
      </c>
      <c r="IU321" s="21">
        <f t="shared" si="1256"/>
        <v>0</v>
      </c>
      <c r="IV321" s="21">
        <f t="shared" si="1256"/>
        <v>0</v>
      </c>
      <c r="IW321" s="21">
        <f t="shared" si="1256"/>
        <v>0</v>
      </c>
      <c r="IX321" s="21">
        <f t="shared" ref="IX321:JE321" si="1257">IF($F$290, 0, IF($G$296, IF(AND(COLUMN($IX$321)-COLUMN($IX$319)=$Q$291,ROW($IX$321)-ROW($IX$319)=$K$291), U$290, IX321), IX321))</f>
        <v>0</v>
      </c>
      <c r="IY321" s="21">
        <f t="shared" si="1257"/>
        <v>0</v>
      </c>
      <c r="IZ321" s="21">
        <f t="shared" si="1257"/>
        <v>0</v>
      </c>
      <c r="JA321" s="21">
        <f t="shared" si="1257"/>
        <v>0</v>
      </c>
      <c r="JB321" s="21">
        <f t="shared" si="1257"/>
        <v>0</v>
      </c>
      <c r="JC321" s="21">
        <f t="shared" si="1257"/>
        <v>0</v>
      </c>
      <c r="JD321" s="21">
        <f t="shared" si="1257"/>
        <v>0</v>
      </c>
      <c r="JE321" s="21">
        <f t="shared" si="1257"/>
        <v>0</v>
      </c>
      <c r="JF321" s="21">
        <f t="shared" ref="JF321:JM321" si="1258">IF($F$290, 0, IF($G$296, IF(AND(COLUMN($JF$321)-COLUMN($IX$319)=$Q$291,ROW($JF$321)-ROW($IX$319)=$K$291), U$290, JF321), JF321))</f>
        <v>0</v>
      </c>
      <c r="JG321" s="21">
        <f t="shared" si="1258"/>
        <v>0</v>
      </c>
      <c r="JH321" s="21">
        <f t="shared" si="1258"/>
        <v>0</v>
      </c>
      <c r="JI321" s="21">
        <f t="shared" si="1258"/>
        <v>0</v>
      </c>
      <c r="JJ321" s="21">
        <f t="shared" si="1258"/>
        <v>0</v>
      </c>
      <c r="JK321" s="21">
        <f t="shared" si="1258"/>
        <v>0</v>
      </c>
      <c r="JL321" s="21">
        <f t="shared" si="1258"/>
        <v>0</v>
      </c>
      <c r="JM321" s="21">
        <f t="shared" si="1258"/>
        <v>0</v>
      </c>
      <c r="JN321" s="21">
        <f t="shared" ref="JN321:JU321" si="1259">IF($F$290, 0, IF($G$296, IF(AND(COLUMN($JN$321)-COLUMN($IX$319)=$Q$291,ROW($JN$321)-ROW($IX$319)=$K$291), U$290, JN321), JN321))</f>
        <v>0</v>
      </c>
      <c r="JO321" s="21">
        <f t="shared" si="1259"/>
        <v>0</v>
      </c>
      <c r="JP321" s="21">
        <f t="shared" si="1259"/>
        <v>0</v>
      </c>
      <c r="JQ321" s="21">
        <f t="shared" si="1259"/>
        <v>0</v>
      </c>
      <c r="JR321" s="21">
        <f t="shared" si="1259"/>
        <v>0</v>
      </c>
      <c r="JS321" s="21">
        <f t="shared" si="1259"/>
        <v>0</v>
      </c>
      <c r="JT321" s="21">
        <f t="shared" si="1259"/>
        <v>0</v>
      </c>
      <c r="JU321" s="21">
        <f t="shared" si="1259"/>
        <v>0</v>
      </c>
      <c r="JV321" s="21">
        <f t="shared" ref="JV321:KC321" si="1260">IF($F$290, 0, IF($G$296, IF(AND(COLUMN($JV$321)-COLUMN($IX$319)=$Q$291,ROW($JV$321)-ROW($IX$319)=$K$291), U$290, JV321), JV321))</f>
        <v>0</v>
      </c>
      <c r="JW321" s="21">
        <f t="shared" si="1260"/>
        <v>0</v>
      </c>
      <c r="JX321" s="21">
        <f t="shared" si="1260"/>
        <v>0</v>
      </c>
      <c r="JY321" s="21">
        <f t="shared" si="1260"/>
        <v>0</v>
      </c>
      <c r="JZ321" s="21">
        <f t="shared" si="1260"/>
        <v>0</v>
      </c>
      <c r="KA321" s="21">
        <f t="shared" si="1260"/>
        <v>0</v>
      </c>
      <c r="KB321" s="21">
        <f t="shared" si="1260"/>
        <v>0</v>
      </c>
      <c r="KC321" s="21">
        <f t="shared" si="1260"/>
        <v>0</v>
      </c>
      <c r="KD321" s="21">
        <f t="shared" ref="KD321:KK321" si="1261">IF($F$290, 0, IF($G$296, IF(AND(COLUMN($KD$321)-COLUMN($IX$319)=$Q$291,ROW($KD$321)-ROW($IX$319)=$K$291), U$290, KD321), KD321))</f>
        <v>0</v>
      </c>
      <c r="KE321" s="21">
        <f t="shared" si="1261"/>
        <v>0</v>
      </c>
      <c r="KF321" s="21">
        <f t="shared" si="1261"/>
        <v>0</v>
      </c>
      <c r="KG321" s="21">
        <f t="shared" si="1261"/>
        <v>0</v>
      </c>
      <c r="KH321" s="21">
        <f t="shared" si="1261"/>
        <v>0</v>
      </c>
      <c r="KI321" s="21">
        <f t="shared" si="1261"/>
        <v>0</v>
      </c>
      <c r="KJ321" s="21">
        <f t="shared" si="1261"/>
        <v>0</v>
      </c>
      <c r="KK321" s="21">
        <f t="shared" si="1261"/>
        <v>0</v>
      </c>
      <c r="KL321" s="21">
        <f t="shared" ref="KL321:KS321" si="1262">IF($F$290, 0, IF($G$296, IF(AND(COLUMN($KL$321)-COLUMN($IX$319)=$Q$291,ROW($KL$321)-ROW($IX$319)=$K$291), U$290, KL321), KL321))</f>
        <v>0</v>
      </c>
      <c r="KM321" s="21">
        <f t="shared" si="1262"/>
        <v>0</v>
      </c>
      <c r="KN321" s="21">
        <f t="shared" si="1262"/>
        <v>0</v>
      </c>
      <c r="KO321" s="21">
        <f t="shared" si="1262"/>
        <v>0</v>
      </c>
      <c r="KP321" s="21">
        <f t="shared" si="1262"/>
        <v>0</v>
      </c>
      <c r="KQ321" s="21">
        <f t="shared" si="1262"/>
        <v>0</v>
      </c>
      <c r="KR321" s="21">
        <f t="shared" si="1262"/>
        <v>0</v>
      </c>
      <c r="KS321" s="21">
        <f t="shared" si="1262"/>
        <v>0</v>
      </c>
      <c r="KT321" s="21">
        <f t="shared" ref="KT321:LA321" si="1263">IF($F$290, 0, IF($G$296, IF(AND(COLUMN($KT$321)-COLUMN($IX$319)=$Q$291,ROW($KT$321)-ROW($IX$319)=$K$291), U$290, KT321), KT321))</f>
        <v>0</v>
      </c>
      <c r="KU321" s="21">
        <f t="shared" si="1263"/>
        <v>0</v>
      </c>
      <c r="KV321" s="21">
        <f t="shared" si="1263"/>
        <v>0</v>
      </c>
      <c r="KW321" s="21">
        <f t="shared" si="1263"/>
        <v>0</v>
      </c>
      <c r="KX321" s="21">
        <f t="shared" si="1263"/>
        <v>0</v>
      </c>
      <c r="KY321" s="21">
        <f t="shared" si="1263"/>
        <v>0</v>
      </c>
      <c r="KZ321" s="21">
        <f t="shared" si="1263"/>
        <v>0</v>
      </c>
      <c r="LA321" s="21">
        <f t="shared" si="1263"/>
        <v>0</v>
      </c>
      <c r="LB321" s="21">
        <f t="shared" ref="LB321:LI321" si="1264">IF($F$290, 0, IF($G$296, IF(AND(COLUMN($LB$321)-COLUMN($IX$319)=$Q$291,ROW($LB$321)-ROW($IX$319)=$K$291), U$290, LB321), LB321))</f>
        <v>0</v>
      </c>
      <c r="LC321" s="21">
        <f t="shared" si="1264"/>
        <v>0</v>
      </c>
      <c r="LD321" s="21">
        <f t="shared" si="1264"/>
        <v>0</v>
      </c>
      <c r="LE321" s="21">
        <f t="shared" si="1264"/>
        <v>0</v>
      </c>
      <c r="LF321" s="21">
        <f t="shared" si="1264"/>
        <v>0</v>
      </c>
      <c r="LG321" s="21">
        <f t="shared" si="1264"/>
        <v>0</v>
      </c>
      <c r="LH321" s="21">
        <f t="shared" si="1264"/>
        <v>0</v>
      </c>
      <c r="LI321" s="21">
        <f t="shared" si="1264"/>
        <v>0</v>
      </c>
      <c r="LJ321" s="21">
        <f t="shared" ref="LJ321:LQ321" si="1265">IF($F$290, 0, IF($H$296, IF(AND(COLUMN($LJ$321)-COLUMN($LJ$319)=$Q$291,ROW($LJ$321)-ROW($LJ$319)=$K$291), U$290, LJ321), LJ321))</f>
        <v>0</v>
      </c>
      <c r="LK321" s="21">
        <f t="shared" si="1265"/>
        <v>0</v>
      </c>
      <c r="LL321" s="21">
        <f t="shared" si="1265"/>
        <v>0</v>
      </c>
      <c r="LM321" s="21">
        <f t="shared" si="1265"/>
        <v>0</v>
      </c>
      <c r="LN321" s="21">
        <f t="shared" si="1265"/>
        <v>0</v>
      </c>
      <c r="LO321" s="21">
        <f t="shared" si="1265"/>
        <v>0</v>
      </c>
      <c r="LP321" s="21">
        <f t="shared" si="1265"/>
        <v>0</v>
      </c>
      <c r="LQ321" s="21">
        <f t="shared" si="1265"/>
        <v>0</v>
      </c>
      <c r="LR321" s="21">
        <f t="shared" ref="LR321:LY321" si="1266">IF($F$290, 0, IF($H$296, IF(AND(COLUMN($LR$321)-COLUMN($LJ$319)=$Q$291,ROW($LR$321)-ROW($LJ$319)=$K$291), U$290, LR321), LR321))</f>
        <v>0</v>
      </c>
      <c r="LS321" s="21">
        <f t="shared" si="1266"/>
        <v>0</v>
      </c>
      <c r="LT321" s="21">
        <f t="shared" si="1266"/>
        <v>0</v>
      </c>
      <c r="LU321" s="21">
        <f t="shared" si="1266"/>
        <v>0</v>
      </c>
      <c r="LV321" s="21">
        <f t="shared" si="1266"/>
        <v>0</v>
      </c>
      <c r="LW321" s="21">
        <f t="shared" si="1266"/>
        <v>0</v>
      </c>
      <c r="LX321" s="21">
        <f t="shared" si="1266"/>
        <v>0</v>
      </c>
      <c r="LY321" s="21">
        <f t="shared" si="1266"/>
        <v>0</v>
      </c>
      <c r="LZ321" s="21">
        <f t="shared" ref="LZ321:MG321" si="1267">IF($F$290, 0, IF($H$296, IF(AND(COLUMN($LZ$321)-COLUMN($LJ$319)=$Q$291,ROW($LZ$321)-ROW($LJ$319)=$K$291), U$290, LZ321), LZ321))</f>
        <v>0</v>
      </c>
      <c r="MA321" s="21">
        <f t="shared" si="1267"/>
        <v>0</v>
      </c>
      <c r="MB321" s="21">
        <f t="shared" si="1267"/>
        <v>0</v>
      </c>
      <c r="MC321" s="21">
        <f t="shared" si="1267"/>
        <v>0</v>
      </c>
      <c r="MD321" s="21">
        <f t="shared" si="1267"/>
        <v>0</v>
      </c>
      <c r="ME321" s="21">
        <f t="shared" si="1267"/>
        <v>0</v>
      </c>
      <c r="MF321" s="21">
        <f t="shared" si="1267"/>
        <v>0</v>
      </c>
      <c r="MG321" s="21">
        <f t="shared" si="1267"/>
        <v>0</v>
      </c>
      <c r="MH321" s="21">
        <f t="shared" ref="MH321:MO321" si="1268">IF($F$290, 0, IF($H$296, IF(AND(COLUMN($MH$321)-COLUMN($LJ$319)=$Q$291,ROW($MH$321)-ROW($LJ$319)=$K$291), U$290, MH321), MH321))</f>
        <v>0</v>
      </c>
      <c r="MI321" s="21">
        <f t="shared" si="1268"/>
        <v>0</v>
      </c>
      <c r="MJ321" s="21">
        <f t="shared" si="1268"/>
        <v>0</v>
      </c>
      <c r="MK321" s="21">
        <f t="shared" si="1268"/>
        <v>0</v>
      </c>
      <c r="ML321" s="21">
        <f t="shared" si="1268"/>
        <v>0</v>
      </c>
      <c r="MM321" s="21">
        <f t="shared" si="1268"/>
        <v>0</v>
      </c>
      <c r="MN321" s="21">
        <f t="shared" si="1268"/>
        <v>0</v>
      </c>
      <c r="MO321" s="21">
        <f t="shared" si="1268"/>
        <v>0</v>
      </c>
      <c r="MP321" s="21">
        <f t="shared" ref="MP321:MW321" si="1269">IF($F$290, 0, IF($H$296, IF(AND(COLUMN($MP$321)-COLUMN($LJ$319)=$Q$291,ROW($MP$321)-ROW($LJ$319)=$K$291), U$290, MP321), MP321))</f>
        <v>0</v>
      </c>
      <c r="MQ321" s="21">
        <f t="shared" si="1269"/>
        <v>0</v>
      </c>
      <c r="MR321" s="21">
        <f t="shared" si="1269"/>
        <v>0</v>
      </c>
      <c r="MS321" s="21">
        <f t="shared" si="1269"/>
        <v>0</v>
      </c>
      <c r="MT321" s="21">
        <f t="shared" si="1269"/>
        <v>0</v>
      </c>
      <c r="MU321" s="21">
        <f t="shared" si="1269"/>
        <v>0</v>
      </c>
      <c r="MV321" s="21">
        <f t="shared" si="1269"/>
        <v>0</v>
      </c>
      <c r="MW321" s="21">
        <f t="shared" si="1269"/>
        <v>0</v>
      </c>
      <c r="MX321" s="21">
        <f t="shared" ref="MX321:NE321" si="1270">IF($F$290, 0, IF($H$296, IF(AND(COLUMN($MX$321)-COLUMN($LJ$319)=$Q$291,ROW($MX$321)-ROW($LJ$319)=$K$291), U$290, MX321), MX321))</f>
        <v>0</v>
      </c>
      <c r="MY321" s="21">
        <f t="shared" si="1270"/>
        <v>0</v>
      </c>
      <c r="MZ321" s="21">
        <f t="shared" si="1270"/>
        <v>0</v>
      </c>
      <c r="NA321" s="21">
        <f t="shared" si="1270"/>
        <v>0</v>
      </c>
      <c r="NB321" s="21">
        <f t="shared" si="1270"/>
        <v>0</v>
      </c>
      <c r="NC321" s="21">
        <f t="shared" si="1270"/>
        <v>0</v>
      </c>
      <c r="ND321" s="21">
        <f t="shared" si="1270"/>
        <v>0</v>
      </c>
      <c r="NE321" s="21">
        <f t="shared" si="1270"/>
        <v>0</v>
      </c>
      <c r="NF321" s="21">
        <f t="shared" ref="NF321:NM321" si="1271">IF($F$290, 0, IF($H$296, IF(AND(COLUMN($NF$321)-COLUMN($LJ$319)=$Q$291,ROW($NF$321)-ROW($LJ$319)=$K$291), U$290, NF321), NF321))</f>
        <v>0</v>
      </c>
      <c r="NG321" s="21">
        <f t="shared" si="1271"/>
        <v>0</v>
      </c>
      <c r="NH321" s="21">
        <f t="shared" si="1271"/>
        <v>0</v>
      </c>
      <c r="NI321" s="21">
        <f t="shared" si="1271"/>
        <v>0</v>
      </c>
      <c r="NJ321" s="21">
        <f t="shared" si="1271"/>
        <v>0</v>
      </c>
      <c r="NK321" s="21">
        <f t="shared" si="1271"/>
        <v>0</v>
      </c>
      <c r="NL321" s="21">
        <f t="shared" si="1271"/>
        <v>0</v>
      </c>
      <c r="NM321" s="21">
        <f t="shared" si="1271"/>
        <v>0</v>
      </c>
      <c r="NN321" s="21">
        <f t="shared" ref="NN321:NU321" si="1272">IF($F$290, 0, IF($H$296, IF(AND(COLUMN($NN$321)-COLUMN($LJ$319)=$Q$291,ROW($NN$321)-ROW($LJ$319)=$K$291), U$290, NN321), NN321))</f>
        <v>0</v>
      </c>
      <c r="NO321" s="21">
        <f t="shared" si="1272"/>
        <v>0</v>
      </c>
      <c r="NP321" s="21">
        <f t="shared" si="1272"/>
        <v>0</v>
      </c>
      <c r="NQ321" s="21">
        <f t="shared" si="1272"/>
        <v>0</v>
      </c>
      <c r="NR321" s="21">
        <f t="shared" si="1272"/>
        <v>0</v>
      </c>
      <c r="NS321" s="21">
        <f t="shared" si="1272"/>
        <v>0</v>
      </c>
      <c r="NT321" s="21">
        <f t="shared" si="1272"/>
        <v>0</v>
      </c>
      <c r="NU321" s="21">
        <f t="shared" si="1272"/>
        <v>0</v>
      </c>
      <c r="NV321" s="21">
        <f t="shared" ref="NV321:OC321" si="1273">IF($F$290, 0, IF($I$296, IF(AND(COLUMN($NV$321)-COLUMN($NV$319)=$Q$291,ROW($NV$321)-ROW($NV$319)=$K$291), U$290, NV321), NV321))</f>
        <v>0</v>
      </c>
      <c r="NW321" s="21">
        <f t="shared" si="1273"/>
        <v>0</v>
      </c>
      <c r="NX321" s="21">
        <f t="shared" si="1273"/>
        <v>0</v>
      </c>
      <c r="NY321" s="21">
        <f t="shared" si="1273"/>
        <v>0</v>
      </c>
      <c r="NZ321" s="21">
        <f t="shared" si="1273"/>
        <v>0</v>
      </c>
      <c r="OA321" s="21">
        <f t="shared" si="1273"/>
        <v>0</v>
      </c>
      <c r="OB321" s="21">
        <f t="shared" si="1273"/>
        <v>0</v>
      </c>
      <c r="OC321" s="21">
        <f t="shared" si="1273"/>
        <v>0</v>
      </c>
      <c r="OD321" s="21">
        <f t="shared" ref="OD321:OK321" si="1274">IF($F$290, 0, IF($I$296, IF(AND(COLUMN($OD$321)-COLUMN($NV$319)=$Q$291,ROW($OD$321)-ROW($NV$319)=$K$291), U$290, OD321), OD321))</f>
        <v>0</v>
      </c>
      <c r="OE321" s="21">
        <f t="shared" si="1274"/>
        <v>0</v>
      </c>
      <c r="OF321" s="21">
        <f t="shared" si="1274"/>
        <v>0</v>
      </c>
      <c r="OG321" s="21">
        <f t="shared" si="1274"/>
        <v>0</v>
      </c>
      <c r="OH321" s="21">
        <f t="shared" si="1274"/>
        <v>0</v>
      </c>
      <c r="OI321" s="21">
        <f t="shared" si="1274"/>
        <v>0</v>
      </c>
      <c r="OJ321" s="21">
        <f t="shared" si="1274"/>
        <v>0</v>
      </c>
      <c r="OK321" s="21">
        <f t="shared" si="1274"/>
        <v>0</v>
      </c>
      <c r="OL321" s="21">
        <f t="shared" ref="OL321:OS321" si="1275">IF($F$290, 0, IF($I$296, IF(AND(COLUMN($OL$321)-COLUMN($NV$319)=$Q$291,ROW($OL$321)-ROW($NV$319)=$K$291), U$290, OL321), OL321))</f>
        <v>0</v>
      </c>
      <c r="OM321" s="21">
        <f t="shared" si="1275"/>
        <v>0</v>
      </c>
      <c r="ON321" s="21">
        <f t="shared" si="1275"/>
        <v>0</v>
      </c>
      <c r="OO321" s="21">
        <f t="shared" si="1275"/>
        <v>0</v>
      </c>
      <c r="OP321" s="21">
        <f t="shared" si="1275"/>
        <v>0</v>
      </c>
      <c r="OQ321" s="21">
        <f t="shared" si="1275"/>
        <v>0</v>
      </c>
      <c r="OR321" s="21">
        <f t="shared" si="1275"/>
        <v>0</v>
      </c>
      <c r="OS321" s="21">
        <f t="shared" si="1275"/>
        <v>0</v>
      </c>
      <c r="OT321" s="21">
        <f t="shared" ref="OT321:PA321" si="1276">IF($F$290, 0, IF($I$296, IF(AND(COLUMN($OT$321)-COLUMN($NV$319)=$Q$291,ROW($OT$321)-ROW($NV$319)=$K$291), U$290, OT321), OT321))</f>
        <v>0</v>
      </c>
      <c r="OU321" s="21">
        <f t="shared" si="1276"/>
        <v>0</v>
      </c>
      <c r="OV321" s="21">
        <f t="shared" si="1276"/>
        <v>0</v>
      </c>
      <c r="OW321" s="21">
        <f t="shared" si="1276"/>
        <v>0</v>
      </c>
      <c r="OX321" s="21">
        <f t="shared" si="1276"/>
        <v>0</v>
      </c>
      <c r="OY321" s="21">
        <f t="shared" si="1276"/>
        <v>0</v>
      </c>
      <c r="OZ321" s="21">
        <f t="shared" si="1276"/>
        <v>0</v>
      </c>
      <c r="PA321" s="21">
        <f t="shared" si="1276"/>
        <v>0</v>
      </c>
      <c r="PB321" s="21">
        <f t="shared" ref="PB321:PI321" si="1277">IF($F$290, 0, IF($I$296, IF(AND(COLUMN($PB$321)-COLUMN($NV$319)=$Q$291,ROW($PB$321)-ROW($NV$319)=$K$291), U$290, PB321), PB321))</f>
        <v>0</v>
      </c>
      <c r="PC321" s="21">
        <f t="shared" si="1277"/>
        <v>0</v>
      </c>
      <c r="PD321" s="21">
        <f t="shared" si="1277"/>
        <v>0</v>
      </c>
      <c r="PE321" s="21">
        <f t="shared" si="1277"/>
        <v>0</v>
      </c>
      <c r="PF321" s="21">
        <f t="shared" si="1277"/>
        <v>0</v>
      </c>
      <c r="PG321" s="21">
        <f t="shared" si="1277"/>
        <v>0</v>
      </c>
      <c r="PH321" s="21">
        <f t="shared" si="1277"/>
        <v>0</v>
      </c>
      <c r="PI321" s="21">
        <f t="shared" si="1277"/>
        <v>0</v>
      </c>
      <c r="PJ321" s="21">
        <f t="shared" ref="PJ321:PQ321" si="1278">IF($F$290, 0, IF($I$296, IF(AND(COLUMN($PJ$321)-COLUMN($NV$319)=$Q$291,ROW($PJ$321)-ROW($NV$319)=$K$291), U$290, PJ321), PJ321))</f>
        <v>0</v>
      </c>
      <c r="PK321" s="21">
        <f t="shared" si="1278"/>
        <v>0</v>
      </c>
      <c r="PL321" s="21">
        <f t="shared" si="1278"/>
        <v>0</v>
      </c>
      <c r="PM321" s="21">
        <f t="shared" si="1278"/>
        <v>0</v>
      </c>
      <c r="PN321" s="21">
        <f t="shared" si="1278"/>
        <v>0</v>
      </c>
      <c r="PO321" s="21">
        <f t="shared" si="1278"/>
        <v>0</v>
      </c>
      <c r="PP321" s="21">
        <f t="shared" si="1278"/>
        <v>0</v>
      </c>
      <c r="PQ321" s="21">
        <f t="shared" si="1278"/>
        <v>0</v>
      </c>
      <c r="PR321" s="21">
        <f t="shared" ref="PR321:PY321" si="1279">IF($F$290, 0, IF($I$296, IF(AND(COLUMN($PR$321)-COLUMN($NV$319)=$Q$291,ROW($PR$321)-ROW($NV$319)=$K$291), U$290, PR321), PR321))</f>
        <v>0</v>
      </c>
      <c r="PS321" s="21">
        <f t="shared" si="1279"/>
        <v>0</v>
      </c>
      <c r="PT321" s="21">
        <f t="shared" si="1279"/>
        <v>0</v>
      </c>
      <c r="PU321" s="21">
        <f t="shared" si="1279"/>
        <v>0</v>
      </c>
      <c r="PV321" s="21">
        <f t="shared" si="1279"/>
        <v>0</v>
      </c>
      <c r="PW321" s="21">
        <f t="shared" si="1279"/>
        <v>0</v>
      </c>
      <c r="PX321" s="21">
        <f t="shared" si="1279"/>
        <v>0</v>
      </c>
      <c r="PY321" s="21">
        <f t="shared" si="1279"/>
        <v>0</v>
      </c>
      <c r="PZ321" s="21">
        <f t="shared" ref="PZ321:QG321" si="1280">IF($F$290, 0, IF($I$296, IF(AND(COLUMN($PZ$321)-COLUMN($NV$319)=$Q$291,ROW($PZ$321)-ROW($NV$319)=$K$291), U$290, PZ321), PZ321))</f>
        <v>0</v>
      </c>
      <c r="QA321" s="21">
        <f t="shared" si="1280"/>
        <v>0</v>
      </c>
      <c r="QB321" s="21">
        <f t="shared" si="1280"/>
        <v>0</v>
      </c>
      <c r="QC321" s="21">
        <f t="shared" si="1280"/>
        <v>0</v>
      </c>
      <c r="QD321" s="21">
        <f t="shared" si="1280"/>
        <v>0</v>
      </c>
      <c r="QE321" s="21">
        <f t="shared" si="1280"/>
        <v>0</v>
      </c>
      <c r="QF321" s="21">
        <f t="shared" si="1280"/>
        <v>0</v>
      </c>
      <c r="QG321" s="21">
        <f t="shared" si="1280"/>
        <v>0</v>
      </c>
      <c r="QH321" s="21">
        <f t="shared" ref="QH321:QO321" si="1281">IF($F$290, 0, IF($J$296, IF(AND(COLUMN($QH$321)-COLUMN($QH$319)=$Q$291,ROW($QH$321)-ROW($QH$319)=$K$291), U$290, QH321), QH321))</f>
        <v>0</v>
      </c>
      <c r="QI321" s="21">
        <f t="shared" si="1281"/>
        <v>0</v>
      </c>
      <c r="QJ321" s="21">
        <f t="shared" si="1281"/>
        <v>0</v>
      </c>
      <c r="QK321" s="21">
        <f t="shared" si="1281"/>
        <v>0</v>
      </c>
      <c r="QL321" s="21">
        <f t="shared" si="1281"/>
        <v>0</v>
      </c>
      <c r="QM321" s="21">
        <f t="shared" si="1281"/>
        <v>0</v>
      </c>
      <c r="QN321" s="21">
        <f t="shared" si="1281"/>
        <v>0</v>
      </c>
      <c r="QO321" s="21">
        <f t="shared" si="1281"/>
        <v>0</v>
      </c>
      <c r="QP321" s="21">
        <f t="shared" ref="QP321:QW321" si="1282">IF($F$290, 0, IF($J$296, IF(AND(COLUMN($QP$321)-COLUMN($QH$319)=$Q$291,ROW($QP$321)-ROW($QH$319)=$K$291), U$290, QP321), QP321))</f>
        <v>0</v>
      </c>
      <c r="QQ321" s="21">
        <f t="shared" si="1282"/>
        <v>0</v>
      </c>
      <c r="QR321" s="21">
        <f t="shared" si="1282"/>
        <v>0</v>
      </c>
      <c r="QS321" s="21">
        <f t="shared" si="1282"/>
        <v>0</v>
      </c>
      <c r="QT321" s="21">
        <f t="shared" si="1282"/>
        <v>0</v>
      </c>
      <c r="QU321" s="21">
        <f t="shared" si="1282"/>
        <v>0</v>
      </c>
      <c r="QV321" s="21">
        <f t="shared" si="1282"/>
        <v>0</v>
      </c>
      <c r="QW321" s="21">
        <f t="shared" si="1282"/>
        <v>0</v>
      </c>
      <c r="QX321" s="21">
        <f t="shared" ref="QX321:RE321" si="1283">IF($F$290, 0, IF($J$296, IF(AND(COLUMN($QX$321)-COLUMN($QH$319)=$Q$291,ROW($QX$321)-ROW($QH$319)=$K$291), U$290, QX321), QX321))</f>
        <v>0</v>
      </c>
      <c r="QY321" s="21">
        <f t="shared" si="1283"/>
        <v>0</v>
      </c>
      <c r="QZ321" s="21">
        <f t="shared" si="1283"/>
        <v>0</v>
      </c>
      <c r="RA321" s="21">
        <f t="shared" si="1283"/>
        <v>0</v>
      </c>
      <c r="RB321" s="21">
        <f t="shared" si="1283"/>
        <v>0</v>
      </c>
      <c r="RC321" s="21">
        <f t="shared" si="1283"/>
        <v>0</v>
      </c>
      <c r="RD321" s="21">
        <f t="shared" si="1283"/>
        <v>0</v>
      </c>
      <c r="RE321" s="21">
        <f t="shared" si="1283"/>
        <v>0</v>
      </c>
      <c r="RF321" s="21">
        <f t="shared" ref="RF321:RM321" si="1284">IF($F$290, 0, IF($J$296, IF(AND(COLUMN($RF$321)-COLUMN($QH$319)=$Q$291,ROW($RF$321)-ROW($QH$319)=$K$291), U$290, RF321), RF321))</f>
        <v>0</v>
      </c>
      <c r="RG321" s="21">
        <f t="shared" si="1284"/>
        <v>0</v>
      </c>
      <c r="RH321" s="21">
        <f t="shared" si="1284"/>
        <v>0</v>
      </c>
      <c r="RI321" s="21">
        <f t="shared" si="1284"/>
        <v>0</v>
      </c>
      <c r="RJ321" s="21">
        <f t="shared" si="1284"/>
        <v>0</v>
      </c>
      <c r="RK321" s="21">
        <f t="shared" si="1284"/>
        <v>0</v>
      </c>
      <c r="RL321" s="21">
        <f t="shared" si="1284"/>
        <v>0</v>
      </c>
      <c r="RM321" s="21">
        <f t="shared" si="1284"/>
        <v>0</v>
      </c>
      <c r="RN321" s="21">
        <f t="shared" ref="RN321:RU321" si="1285">IF($F$290, 0, IF($J$296, IF(AND(COLUMN($RN$321)-COLUMN($QH$319)=$Q$291,ROW($RN$321)-ROW($QH$319)=$K$291), U$290, RN321), RN321))</f>
        <v>0</v>
      </c>
      <c r="RO321" s="21">
        <f t="shared" si="1285"/>
        <v>0</v>
      </c>
      <c r="RP321" s="21">
        <f t="shared" si="1285"/>
        <v>0</v>
      </c>
      <c r="RQ321" s="21">
        <f t="shared" si="1285"/>
        <v>0</v>
      </c>
      <c r="RR321" s="21">
        <f t="shared" si="1285"/>
        <v>0</v>
      </c>
      <c r="RS321" s="21">
        <f t="shared" si="1285"/>
        <v>0</v>
      </c>
      <c r="RT321" s="21">
        <f t="shared" si="1285"/>
        <v>0</v>
      </c>
      <c r="RU321" s="21">
        <f t="shared" si="1285"/>
        <v>0</v>
      </c>
      <c r="RV321" s="21">
        <f t="shared" ref="RV321:SC321" si="1286">IF($F$290, 0, IF($J$296, IF(AND(COLUMN($RV$321)-COLUMN($QH$319)=$Q$291,ROW($RV$321)-ROW($QH$319)=$K$291), U$290, RV321), RV321))</f>
        <v>0</v>
      </c>
      <c r="RW321" s="21">
        <f t="shared" si="1286"/>
        <v>0</v>
      </c>
      <c r="RX321" s="21">
        <f t="shared" si="1286"/>
        <v>0</v>
      </c>
      <c r="RY321" s="21">
        <f t="shared" si="1286"/>
        <v>0</v>
      </c>
      <c r="RZ321" s="21">
        <f t="shared" si="1286"/>
        <v>0</v>
      </c>
      <c r="SA321" s="21">
        <f t="shared" si="1286"/>
        <v>0</v>
      </c>
      <c r="SB321" s="21">
        <f t="shared" si="1286"/>
        <v>0</v>
      </c>
      <c r="SC321" s="21">
        <f t="shared" si="1286"/>
        <v>0</v>
      </c>
      <c r="SD321" s="21">
        <f t="shared" ref="SD321:SK321" si="1287">IF($F$290, 0, IF($J$296, IF(AND(COLUMN($SD$321)-COLUMN($QH$319)=$Q$291,ROW($SD$321)-ROW($QH$319)=$K$291), U$290, SD321), SD321))</f>
        <v>0</v>
      </c>
      <c r="SE321" s="21">
        <f t="shared" si="1287"/>
        <v>0</v>
      </c>
      <c r="SF321" s="21">
        <f t="shared" si="1287"/>
        <v>0</v>
      </c>
      <c r="SG321" s="21">
        <f t="shared" si="1287"/>
        <v>0</v>
      </c>
      <c r="SH321" s="21">
        <f t="shared" si="1287"/>
        <v>0</v>
      </c>
      <c r="SI321" s="21">
        <f t="shared" si="1287"/>
        <v>0</v>
      </c>
      <c r="SJ321" s="21">
        <f t="shared" si="1287"/>
        <v>0</v>
      </c>
      <c r="SK321" s="21">
        <f t="shared" si="1287"/>
        <v>0</v>
      </c>
      <c r="SL321" s="21">
        <f t="shared" ref="SL321:SS321" si="1288">IF($F$290, 0, IF($J$296, IF(AND(COLUMN($SL$321)-COLUMN($QH$319)=$Q$291,ROW($SL$321)-ROW($QH$319)=$K$291), U$290, SL321), SL321))</f>
        <v>0</v>
      </c>
      <c r="SM321" s="21">
        <f t="shared" si="1288"/>
        <v>0</v>
      </c>
      <c r="SN321" s="21">
        <f t="shared" si="1288"/>
        <v>0</v>
      </c>
      <c r="SO321" s="21">
        <f t="shared" si="1288"/>
        <v>0</v>
      </c>
      <c r="SP321" s="21">
        <f t="shared" si="1288"/>
        <v>0</v>
      </c>
      <c r="SQ321" s="21">
        <f t="shared" si="1288"/>
        <v>0</v>
      </c>
      <c r="SR321" s="21">
        <f t="shared" si="1288"/>
        <v>0</v>
      </c>
      <c r="SS321" s="21">
        <f t="shared" si="1288"/>
        <v>0</v>
      </c>
    </row>
    <row r="322" spans="2:513" ht="15" customHeight="1" x14ac:dyDescent="0.25">
      <c r="B322" s="21">
        <f t="shared" ref="B322:I322" si="1289">IF($F$290, 0, IF($C$296, IF(AND(COLUMN($B$322)-COLUMN($B$319)=$Q$291,ROW($B$322)-ROW($B$319)=$K$291), U$290, B322), B322))</f>
        <v>0</v>
      </c>
      <c r="C322" s="21">
        <f t="shared" si="1289"/>
        <v>0</v>
      </c>
      <c r="D322" s="21">
        <f t="shared" si="1289"/>
        <v>0</v>
      </c>
      <c r="E322" s="21">
        <f t="shared" si="1289"/>
        <v>0</v>
      </c>
      <c r="F322" s="21">
        <f t="shared" si="1289"/>
        <v>0</v>
      </c>
      <c r="G322" s="21">
        <f t="shared" si="1289"/>
        <v>0</v>
      </c>
      <c r="H322" s="21">
        <f t="shared" si="1289"/>
        <v>0</v>
      </c>
      <c r="I322" s="21">
        <f t="shared" si="1289"/>
        <v>0</v>
      </c>
      <c r="J322" s="21">
        <f t="shared" ref="J322:Q322" si="1290">IF($F$290, 0, IF($C$296, IF(AND(COLUMN($J$322)-COLUMN($B$319)=$Q$291,ROW($J$322)-ROW($B$319)=$K$291), U$290, J322), J322))</f>
        <v>0</v>
      </c>
      <c r="K322" s="21">
        <f t="shared" si="1290"/>
        <v>0</v>
      </c>
      <c r="L322" s="21">
        <f t="shared" si="1290"/>
        <v>0</v>
      </c>
      <c r="M322" s="21">
        <f t="shared" si="1290"/>
        <v>0</v>
      </c>
      <c r="N322" s="21">
        <f t="shared" si="1290"/>
        <v>0</v>
      </c>
      <c r="O322" s="21">
        <f t="shared" si="1290"/>
        <v>0</v>
      </c>
      <c r="P322" s="21">
        <f t="shared" si="1290"/>
        <v>0</v>
      </c>
      <c r="Q322" s="21">
        <f t="shared" si="1290"/>
        <v>0</v>
      </c>
      <c r="R322" s="21">
        <f>IF($F$290, 0, IF($C$296, IF(AND(COLUMN($R$322)-COLUMN($B$319)=$Q$291,ROW($R$322)-ROW($B$319)=$K$291), U$290, R322), R322))</f>
        <v>0</v>
      </c>
      <c r="S322" s="21">
        <f t="shared" ref="S322:Y322" si="1291">IF($F$290, 0, IF($C$296, IF(AND(COLUMN($R$322)-COLUMN($B$319)=$Q$291,ROW($R$322)-ROW($B$319)=$K$291), V$290, S322), S322))</f>
        <v>0</v>
      </c>
      <c r="T322" s="21">
        <f t="shared" si="1291"/>
        <v>0</v>
      </c>
      <c r="U322" s="21">
        <f t="shared" si="1291"/>
        <v>0</v>
      </c>
      <c r="V322" s="21">
        <f t="shared" si="1291"/>
        <v>0</v>
      </c>
      <c r="W322" s="21">
        <f t="shared" si="1291"/>
        <v>0</v>
      </c>
      <c r="X322" s="21">
        <f t="shared" si="1291"/>
        <v>0</v>
      </c>
      <c r="Y322" s="21">
        <f t="shared" si="1291"/>
        <v>0</v>
      </c>
      <c r="Z322" s="21">
        <f t="shared" ref="Z322:AG322" si="1292">IF($F$290, 0, IF($C$296, IF(AND(COLUMN($Z$322)-COLUMN($B$319)=$Q$291,ROW($Z$322)-ROW($B$319)=$K$291), U$290, Z322), Z322))</f>
        <v>0</v>
      </c>
      <c r="AA322" s="21">
        <f t="shared" si="1292"/>
        <v>0</v>
      </c>
      <c r="AB322" s="21">
        <f t="shared" si="1292"/>
        <v>0</v>
      </c>
      <c r="AC322" s="21">
        <f t="shared" si="1292"/>
        <v>0</v>
      </c>
      <c r="AD322" s="21">
        <f t="shared" si="1292"/>
        <v>0</v>
      </c>
      <c r="AE322" s="21">
        <f t="shared" si="1292"/>
        <v>0</v>
      </c>
      <c r="AF322" s="21">
        <f t="shared" si="1292"/>
        <v>0</v>
      </c>
      <c r="AG322" s="21">
        <f t="shared" si="1292"/>
        <v>0</v>
      </c>
      <c r="AH322" s="21">
        <f t="shared" ref="AH322:AO322" si="1293">IF($F$290, 0, IF($C$296, IF(AND(COLUMN($AH$322)-COLUMN($B$319)=$Q$291,ROW($AH$322)-ROW($B$319)=$K$291), U$290, AH322), AH322))</f>
        <v>0</v>
      </c>
      <c r="AI322" s="21">
        <f t="shared" si="1293"/>
        <v>0</v>
      </c>
      <c r="AJ322" s="21">
        <f t="shared" si="1293"/>
        <v>0</v>
      </c>
      <c r="AK322" s="21">
        <f t="shared" si="1293"/>
        <v>0</v>
      </c>
      <c r="AL322" s="21">
        <f t="shared" si="1293"/>
        <v>0</v>
      </c>
      <c r="AM322" s="21">
        <f t="shared" si="1293"/>
        <v>0</v>
      </c>
      <c r="AN322" s="21">
        <f t="shared" si="1293"/>
        <v>0</v>
      </c>
      <c r="AO322" s="21">
        <f t="shared" si="1293"/>
        <v>0</v>
      </c>
      <c r="AP322" s="21">
        <f t="shared" ref="AP322:AW322" si="1294">IF($F$290, 0, IF($C$296, IF(AND(COLUMN($AP$322)-COLUMN($B$319)=$Q$291,ROW($AP$322)-ROW($B$319)=$K$291), U$290, AP322), AP322))</f>
        <v>0</v>
      </c>
      <c r="AQ322" s="21">
        <f t="shared" si="1294"/>
        <v>0</v>
      </c>
      <c r="AR322" s="21">
        <f t="shared" si="1294"/>
        <v>0</v>
      </c>
      <c r="AS322" s="21">
        <f t="shared" si="1294"/>
        <v>0</v>
      </c>
      <c r="AT322" s="21">
        <f t="shared" si="1294"/>
        <v>0</v>
      </c>
      <c r="AU322" s="21">
        <f t="shared" si="1294"/>
        <v>0</v>
      </c>
      <c r="AV322" s="21">
        <f t="shared" si="1294"/>
        <v>0</v>
      </c>
      <c r="AW322" s="21">
        <f t="shared" si="1294"/>
        <v>0</v>
      </c>
      <c r="AX322" s="21">
        <f t="shared" ref="AX322:BE322" si="1295">IF($F$290, 0, IF($C$296, IF(AND(COLUMN($AX$322)-COLUMN($B$319)=$Q$291,ROW($AX$322)-ROW($B$319)=$K$291), U$290, AX322), AX322))</f>
        <v>0</v>
      </c>
      <c r="AY322" s="21">
        <f t="shared" si="1295"/>
        <v>0</v>
      </c>
      <c r="AZ322" s="21">
        <f t="shared" si="1295"/>
        <v>0</v>
      </c>
      <c r="BA322" s="21">
        <f t="shared" si="1295"/>
        <v>0</v>
      </c>
      <c r="BB322" s="21">
        <f t="shared" si="1295"/>
        <v>0</v>
      </c>
      <c r="BC322" s="21">
        <f t="shared" si="1295"/>
        <v>0</v>
      </c>
      <c r="BD322" s="21">
        <f t="shared" si="1295"/>
        <v>0</v>
      </c>
      <c r="BE322" s="21">
        <f t="shared" si="1295"/>
        <v>0</v>
      </c>
      <c r="BF322" s="21">
        <f t="shared" ref="BF322:BM322" si="1296">IF($F$290, 0, IF($C$296, IF(AND(COLUMN($BF$322)-COLUMN($B$319)=$Q$291,ROW($BF$322)-ROW($B$319)=$K$291), U$290, BF322), BF322))</f>
        <v>0</v>
      </c>
      <c r="BG322" s="21">
        <f t="shared" si="1296"/>
        <v>0</v>
      </c>
      <c r="BH322" s="21">
        <f t="shared" si="1296"/>
        <v>0</v>
      </c>
      <c r="BI322" s="21">
        <f t="shared" si="1296"/>
        <v>0</v>
      </c>
      <c r="BJ322" s="21">
        <f t="shared" si="1296"/>
        <v>0</v>
      </c>
      <c r="BK322" s="21">
        <f t="shared" si="1296"/>
        <v>0</v>
      </c>
      <c r="BL322" s="21">
        <f t="shared" si="1296"/>
        <v>0</v>
      </c>
      <c r="BM322" s="21">
        <f t="shared" si="1296"/>
        <v>0</v>
      </c>
      <c r="BN322" s="21">
        <f t="shared" ref="BN322:BU322" si="1297">IF($F$290, 0, IF($D$296, IF(AND(COLUMN($BN$322)-COLUMN($BN$319)=$Q$291,ROW($BN$322)-ROW($BN$319)=$K$291), U$290, BN322), BN322))</f>
        <v>0</v>
      </c>
      <c r="BO322" s="21">
        <f t="shared" si="1297"/>
        <v>0</v>
      </c>
      <c r="BP322" s="21">
        <f t="shared" si="1297"/>
        <v>0</v>
      </c>
      <c r="BQ322" s="21">
        <f t="shared" si="1297"/>
        <v>0</v>
      </c>
      <c r="BR322" s="21">
        <f t="shared" si="1297"/>
        <v>0</v>
      </c>
      <c r="BS322" s="21">
        <f t="shared" si="1297"/>
        <v>0</v>
      </c>
      <c r="BT322" s="21">
        <f t="shared" si="1297"/>
        <v>0</v>
      </c>
      <c r="BU322" s="21">
        <f t="shared" si="1297"/>
        <v>0</v>
      </c>
      <c r="BV322" s="21">
        <f t="shared" ref="BV322:CC322" si="1298">IF($F$290, 0, IF($D$296, IF(AND(COLUMN($BV$322)-COLUMN($BN$319)=$Q$291,ROW($BV$322)-ROW($BN$319)=$K$291), U$290, BV322), BV322))</f>
        <v>0</v>
      </c>
      <c r="BW322" s="21">
        <f t="shared" si="1298"/>
        <v>0</v>
      </c>
      <c r="BX322" s="21">
        <f t="shared" si="1298"/>
        <v>0</v>
      </c>
      <c r="BY322" s="21">
        <f t="shared" si="1298"/>
        <v>0</v>
      </c>
      <c r="BZ322" s="21">
        <f t="shared" si="1298"/>
        <v>0</v>
      </c>
      <c r="CA322" s="21">
        <f t="shared" si="1298"/>
        <v>0</v>
      </c>
      <c r="CB322" s="21">
        <f t="shared" si="1298"/>
        <v>0</v>
      </c>
      <c r="CC322" s="21">
        <f t="shared" si="1298"/>
        <v>0</v>
      </c>
      <c r="CD322" s="21">
        <f t="shared" ref="CD322:CK322" si="1299">IF($F$290, 0, IF($D$296, IF(AND(COLUMN($CD$322)-COLUMN($BN$319)=$Q$291,ROW($CD$322)-ROW($BN$319)=$K$291), U$290, CD322), CD322))</f>
        <v>0</v>
      </c>
      <c r="CE322" s="21">
        <f t="shared" si="1299"/>
        <v>0</v>
      </c>
      <c r="CF322" s="21">
        <f t="shared" si="1299"/>
        <v>0</v>
      </c>
      <c r="CG322" s="21">
        <f t="shared" si="1299"/>
        <v>0</v>
      </c>
      <c r="CH322" s="21">
        <f t="shared" si="1299"/>
        <v>0</v>
      </c>
      <c r="CI322" s="21">
        <f t="shared" si="1299"/>
        <v>0</v>
      </c>
      <c r="CJ322" s="21">
        <f t="shared" si="1299"/>
        <v>0</v>
      </c>
      <c r="CK322" s="21">
        <f t="shared" si="1299"/>
        <v>0</v>
      </c>
      <c r="CL322" s="21">
        <f t="shared" ref="CL322:CS322" si="1300">IF($F$290, 0, IF($D$296, IF(AND(COLUMN($CL$322)-COLUMN($BN$319)=$Q$291,ROW($CL$322)-ROW($BN$319)=$K$291), U$290, CL322), CL322))</f>
        <v>0</v>
      </c>
      <c r="CM322" s="21">
        <f t="shared" si="1300"/>
        <v>0</v>
      </c>
      <c r="CN322" s="21">
        <f t="shared" si="1300"/>
        <v>0</v>
      </c>
      <c r="CO322" s="21">
        <f t="shared" si="1300"/>
        <v>0</v>
      </c>
      <c r="CP322" s="21">
        <f t="shared" si="1300"/>
        <v>0</v>
      </c>
      <c r="CQ322" s="21">
        <f t="shared" si="1300"/>
        <v>0</v>
      </c>
      <c r="CR322" s="21">
        <f t="shared" si="1300"/>
        <v>0</v>
      </c>
      <c r="CS322" s="21">
        <f t="shared" si="1300"/>
        <v>0</v>
      </c>
      <c r="CT322" s="21">
        <f t="shared" ref="CT322:DA322" si="1301">IF($F$290, 0, IF($D$296, IF(AND(COLUMN($CT$322)-COLUMN($BN$319)=$Q$291,ROW($CT$322)-ROW($BN$319)=$K$291), U$290, CT322), CT322))</f>
        <v>0</v>
      </c>
      <c r="CU322" s="21">
        <f t="shared" si="1301"/>
        <v>0</v>
      </c>
      <c r="CV322" s="21">
        <f t="shared" si="1301"/>
        <v>0</v>
      </c>
      <c r="CW322" s="21">
        <f t="shared" si="1301"/>
        <v>0</v>
      </c>
      <c r="CX322" s="21">
        <f t="shared" si="1301"/>
        <v>0</v>
      </c>
      <c r="CY322" s="21">
        <f t="shared" si="1301"/>
        <v>0</v>
      </c>
      <c r="CZ322" s="21">
        <f t="shared" si="1301"/>
        <v>0</v>
      </c>
      <c r="DA322" s="21">
        <f t="shared" si="1301"/>
        <v>0</v>
      </c>
      <c r="DB322" s="21">
        <f t="shared" ref="DB322:DI322" si="1302">IF($F$290, 0, IF($D$296, IF(AND(COLUMN($DB$322)-COLUMN($BN$319)=$Q$291,ROW($DB$322)-ROW($BN$319)=$K$291), U$290, DB322), DB322))</f>
        <v>0</v>
      </c>
      <c r="DC322" s="21">
        <f t="shared" si="1302"/>
        <v>0</v>
      </c>
      <c r="DD322" s="21">
        <f t="shared" si="1302"/>
        <v>0</v>
      </c>
      <c r="DE322" s="21">
        <f t="shared" si="1302"/>
        <v>0</v>
      </c>
      <c r="DF322" s="21">
        <f t="shared" si="1302"/>
        <v>0</v>
      </c>
      <c r="DG322" s="21">
        <f t="shared" si="1302"/>
        <v>0</v>
      </c>
      <c r="DH322" s="21">
        <f t="shared" si="1302"/>
        <v>0</v>
      </c>
      <c r="DI322" s="21">
        <f t="shared" si="1302"/>
        <v>0</v>
      </c>
      <c r="DJ322" s="21">
        <f t="shared" ref="DJ322:DQ322" si="1303">IF($F$290, 0, IF($D$296, IF(AND(COLUMN($DJ$322)-COLUMN($BN$319)=$Q$291,ROW($DJ$322)-ROW($BN$319)=$K$291), U$290, DJ322), DJ322))</f>
        <v>0</v>
      </c>
      <c r="DK322" s="21">
        <f t="shared" si="1303"/>
        <v>0</v>
      </c>
      <c r="DL322" s="21">
        <f t="shared" si="1303"/>
        <v>0</v>
      </c>
      <c r="DM322" s="21">
        <f t="shared" si="1303"/>
        <v>0</v>
      </c>
      <c r="DN322" s="21">
        <f t="shared" si="1303"/>
        <v>0</v>
      </c>
      <c r="DO322" s="21">
        <f t="shared" si="1303"/>
        <v>0</v>
      </c>
      <c r="DP322" s="21">
        <f t="shared" si="1303"/>
        <v>0</v>
      </c>
      <c r="DQ322" s="21">
        <f t="shared" si="1303"/>
        <v>0</v>
      </c>
      <c r="DR322" s="21">
        <f t="shared" ref="DR322:DY322" si="1304">IF($F$290, 0, IF($D$296, IF(AND(COLUMN($DR$322)-COLUMN($BN$319)=$Q$291,ROW($DR$322)-ROW($BN$319)=$K$291), U$290, DR322), DR322))</f>
        <v>0</v>
      </c>
      <c r="DS322" s="21">
        <f t="shared" si="1304"/>
        <v>0</v>
      </c>
      <c r="DT322" s="21">
        <f t="shared" si="1304"/>
        <v>0</v>
      </c>
      <c r="DU322" s="21">
        <f t="shared" si="1304"/>
        <v>0</v>
      </c>
      <c r="DV322" s="21">
        <f t="shared" si="1304"/>
        <v>0</v>
      </c>
      <c r="DW322" s="21">
        <f t="shared" si="1304"/>
        <v>0</v>
      </c>
      <c r="DX322" s="21">
        <f t="shared" si="1304"/>
        <v>0</v>
      </c>
      <c r="DY322" s="21">
        <f t="shared" si="1304"/>
        <v>0</v>
      </c>
      <c r="DZ322" s="21">
        <f t="shared" ref="DZ322:EG322" si="1305">IF($F$290, 0, IF($E$296, IF(AND(COLUMN($DZ$322)-COLUMN($DZ$319)=$Q$291,ROW($DZ$322)-ROW($DZ$319)=$K$291), U$290, DZ322), DZ322))</f>
        <v>0</v>
      </c>
      <c r="EA322" s="21">
        <f t="shared" si="1305"/>
        <v>0</v>
      </c>
      <c r="EB322" s="21">
        <f t="shared" si="1305"/>
        <v>0</v>
      </c>
      <c r="EC322" s="21">
        <f t="shared" si="1305"/>
        <v>0</v>
      </c>
      <c r="ED322" s="21">
        <f t="shared" si="1305"/>
        <v>0</v>
      </c>
      <c r="EE322" s="21">
        <f t="shared" si="1305"/>
        <v>0</v>
      </c>
      <c r="EF322" s="21">
        <f t="shared" si="1305"/>
        <v>0</v>
      </c>
      <c r="EG322" s="21">
        <f t="shared" si="1305"/>
        <v>0</v>
      </c>
      <c r="EH322" s="21">
        <f t="shared" ref="EH322:EO322" si="1306">IF($F$290, 0, IF($E$296, IF(AND(COLUMN($EH$322)-COLUMN($DZ$319)=$Q$291,ROW($EH$322)-ROW($DZ$319)=$K$291), U$290, EH322), EH322))</f>
        <v>0</v>
      </c>
      <c r="EI322" s="21">
        <f t="shared" si="1306"/>
        <v>0</v>
      </c>
      <c r="EJ322" s="21">
        <f t="shared" si="1306"/>
        <v>0</v>
      </c>
      <c r="EK322" s="21">
        <f t="shared" si="1306"/>
        <v>0</v>
      </c>
      <c r="EL322" s="21">
        <f t="shared" si="1306"/>
        <v>0</v>
      </c>
      <c r="EM322" s="21">
        <f t="shared" si="1306"/>
        <v>0</v>
      </c>
      <c r="EN322" s="21">
        <f t="shared" si="1306"/>
        <v>0</v>
      </c>
      <c r="EO322" s="21">
        <f t="shared" si="1306"/>
        <v>0</v>
      </c>
      <c r="EP322" s="21">
        <f t="shared" ref="EP322:EW322" si="1307">IF($F$290, 0, IF($E$296, IF(AND(COLUMN($EP$322)-COLUMN($DZ$319)=$Q$291,ROW($EP$322)-ROW($DZ$319)=$K$291), U$290, EP322), EP322))</f>
        <v>0</v>
      </c>
      <c r="EQ322" s="21">
        <f t="shared" si="1307"/>
        <v>0</v>
      </c>
      <c r="ER322" s="21">
        <f t="shared" si="1307"/>
        <v>0</v>
      </c>
      <c r="ES322" s="21">
        <f t="shared" si="1307"/>
        <v>0</v>
      </c>
      <c r="ET322" s="21">
        <f t="shared" si="1307"/>
        <v>0</v>
      </c>
      <c r="EU322" s="21">
        <f t="shared" si="1307"/>
        <v>0</v>
      </c>
      <c r="EV322" s="21">
        <f t="shared" si="1307"/>
        <v>0</v>
      </c>
      <c r="EW322" s="21">
        <f t="shared" si="1307"/>
        <v>0</v>
      </c>
      <c r="EX322" s="21">
        <f t="shared" ref="EX322:FE322" si="1308">IF($F$290, 0, IF($E$296, IF(AND(COLUMN($EX$322)-COLUMN($DZ$319)=$Q$291,ROW($EX$322)-ROW($DZ$319)=$K$291), U$290, EX322), EX322))</f>
        <v>0</v>
      </c>
      <c r="EY322" s="21">
        <f t="shared" si="1308"/>
        <v>0</v>
      </c>
      <c r="EZ322" s="21">
        <f t="shared" si="1308"/>
        <v>0</v>
      </c>
      <c r="FA322" s="21">
        <f t="shared" si="1308"/>
        <v>0</v>
      </c>
      <c r="FB322" s="21">
        <f t="shared" si="1308"/>
        <v>0</v>
      </c>
      <c r="FC322" s="21">
        <f t="shared" si="1308"/>
        <v>0</v>
      </c>
      <c r="FD322" s="21">
        <f t="shared" si="1308"/>
        <v>0</v>
      </c>
      <c r="FE322" s="21">
        <f t="shared" si="1308"/>
        <v>0</v>
      </c>
      <c r="FF322" s="21">
        <f t="shared" ref="FF322:FM322" si="1309">IF($F$290, 0, IF($E$296, IF(AND(COLUMN($FF$322)-COLUMN($DZ$319)=$Q$291,ROW($FF$322)-ROW($DZ$319)=$K$291), U$290, FF322), FF322))</f>
        <v>0</v>
      </c>
      <c r="FG322" s="21">
        <f t="shared" si="1309"/>
        <v>0</v>
      </c>
      <c r="FH322" s="21">
        <f t="shared" si="1309"/>
        <v>0</v>
      </c>
      <c r="FI322" s="21">
        <f t="shared" si="1309"/>
        <v>0</v>
      </c>
      <c r="FJ322" s="21">
        <f t="shared" si="1309"/>
        <v>0</v>
      </c>
      <c r="FK322" s="21">
        <f t="shared" si="1309"/>
        <v>0</v>
      </c>
      <c r="FL322" s="21">
        <f t="shared" si="1309"/>
        <v>0</v>
      </c>
      <c r="FM322" s="21">
        <f t="shared" si="1309"/>
        <v>0</v>
      </c>
      <c r="FN322" s="21">
        <f t="shared" ref="FN322:FU322" si="1310">IF($F$290, 0, IF($E$296, IF(AND(COLUMN($FN$322)-COLUMN($DZ$319)=$Q$291,ROW($FN$322)-ROW($DZ$319)=$K$291), U$290, FN322), FN322))</f>
        <v>0</v>
      </c>
      <c r="FO322" s="21">
        <f t="shared" si="1310"/>
        <v>0</v>
      </c>
      <c r="FP322" s="21">
        <f t="shared" si="1310"/>
        <v>0</v>
      </c>
      <c r="FQ322" s="21">
        <f t="shared" si="1310"/>
        <v>0</v>
      </c>
      <c r="FR322" s="21">
        <f t="shared" si="1310"/>
        <v>0</v>
      </c>
      <c r="FS322" s="21">
        <f t="shared" si="1310"/>
        <v>0</v>
      </c>
      <c r="FT322" s="21">
        <f t="shared" si="1310"/>
        <v>0</v>
      </c>
      <c r="FU322" s="21">
        <f t="shared" si="1310"/>
        <v>0</v>
      </c>
      <c r="FV322" s="21">
        <f t="shared" ref="FV322:GC322" si="1311">IF($F$290, 0, IF($E$296, IF(AND(COLUMN($FV$322)-COLUMN($DZ$319)=$Q$291,ROW($FV$322)-ROW($DZ$319)=$K$291), U$290, FV322), FV322))</f>
        <v>0</v>
      </c>
      <c r="FW322" s="21">
        <f t="shared" si="1311"/>
        <v>0</v>
      </c>
      <c r="FX322" s="21">
        <f t="shared" si="1311"/>
        <v>0</v>
      </c>
      <c r="FY322" s="21">
        <f t="shared" si="1311"/>
        <v>0</v>
      </c>
      <c r="FZ322" s="21">
        <f t="shared" si="1311"/>
        <v>0</v>
      </c>
      <c r="GA322" s="21">
        <f t="shared" si="1311"/>
        <v>0</v>
      </c>
      <c r="GB322" s="21">
        <f t="shared" si="1311"/>
        <v>0</v>
      </c>
      <c r="GC322" s="21">
        <f t="shared" si="1311"/>
        <v>0</v>
      </c>
      <c r="GD322" s="21">
        <f t="shared" ref="GD322:GK322" si="1312">IF($F$290, 0, IF($E$296, IF(AND(COLUMN($GD$322)-COLUMN($DZ$319)=$Q$291,ROW($GD$322)-ROW($DZ$319)=$K$291), U$290, GD322), GD322))</f>
        <v>0</v>
      </c>
      <c r="GE322" s="21">
        <f t="shared" si="1312"/>
        <v>0</v>
      </c>
      <c r="GF322" s="21">
        <f t="shared" si="1312"/>
        <v>0</v>
      </c>
      <c r="GG322" s="21">
        <f t="shared" si="1312"/>
        <v>0</v>
      </c>
      <c r="GH322" s="21">
        <f t="shared" si="1312"/>
        <v>0</v>
      </c>
      <c r="GI322" s="21">
        <f t="shared" si="1312"/>
        <v>0</v>
      </c>
      <c r="GJ322" s="21">
        <f t="shared" si="1312"/>
        <v>0</v>
      </c>
      <c r="GK322" s="21">
        <f t="shared" si="1312"/>
        <v>0</v>
      </c>
      <c r="GL322" s="21">
        <f t="shared" ref="GL322:GS322" si="1313">IF($F$290, 0, IF($F$296, IF(AND(COLUMN($GL$322)-COLUMN($GL$319)=$Q$291,ROW($GL$322)-ROW($GL$319)=$K$291), U$290, GL322), GL322))</f>
        <v>0</v>
      </c>
      <c r="GM322" s="21">
        <f t="shared" si="1313"/>
        <v>0</v>
      </c>
      <c r="GN322" s="21">
        <f t="shared" si="1313"/>
        <v>0</v>
      </c>
      <c r="GO322" s="21">
        <f t="shared" si="1313"/>
        <v>0</v>
      </c>
      <c r="GP322" s="21">
        <f t="shared" si="1313"/>
        <v>0</v>
      </c>
      <c r="GQ322" s="21">
        <f t="shared" si="1313"/>
        <v>0</v>
      </c>
      <c r="GR322" s="21">
        <f t="shared" si="1313"/>
        <v>0</v>
      </c>
      <c r="GS322" s="21">
        <f t="shared" si="1313"/>
        <v>0</v>
      </c>
      <c r="GT322" s="21">
        <f t="shared" ref="GT322:HA322" si="1314">IF($F$290, 0, IF($F$296, IF(AND(COLUMN($GT$322)-COLUMN($GL$319)=$Q$291,ROW($GT$322)-ROW($GL$319)=$K$291), U$290, GT322), GT322))</f>
        <v>0</v>
      </c>
      <c r="GU322" s="21">
        <f t="shared" si="1314"/>
        <v>0</v>
      </c>
      <c r="GV322" s="21">
        <f t="shared" si="1314"/>
        <v>0</v>
      </c>
      <c r="GW322" s="21">
        <f t="shared" si="1314"/>
        <v>0</v>
      </c>
      <c r="GX322" s="21">
        <f t="shared" si="1314"/>
        <v>0</v>
      </c>
      <c r="GY322" s="21">
        <f t="shared" si="1314"/>
        <v>0</v>
      </c>
      <c r="GZ322" s="21">
        <f t="shared" si="1314"/>
        <v>0</v>
      </c>
      <c r="HA322" s="21">
        <f t="shared" si="1314"/>
        <v>0</v>
      </c>
      <c r="HB322" s="21">
        <f t="shared" ref="HB322:HI322" si="1315">IF($F$290, 0, IF($F$296, IF(AND(COLUMN($HB$322)-COLUMN($GL$319)=$Q$291,ROW($HB$322)-ROW($GL$319)=$K$291), U$290, HB322), HB322))</f>
        <v>0</v>
      </c>
      <c r="HC322" s="21">
        <f t="shared" si="1315"/>
        <v>0</v>
      </c>
      <c r="HD322" s="21">
        <f t="shared" si="1315"/>
        <v>0</v>
      </c>
      <c r="HE322" s="21">
        <f t="shared" si="1315"/>
        <v>0</v>
      </c>
      <c r="HF322" s="21">
        <f t="shared" si="1315"/>
        <v>0</v>
      </c>
      <c r="HG322" s="21">
        <f t="shared" si="1315"/>
        <v>0</v>
      </c>
      <c r="HH322" s="21">
        <f t="shared" si="1315"/>
        <v>0</v>
      </c>
      <c r="HI322" s="21">
        <f t="shared" si="1315"/>
        <v>0</v>
      </c>
      <c r="HJ322" s="21">
        <f t="shared" ref="HJ322:HQ322" si="1316">IF($F$290, 0, IF($F$296, IF(AND(COLUMN($HJ$322)-COLUMN($GL$319)=$Q$291,ROW($HJ$322)-ROW($GL$319)=$K$291), U$290, HJ322), HJ322))</f>
        <v>0</v>
      </c>
      <c r="HK322" s="21">
        <f t="shared" si="1316"/>
        <v>0</v>
      </c>
      <c r="HL322" s="21">
        <f t="shared" si="1316"/>
        <v>0</v>
      </c>
      <c r="HM322" s="21">
        <f t="shared" si="1316"/>
        <v>0</v>
      </c>
      <c r="HN322" s="21">
        <f t="shared" si="1316"/>
        <v>0</v>
      </c>
      <c r="HO322" s="21">
        <f t="shared" si="1316"/>
        <v>0</v>
      </c>
      <c r="HP322" s="21">
        <f t="shared" si="1316"/>
        <v>0</v>
      </c>
      <c r="HQ322" s="21">
        <f t="shared" si="1316"/>
        <v>0</v>
      </c>
      <c r="HR322" s="21">
        <f t="shared" ref="HR322:HY322" si="1317">IF($F$290, 0, IF($F$296, IF(AND(COLUMN($HR$322)-COLUMN($GL$319)=$Q$291,ROW($HR$322)-ROW($GL$319)=$K$291), U$290, HR322), HR322))</f>
        <v>0</v>
      </c>
      <c r="HS322" s="21">
        <f t="shared" si="1317"/>
        <v>0</v>
      </c>
      <c r="HT322" s="21">
        <f t="shared" si="1317"/>
        <v>0</v>
      </c>
      <c r="HU322" s="21">
        <f t="shared" si="1317"/>
        <v>0</v>
      </c>
      <c r="HV322" s="21">
        <f t="shared" si="1317"/>
        <v>0</v>
      </c>
      <c r="HW322" s="21">
        <f t="shared" si="1317"/>
        <v>0</v>
      </c>
      <c r="HX322" s="21">
        <f t="shared" si="1317"/>
        <v>0</v>
      </c>
      <c r="HY322" s="21">
        <f t="shared" si="1317"/>
        <v>0</v>
      </c>
      <c r="HZ322" s="21">
        <f t="shared" ref="HZ322:IG322" si="1318">IF($F$290, 0, IF($F$296, IF(AND(COLUMN($HZ$322)-COLUMN($GL$319)=$Q$291,ROW($HZ$322)-ROW($GL$319)=$K$291), U$290, HZ322), HZ322))</f>
        <v>0</v>
      </c>
      <c r="IA322" s="21">
        <f t="shared" si="1318"/>
        <v>0</v>
      </c>
      <c r="IB322" s="21">
        <f t="shared" si="1318"/>
        <v>0</v>
      </c>
      <c r="IC322" s="21">
        <f t="shared" si="1318"/>
        <v>0</v>
      </c>
      <c r="ID322" s="21">
        <f t="shared" si="1318"/>
        <v>0</v>
      </c>
      <c r="IE322" s="21">
        <f t="shared" si="1318"/>
        <v>0</v>
      </c>
      <c r="IF322" s="21">
        <f t="shared" si="1318"/>
        <v>0</v>
      </c>
      <c r="IG322" s="21">
        <f t="shared" si="1318"/>
        <v>0</v>
      </c>
      <c r="IH322" s="21">
        <f t="shared" ref="IH322:IO322" si="1319">IF($F$290, 0, IF($F$296, IF(AND(COLUMN($IH$322)-COLUMN($GL$319)=$Q$291,ROW($IH$322)-ROW($GL$319)=$K$291), U$290, IH322), IH322))</f>
        <v>0</v>
      </c>
      <c r="II322" s="21">
        <f t="shared" si="1319"/>
        <v>0</v>
      </c>
      <c r="IJ322" s="21">
        <f t="shared" si="1319"/>
        <v>0</v>
      </c>
      <c r="IK322" s="21">
        <f t="shared" si="1319"/>
        <v>0</v>
      </c>
      <c r="IL322" s="21">
        <f t="shared" si="1319"/>
        <v>0</v>
      </c>
      <c r="IM322" s="21">
        <f t="shared" si="1319"/>
        <v>0</v>
      </c>
      <c r="IN322" s="21">
        <f t="shared" si="1319"/>
        <v>0</v>
      </c>
      <c r="IO322" s="21">
        <f t="shared" si="1319"/>
        <v>0</v>
      </c>
      <c r="IP322" s="21">
        <f t="shared" ref="IP322:IW322" si="1320">IF($F$290, 0, IF($F$296, IF(AND(COLUMN($IP$322)-COLUMN($GL$319)=$Q$291,ROW($IP$322)-ROW($GL$319)=$K$291), U$290, IP322), IP322))</f>
        <v>0</v>
      </c>
      <c r="IQ322" s="21">
        <f t="shared" si="1320"/>
        <v>0</v>
      </c>
      <c r="IR322" s="21">
        <f t="shared" si="1320"/>
        <v>0</v>
      </c>
      <c r="IS322" s="21">
        <f t="shared" si="1320"/>
        <v>0</v>
      </c>
      <c r="IT322" s="21">
        <f t="shared" si="1320"/>
        <v>0</v>
      </c>
      <c r="IU322" s="21">
        <f t="shared" si="1320"/>
        <v>0</v>
      </c>
      <c r="IV322" s="21">
        <f t="shared" si="1320"/>
        <v>0</v>
      </c>
      <c r="IW322" s="21">
        <f t="shared" si="1320"/>
        <v>0</v>
      </c>
      <c r="IX322" s="21">
        <f t="shared" ref="IX322:JE322" si="1321">IF($F$290, 0, IF($G$296, IF(AND(COLUMN($IX$322)-COLUMN($IX$319)=$Q$291,ROW($IX$322)-ROW($IX$319)=$K$291), U$290, IX322), IX322))</f>
        <v>0</v>
      </c>
      <c r="IY322" s="21">
        <f t="shared" si="1321"/>
        <v>0</v>
      </c>
      <c r="IZ322" s="21">
        <f t="shared" si="1321"/>
        <v>0</v>
      </c>
      <c r="JA322" s="21">
        <f t="shared" si="1321"/>
        <v>0</v>
      </c>
      <c r="JB322" s="21">
        <f t="shared" si="1321"/>
        <v>0</v>
      </c>
      <c r="JC322" s="21">
        <f t="shared" si="1321"/>
        <v>0</v>
      </c>
      <c r="JD322" s="21">
        <f t="shared" si="1321"/>
        <v>0</v>
      </c>
      <c r="JE322" s="21">
        <f t="shared" si="1321"/>
        <v>0</v>
      </c>
      <c r="JF322" s="21">
        <f t="shared" ref="JF322:JM322" si="1322">IF($F$290, 0, IF($G$296, IF(AND(COLUMN($JF$322)-COLUMN($IX$319)=$Q$291,ROW($JF$322)-ROW($IX$319)=$K$291), U$290, JF322), JF322))</f>
        <v>0</v>
      </c>
      <c r="JG322" s="21">
        <f t="shared" si="1322"/>
        <v>0</v>
      </c>
      <c r="JH322" s="21">
        <f t="shared" si="1322"/>
        <v>0</v>
      </c>
      <c r="JI322" s="21">
        <f t="shared" si="1322"/>
        <v>0</v>
      </c>
      <c r="JJ322" s="21">
        <f t="shared" si="1322"/>
        <v>0</v>
      </c>
      <c r="JK322" s="21">
        <f t="shared" si="1322"/>
        <v>0</v>
      </c>
      <c r="JL322" s="21">
        <f t="shared" si="1322"/>
        <v>0</v>
      </c>
      <c r="JM322" s="21">
        <f t="shared" si="1322"/>
        <v>0</v>
      </c>
      <c r="JN322" s="21">
        <f t="shared" ref="JN322:JU322" si="1323">IF($F$290, 0, IF($G$296, IF(AND(COLUMN($JN$322)-COLUMN($IX$319)=$Q$291,ROW($JN$322)-ROW($IX$319)=$K$291), U$290, JN322), JN322))</f>
        <v>0</v>
      </c>
      <c r="JO322" s="21">
        <f t="shared" si="1323"/>
        <v>0</v>
      </c>
      <c r="JP322" s="21">
        <f t="shared" si="1323"/>
        <v>0</v>
      </c>
      <c r="JQ322" s="21">
        <f t="shared" si="1323"/>
        <v>0</v>
      </c>
      <c r="JR322" s="21">
        <f t="shared" si="1323"/>
        <v>0</v>
      </c>
      <c r="JS322" s="21">
        <f t="shared" si="1323"/>
        <v>0</v>
      </c>
      <c r="JT322" s="21">
        <f t="shared" si="1323"/>
        <v>0</v>
      </c>
      <c r="JU322" s="21">
        <f t="shared" si="1323"/>
        <v>0</v>
      </c>
      <c r="JV322" s="21">
        <f t="shared" ref="JV322:KC322" si="1324">IF($F$290, 0, IF($G$296, IF(AND(COLUMN($JV$322)-COLUMN($IX$319)=$Q$291,ROW($JV$322)-ROW($IX$319)=$K$291), U$290, JV322), JV322))</f>
        <v>0</v>
      </c>
      <c r="JW322" s="21">
        <f t="shared" si="1324"/>
        <v>0</v>
      </c>
      <c r="JX322" s="21">
        <f t="shared" si="1324"/>
        <v>0</v>
      </c>
      <c r="JY322" s="21">
        <f t="shared" si="1324"/>
        <v>0</v>
      </c>
      <c r="JZ322" s="21">
        <f t="shared" si="1324"/>
        <v>0</v>
      </c>
      <c r="KA322" s="21">
        <f t="shared" si="1324"/>
        <v>0</v>
      </c>
      <c r="KB322" s="21">
        <f t="shared" si="1324"/>
        <v>0</v>
      </c>
      <c r="KC322" s="21">
        <f t="shared" si="1324"/>
        <v>0</v>
      </c>
      <c r="KD322" s="21">
        <f t="shared" ref="KD322:KK322" si="1325">IF($F$290, 0, IF($G$296, IF(AND(COLUMN($KD$322)-COLUMN($IX$319)=$Q$291,ROW($KD$322)-ROW($IX$319)=$K$291), U$290, KD322), KD322))</f>
        <v>0</v>
      </c>
      <c r="KE322" s="21">
        <f t="shared" si="1325"/>
        <v>0</v>
      </c>
      <c r="KF322" s="21">
        <f t="shared" si="1325"/>
        <v>0</v>
      </c>
      <c r="KG322" s="21">
        <f t="shared" si="1325"/>
        <v>0</v>
      </c>
      <c r="KH322" s="21">
        <f t="shared" si="1325"/>
        <v>0</v>
      </c>
      <c r="KI322" s="21">
        <f t="shared" si="1325"/>
        <v>0</v>
      </c>
      <c r="KJ322" s="21">
        <f t="shared" si="1325"/>
        <v>0</v>
      </c>
      <c r="KK322" s="21">
        <f t="shared" si="1325"/>
        <v>0</v>
      </c>
      <c r="KL322" s="21">
        <f t="shared" ref="KL322:KS322" si="1326">IF($F$290, 0, IF($G$296, IF(AND(COLUMN($KL$322)-COLUMN($IX$319)=$Q$291,ROW($KL$322)-ROW($IX$319)=$K$291), U$290, KL322), KL322))</f>
        <v>0</v>
      </c>
      <c r="KM322" s="21">
        <f t="shared" si="1326"/>
        <v>0</v>
      </c>
      <c r="KN322" s="21">
        <f t="shared" si="1326"/>
        <v>0</v>
      </c>
      <c r="KO322" s="21">
        <f t="shared" si="1326"/>
        <v>0</v>
      </c>
      <c r="KP322" s="21">
        <f t="shared" si="1326"/>
        <v>0</v>
      </c>
      <c r="KQ322" s="21">
        <f t="shared" si="1326"/>
        <v>0</v>
      </c>
      <c r="KR322" s="21">
        <f t="shared" si="1326"/>
        <v>0</v>
      </c>
      <c r="KS322" s="21">
        <f t="shared" si="1326"/>
        <v>0</v>
      </c>
      <c r="KT322" s="21">
        <f t="shared" ref="KT322:LA322" si="1327">IF($F$290, 0, IF($G$296, IF(AND(COLUMN($KT$322)-COLUMN($IX$319)=$Q$291,ROW($KT$322)-ROW($IX$319)=$K$291), U$290, KT322), KT322))</f>
        <v>0</v>
      </c>
      <c r="KU322" s="21">
        <f t="shared" si="1327"/>
        <v>0</v>
      </c>
      <c r="KV322" s="21">
        <f t="shared" si="1327"/>
        <v>0</v>
      </c>
      <c r="KW322" s="21">
        <f t="shared" si="1327"/>
        <v>0</v>
      </c>
      <c r="KX322" s="21">
        <f t="shared" si="1327"/>
        <v>0</v>
      </c>
      <c r="KY322" s="21">
        <f t="shared" si="1327"/>
        <v>0</v>
      </c>
      <c r="KZ322" s="21">
        <f t="shared" si="1327"/>
        <v>0</v>
      </c>
      <c r="LA322" s="21">
        <f t="shared" si="1327"/>
        <v>0</v>
      </c>
      <c r="LB322" s="21">
        <f t="shared" ref="LB322:LI322" si="1328">IF($F$290, 0, IF($G$296, IF(AND(COLUMN($LB$322)-COLUMN($IX$319)=$Q$291,ROW($LB$322)-ROW($IX$319)=$K$291), U$290, LB322), LB322))</f>
        <v>0</v>
      </c>
      <c r="LC322" s="21">
        <f t="shared" si="1328"/>
        <v>0</v>
      </c>
      <c r="LD322" s="21">
        <f t="shared" si="1328"/>
        <v>0</v>
      </c>
      <c r="LE322" s="21">
        <f t="shared" si="1328"/>
        <v>0</v>
      </c>
      <c r="LF322" s="21">
        <f t="shared" si="1328"/>
        <v>0</v>
      </c>
      <c r="LG322" s="21">
        <f t="shared" si="1328"/>
        <v>0</v>
      </c>
      <c r="LH322" s="21">
        <f t="shared" si="1328"/>
        <v>0</v>
      </c>
      <c r="LI322" s="21">
        <f t="shared" si="1328"/>
        <v>0</v>
      </c>
      <c r="LJ322" s="21">
        <f t="shared" ref="LJ322:LQ322" si="1329">IF($F$290, 0, IF($H$296, IF(AND(COLUMN($LJ$322)-COLUMN($LJ$319)=$Q$291,ROW($LJ$322)-ROW($LJ$319)=$K$291), U$290, LJ322), LJ322))</f>
        <v>0</v>
      </c>
      <c r="LK322" s="21">
        <f t="shared" si="1329"/>
        <v>0</v>
      </c>
      <c r="LL322" s="21">
        <f t="shared" si="1329"/>
        <v>0</v>
      </c>
      <c r="LM322" s="21">
        <f t="shared" si="1329"/>
        <v>0</v>
      </c>
      <c r="LN322" s="21">
        <f t="shared" si="1329"/>
        <v>0</v>
      </c>
      <c r="LO322" s="21">
        <f t="shared" si="1329"/>
        <v>0</v>
      </c>
      <c r="LP322" s="21">
        <f t="shared" si="1329"/>
        <v>0</v>
      </c>
      <c r="LQ322" s="21">
        <f t="shared" si="1329"/>
        <v>0</v>
      </c>
      <c r="LR322" s="21">
        <f t="shared" ref="LR322:LY322" si="1330">IF($F$290, 0, IF($H$296, IF(AND(COLUMN($LR$322)-COLUMN($LJ$319)=$Q$291,ROW($LR$322)-ROW($LJ$319)=$K$291), U$290, LR322), LR322))</f>
        <v>0</v>
      </c>
      <c r="LS322" s="21">
        <f t="shared" si="1330"/>
        <v>0</v>
      </c>
      <c r="LT322" s="21">
        <f t="shared" si="1330"/>
        <v>0</v>
      </c>
      <c r="LU322" s="21">
        <f t="shared" si="1330"/>
        <v>0</v>
      </c>
      <c r="LV322" s="21">
        <f t="shared" si="1330"/>
        <v>0</v>
      </c>
      <c r="LW322" s="21">
        <f t="shared" si="1330"/>
        <v>0</v>
      </c>
      <c r="LX322" s="21">
        <f t="shared" si="1330"/>
        <v>0</v>
      </c>
      <c r="LY322" s="21">
        <f t="shared" si="1330"/>
        <v>0</v>
      </c>
      <c r="LZ322" s="21">
        <f t="shared" ref="LZ322:MG322" si="1331">IF($F$290, 0, IF($H$296, IF(AND(COLUMN($LZ$322)-COLUMN($LJ$319)=$Q$291,ROW($LZ$322)-ROW($LJ$319)=$K$291), U$290, LZ322), LZ322))</f>
        <v>0</v>
      </c>
      <c r="MA322" s="21">
        <f t="shared" si="1331"/>
        <v>0</v>
      </c>
      <c r="MB322" s="21">
        <f t="shared" si="1331"/>
        <v>0</v>
      </c>
      <c r="MC322" s="21">
        <f t="shared" si="1331"/>
        <v>0</v>
      </c>
      <c r="MD322" s="21">
        <f t="shared" si="1331"/>
        <v>0</v>
      </c>
      <c r="ME322" s="21">
        <f t="shared" si="1331"/>
        <v>0</v>
      </c>
      <c r="MF322" s="21">
        <f t="shared" si="1331"/>
        <v>0</v>
      </c>
      <c r="MG322" s="21">
        <f t="shared" si="1331"/>
        <v>0</v>
      </c>
      <c r="MH322" s="21">
        <f t="shared" ref="MH322:MO322" si="1332">IF($F$290, 0, IF($H$296, IF(AND(COLUMN($MH$322)-COLUMN($LJ$319)=$Q$291,ROW($MH$322)-ROW($LJ$319)=$K$291), U$290, MH322), MH322))</f>
        <v>0</v>
      </c>
      <c r="MI322" s="21">
        <f t="shared" si="1332"/>
        <v>0</v>
      </c>
      <c r="MJ322" s="21">
        <f t="shared" si="1332"/>
        <v>0</v>
      </c>
      <c r="MK322" s="21">
        <f t="shared" si="1332"/>
        <v>0</v>
      </c>
      <c r="ML322" s="21">
        <f t="shared" si="1332"/>
        <v>0</v>
      </c>
      <c r="MM322" s="21">
        <f t="shared" si="1332"/>
        <v>0</v>
      </c>
      <c r="MN322" s="21">
        <f t="shared" si="1332"/>
        <v>0</v>
      </c>
      <c r="MO322" s="21">
        <f t="shared" si="1332"/>
        <v>0</v>
      </c>
      <c r="MP322" s="21">
        <f t="shared" ref="MP322:MW322" si="1333">IF($F$290, 0, IF($H$296, IF(AND(COLUMN($MP$322)-COLUMN($LJ$319)=$Q$291,ROW($MP$322)-ROW($LJ$319)=$K$291), U$290, MP322), MP322))</f>
        <v>0</v>
      </c>
      <c r="MQ322" s="21">
        <f t="shared" si="1333"/>
        <v>0</v>
      </c>
      <c r="MR322" s="21">
        <f t="shared" si="1333"/>
        <v>0</v>
      </c>
      <c r="MS322" s="21">
        <f t="shared" si="1333"/>
        <v>0</v>
      </c>
      <c r="MT322" s="21">
        <f t="shared" si="1333"/>
        <v>0</v>
      </c>
      <c r="MU322" s="21">
        <f t="shared" si="1333"/>
        <v>0</v>
      </c>
      <c r="MV322" s="21">
        <f t="shared" si="1333"/>
        <v>0</v>
      </c>
      <c r="MW322" s="21">
        <f t="shared" si="1333"/>
        <v>0</v>
      </c>
      <c r="MX322" s="21">
        <f t="shared" ref="MX322:NE322" si="1334">IF($F$290, 0, IF($H$296, IF(AND(COLUMN($MX$322)-COLUMN($LJ$319)=$Q$291,ROW($MX$322)-ROW($LJ$319)=$K$291), U$290, MX322), MX322))</f>
        <v>0</v>
      </c>
      <c r="MY322" s="21">
        <f t="shared" si="1334"/>
        <v>0</v>
      </c>
      <c r="MZ322" s="21">
        <f t="shared" si="1334"/>
        <v>0</v>
      </c>
      <c r="NA322" s="21">
        <f t="shared" si="1334"/>
        <v>0</v>
      </c>
      <c r="NB322" s="21">
        <f t="shared" si="1334"/>
        <v>0</v>
      </c>
      <c r="NC322" s="21">
        <f t="shared" si="1334"/>
        <v>0</v>
      </c>
      <c r="ND322" s="21">
        <f t="shared" si="1334"/>
        <v>0</v>
      </c>
      <c r="NE322" s="21">
        <f t="shared" si="1334"/>
        <v>0</v>
      </c>
      <c r="NF322" s="21">
        <f t="shared" ref="NF322:NM322" si="1335">IF($F$290, 0, IF($H$296, IF(AND(COLUMN($NF$322)-COLUMN($LJ$319)=$Q$291,ROW($NF$322)-ROW($LJ$319)=$K$291), U$290, NF322), NF322))</f>
        <v>0</v>
      </c>
      <c r="NG322" s="21">
        <f t="shared" si="1335"/>
        <v>0</v>
      </c>
      <c r="NH322" s="21">
        <f t="shared" si="1335"/>
        <v>0</v>
      </c>
      <c r="NI322" s="21">
        <f t="shared" si="1335"/>
        <v>0</v>
      </c>
      <c r="NJ322" s="21">
        <f t="shared" si="1335"/>
        <v>0</v>
      </c>
      <c r="NK322" s="21">
        <f t="shared" si="1335"/>
        <v>0</v>
      </c>
      <c r="NL322" s="21">
        <f t="shared" si="1335"/>
        <v>0</v>
      </c>
      <c r="NM322" s="21">
        <f t="shared" si="1335"/>
        <v>0</v>
      </c>
      <c r="NN322" s="21">
        <f t="shared" ref="NN322:NU322" si="1336">IF($F$290, 0, IF($H$296, IF(AND(COLUMN($NN$322)-COLUMN($LJ$319)=$Q$291,ROW($NN$322)-ROW($LJ$319)=$K$291), U$290, NN322), NN322))</f>
        <v>0</v>
      </c>
      <c r="NO322" s="21">
        <f t="shared" si="1336"/>
        <v>0</v>
      </c>
      <c r="NP322" s="21">
        <f t="shared" si="1336"/>
        <v>0</v>
      </c>
      <c r="NQ322" s="21">
        <f t="shared" si="1336"/>
        <v>0</v>
      </c>
      <c r="NR322" s="21">
        <f t="shared" si="1336"/>
        <v>0</v>
      </c>
      <c r="NS322" s="21">
        <f t="shared" si="1336"/>
        <v>0</v>
      </c>
      <c r="NT322" s="21">
        <f t="shared" si="1336"/>
        <v>0</v>
      </c>
      <c r="NU322" s="21">
        <f t="shared" si="1336"/>
        <v>0</v>
      </c>
      <c r="NV322" s="21">
        <f t="shared" ref="NV322:OC322" si="1337">IF($F$290, 0, IF($I$296, IF(AND(COLUMN($NV$322)-COLUMN($NV$319)=$Q$291,ROW($NV$322)-ROW($NV$319)=$K$291), U$290, NV322), NV322))</f>
        <v>0</v>
      </c>
      <c r="NW322" s="21">
        <f t="shared" si="1337"/>
        <v>0</v>
      </c>
      <c r="NX322" s="21">
        <f t="shared" si="1337"/>
        <v>0</v>
      </c>
      <c r="NY322" s="21">
        <f t="shared" si="1337"/>
        <v>0</v>
      </c>
      <c r="NZ322" s="21">
        <f t="shared" si="1337"/>
        <v>0</v>
      </c>
      <c r="OA322" s="21">
        <f t="shared" si="1337"/>
        <v>0</v>
      </c>
      <c r="OB322" s="21">
        <f t="shared" si="1337"/>
        <v>0</v>
      </c>
      <c r="OC322" s="21">
        <f t="shared" si="1337"/>
        <v>0</v>
      </c>
      <c r="OD322" s="21">
        <f t="shared" ref="OD322:OK322" si="1338">IF($F$290, 0, IF($I$296, IF(AND(COLUMN($OD$322)-COLUMN($NV$319)=$Q$291,ROW($OD$322)-ROW($NV$319)=$K$291), U$290, OD322), OD322))</f>
        <v>0</v>
      </c>
      <c r="OE322" s="21">
        <f t="shared" si="1338"/>
        <v>0</v>
      </c>
      <c r="OF322" s="21">
        <f t="shared" si="1338"/>
        <v>0</v>
      </c>
      <c r="OG322" s="21">
        <f t="shared" si="1338"/>
        <v>0</v>
      </c>
      <c r="OH322" s="21">
        <f t="shared" si="1338"/>
        <v>0</v>
      </c>
      <c r="OI322" s="21">
        <f t="shared" si="1338"/>
        <v>0</v>
      </c>
      <c r="OJ322" s="21">
        <f t="shared" si="1338"/>
        <v>0</v>
      </c>
      <c r="OK322" s="21">
        <f t="shared" si="1338"/>
        <v>0</v>
      </c>
      <c r="OL322" s="21">
        <f t="shared" ref="OL322:OS322" si="1339">IF($F$290, 0, IF($I$296, IF(AND(COLUMN($OL$322)-COLUMN($NV$319)=$Q$291,ROW($OL$322)-ROW($NV$319)=$K$291), U$290, OL322), OL322))</f>
        <v>0</v>
      </c>
      <c r="OM322" s="21">
        <f t="shared" si="1339"/>
        <v>0</v>
      </c>
      <c r="ON322" s="21">
        <f t="shared" si="1339"/>
        <v>0</v>
      </c>
      <c r="OO322" s="21">
        <f t="shared" si="1339"/>
        <v>0</v>
      </c>
      <c r="OP322" s="21">
        <f t="shared" si="1339"/>
        <v>0</v>
      </c>
      <c r="OQ322" s="21">
        <f t="shared" si="1339"/>
        <v>0</v>
      </c>
      <c r="OR322" s="21">
        <f t="shared" si="1339"/>
        <v>0</v>
      </c>
      <c r="OS322" s="21">
        <f t="shared" si="1339"/>
        <v>0</v>
      </c>
      <c r="OT322" s="21">
        <f t="shared" ref="OT322:PA322" si="1340">IF($F$290, 0, IF($I$296, IF(AND(COLUMN($OT$322)-COLUMN($NV$319)=$Q$291,ROW($OT$322)-ROW($NV$319)=$K$291), U$290, OT322), OT322))</f>
        <v>0</v>
      </c>
      <c r="OU322" s="21">
        <f t="shared" si="1340"/>
        <v>0</v>
      </c>
      <c r="OV322" s="21">
        <f t="shared" si="1340"/>
        <v>0</v>
      </c>
      <c r="OW322" s="21">
        <f t="shared" si="1340"/>
        <v>0</v>
      </c>
      <c r="OX322" s="21">
        <f t="shared" si="1340"/>
        <v>0</v>
      </c>
      <c r="OY322" s="21">
        <f t="shared" si="1340"/>
        <v>0</v>
      </c>
      <c r="OZ322" s="21">
        <f t="shared" si="1340"/>
        <v>0</v>
      </c>
      <c r="PA322" s="21">
        <f t="shared" si="1340"/>
        <v>0</v>
      </c>
      <c r="PB322" s="21">
        <f t="shared" ref="PB322:PI322" si="1341">IF($F$290, 0, IF($I$296, IF(AND(COLUMN($PB$322)-COLUMN($NV$319)=$Q$291,ROW($PB$322)-ROW($NV$319)=$K$291), U$290, PB322), PB322))</f>
        <v>0</v>
      </c>
      <c r="PC322" s="21">
        <f t="shared" si="1341"/>
        <v>0</v>
      </c>
      <c r="PD322" s="21">
        <f t="shared" si="1341"/>
        <v>0</v>
      </c>
      <c r="PE322" s="21">
        <f t="shared" si="1341"/>
        <v>0</v>
      </c>
      <c r="PF322" s="21">
        <f t="shared" si="1341"/>
        <v>0</v>
      </c>
      <c r="PG322" s="21">
        <f t="shared" si="1341"/>
        <v>0</v>
      </c>
      <c r="PH322" s="21">
        <f t="shared" si="1341"/>
        <v>0</v>
      </c>
      <c r="PI322" s="21">
        <f t="shared" si="1341"/>
        <v>0</v>
      </c>
      <c r="PJ322" s="21">
        <f t="shared" ref="PJ322:PQ322" si="1342">IF($F$290, 0, IF($I$296, IF(AND(COLUMN($PJ$322)-COLUMN($NV$319)=$Q$291,ROW($PJ$322)-ROW($NV$319)=$K$291), U$290, PJ322), PJ322))</f>
        <v>0</v>
      </c>
      <c r="PK322" s="21">
        <f t="shared" si="1342"/>
        <v>0</v>
      </c>
      <c r="PL322" s="21">
        <f t="shared" si="1342"/>
        <v>0</v>
      </c>
      <c r="PM322" s="21">
        <f t="shared" si="1342"/>
        <v>0</v>
      </c>
      <c r="PN322" s="21">
        <f t="shared" si="1342"/>
        <v>0</v>
      </c>
      <c r="PO322" s="21">
        <f t="shared" si="1342"/>
        <v>0</v>
      </c>
      <c r="PP322" s="21">
        <f t="shared" si="1342"/>
        <v>0</v>
      </c>
      <c r="PQ322" s="21">
        <f t="shared" si="1342"/>
        <v>0</v>
      </c>
      <c r="PR322" s="21">
        <f t="shared" ref="PR322:PY322" si="1343">IF($F$290, 0, IF($I$296, IF(AND(COLUMN($PR$322)-COLUMN($NV$319)=$Q$291,ROW($PR$322)-ROW($NV$319)=$K$291), U$290, PR322), PR322))</f>
        <v>0</v>
      </c>
      <c r="PS322" s="21">
        <f t="shared" si="1343"/>
        <v>0</v>
      </c>
      <c r="PT322" s="21">
        <f t="shared" si="1343"/>
        <v>0</v>
      </c>
      <c r="PU322" s="21">
        <f t="shared" si="1343"/>
        <v>0</v>
      </c>
      <c r="PV322" s="21">
        <f t="shared" si="1343"/>
        <v>0</v>
      </c>
      <c r="PW322" s="21">
        <f t="shared" si="1343"/>
        <v>0</v>
      </c>
      <c r="PX322" s="21">
        <f t="shared" si="1343"/>
        <v>0</v>
      </c>
      <c r="PY322" s="21">
        <f t="shared" si="1343"/>
        <v>0</v>
      </c>
      <c r="PZ322" s="21">
        <f t="shared" ref="PZ322:QG322" si="1344">IF($F$290, 0, IF($I$296, IF(AND(COLUMN($PZ$322)-COLUMN($NV$319)=$Q$291,ROW($PZ$322)-ROW($NV$319)=$K$291), U$290, PZ322), PZ322))</f>
        <v>0</v>
      </c>
      <c r="QA322" s="21">
        <f t="shared" si="1344"/>
        <v>0</v>
      </c>
      <c r="QB322" s="21">
        <f t="shared" si="1344"/>
        <v>0</v>
      </c>
      <c r="QC322" s="21">
        <f t="shared" si="1344"/>
        <v>0</v>
      </c>
      <c r="QD322" s="21">
        <f t="shared" si="1344"/>
        <v>0</v>
      </c>
      <c r="QE322" s="21">
        <f t="shared" si="1344"/>
        <v>0</v>
      </c>
      <c r="QF322" s="21">
        <f t="shared" si="1344"/>
        <v>0</v>
      </c>
      <c r="QG322" s="21">
        <f t="shared" si="1344"/>
        <v>0</v>
      </c>
      <c r="QH322" s="21">
        <f t="shared" ref="QH322:QO322" si="1345">IF($F$290, 0, IF($J$296, IF(AND(COLUMN($QH$322)-COLUMN($QH$319)=$Q$291,ROW($QH$322)-ROW($QH$319)=$K$291), U$290, QH322), QH322))</f>
        <v>0</v>
      </c>
      <c r="QI322" s="21">
        <f t="shared" si="1345"/>
        <v>0</v>
      </c>
      <c r="QJ322" s="21">
        <f t="shared" si="1345"/>
        <v>0</v>
      </c>
      <c r="QK322" s="21">
        <f t="shared" si="1345"/>
        <v>0</v>
      </c>
      <c r="QL322" s="21">
        <f t="shared" si="1345"/>
        <v>0</v>
      </c>
      <c r="QM322" s="21">
        <f t="shared" si="1345"/>
        <v>0</v>
      </c>
      <c r="QN322" s="21">
        <f t="shared" si="1345"/>
        <v>0</v>
      </c>
      <c r="QO322" s="21">
        <f t="shared" si="1345"/>
        <v>0</v>
      </c>
      <c r="QP322" s="21">
        <f t="shared" ref="QP322:QW322" si="1346">IF($F$290, 0, IF($J$296, IF(AND(COLUMN($QP$322)-COLUMN($QH$319)=$Q$291,ROW($QP$322)-ROW($QH$319)=$K$291), U$290, QP322), QP322))</f>
        <v>0</v>
      </c>
      <c r="QQ322" s="21">
        <f t="shared" si="1346"/>
        <v>0</v>
      </c>
      <c r="QR322" s="21">
        <f t="shared" si="1346"/>
        <v>0</v>
      </c>
      <c r="QS322" s="21">
        <f t="shared" si="1346"/>
        <v>0</v>
      </c>
      <c r="QT322" s="21">
        <f t="shared" si="1346"/>
        <v>0</v>
      </c>
      <c r="QU322" s="21">
        <f t="shared" si="1346"/>
        <v>0</v>
      </c>
      <c r="QV322" s="21">
        <f t="shared" si="1346"/>
        <v>0</v>
      </c>
      <c r="QW322" s="21">
        <f t="shared" si="1346"/>
        <v>0</v>
      </c>
      <c r="QX322" s="21">
        <f t="shared" ref="QX322:RE322" si="1347">IF($F$290, 0, IF($J$296, IF(AND(COLUMN($QX$322)-COLUMN($QH$319)=$Q$291,ROW($QX$322)-ROW($QH$319)=$K$291), U$290, QX322), QX322))</f>
        <v>0</v>
      </c>
      <c r="QY322" s="21">
        <f t="shared" si="1347"/>
        <v>0</v>
      </c>
      <c r="QZ322" s="21">
        <f t="shared" si="1347"/>
        <v>0</v>
      </c>
      <c r="RA322" s="21">
        <f t="shared" si="1347"/>
        <v>0</v>
      </c>
      <c r="RB322" s="21">
        <f t="shared" si="1347"/>
        <v>0</v>
      </c>
      <c r="RC322" s="21">
        <f t="shared" si="1347"/>
        <v>0</v>
      </c>
      <c r="RD322" s="21">
        <f t="shared" si="1347"/>
        <v>0</v>
      </c>
      <c r="RE322" s="21">
        <f t="shared" si="1347"/>
        <v>0</v>
      </c>
      <c r="RF322" s="21">
        <f t="shared" ref="RF322:RM322" si="1348">IF($F$290, 0, IF($J$296, IF(AND(COLUMN($RF$322)-COLUMN($QH$319)=$Q$291,ROW($RF$322)-ROW($QH$319)=$K$291), U$290, RF322), RF322))</f>
        <v>0</v>
      </c>
      <c r="RG322" s="21">
        <f t="shared" si="1348"/>
        <v>0</v>
      </c>
      <c r="RH322" s="21">
        <f t="shared" si="1348"/>
        <v>0</v>
      </c>
      <c r="RI322" s="21">
        <f t="shared" si="1348"/>
        <v>0</v>
      </c>
      <c r="RJ322" s="21">
        <f t="shared" si="1348"/>
        <v>0</v>
      </c>
      <c r="RK322" s="21">
        <f t="shared" si="1348"/>
        <v>0</v>
      </c>
      <c r="RL322" s="21">
        <f t="shared" si="1348"/>
        <v>0</v>
      </c>
      <c r="RM322" s="21">
        <f t="shared" si="1348"/>
        <v>0</v>
      </c>
      <c r="RN322" s="21">
        <f t="shared" ref="RN322:RU322" si="1349">IF($F$290, 0, IF($J$296, IF(AND(COLUMN($RN$322)-COLUMN($QH$319)=$Q$291,ROW($RN$322)-ROW($QH$319)=$K$291), U$290, RN322), RN322))</f>
        <v>0</v>
      </c>
      <c r="RO322" s="21">
        <f t="shared" si="1349"/>
        <v>0</v>
      </c>
      <c r="RP322" s="21">
        <f t="shared" si="1349"/>
        <v>0</v>
      </c>
      <c r="RQ322" s="21">
        <f t="shared" si="1349"/>
        <v>0</v>
      </c>
      <c r="RR322" s="21">
        <f t="shared" si="1349"/>
        <v>0</v>
      </c>
      <c r="RS322" s="21">
        <f t="shared" si="1349"/>
        <v>0</v>
      </c>
      <c r="RT322" s="21">
        <f t="shared" si="1349"/>
        <v>0</v>
      </c>
      <c r="RU322" s="21">
        <f t="shared" si="1349"/>
        <v>0</v>
      </c>
      <c r="RV322" s="21">
        <f t="shared" ref="RV322:SC322" si="1350">IF($F$290, 0, IF($J$296, IF(AND(COLUMN($RV$322)-COLUMN($QH$319)=$Q$291,ROW($RV$322)-ROW($QH$319)=$K$291), U$290, RV322), RV322))</f>
        <v>0</v>
      </c>
      <c r="RW322" s="21">
        <f t="shared" si="1350"/>
        <v>0</v>
      </c>
      <c r="RX322" s="21">
        <f t="shared" si="1350"/>
        <v>0</v>
      </c>
      <c r="RY322" s="21">
        <f t="shared" si="1350"/>
        <v>0</v>
      </c>
      <c r="RZ322" s="21">
        <f t="shared" si="1350"/>
        <v>0</v>
      </c>
      <c r="SA322" s="21">
        <f t="shared" si="1350"/>
        <v>0</v>
      </c>
      <c r="SB322" s="21">
        <f t="shared" si="1350"/>
        <v>0</v>
      </c>
      <c r="SC322" s="21">
        <f t="shared" si="1350"/>
        <v>0</v>
      </c>
      <c r="SD322" s="21">
        <f t="shared" ref="SD322:SK322" si="1351">IF($F$290, 0, IF($J$296, IF(AND(COLUMN($SD$322)-COLUMN($QH$319)=$Q$291,ROW($SD$322)-ROW($QH$319)=$K$291), U$290, SD322), SD322))</f>
        <v>0</v>
      </c>
      <c r="SE322" s="21">
        <f t="shared" si="1351"/>
        <v>0</v>
      </c>
      <c r="SF322" s="21">
        <f t="shared" si="1351"/>
        <v>0</v>
      </c>
      <c r="SG322" s="21">
        <f t="shared" si="1351"/>
        <v>0</v>
      </c>
      <c r="SH322" s="21">
        <f t="shared" si="1351"/>
        <v>0</v>
      </c>
      <c r="SI322" s="21">
        <f t="shared" si="1351"/>
        <v>0</v>
      </c>
      <c r="SJ322" s="21">
        <f t="shared" si="1351"/>
        <v>0</v>
      </c>
      <c r="SK322" s="21">
        <f t="shared" si="1351"/>
        <v>0</v>
      </c>
      <c r="SL322" s="21">
        <f t="shared" ref="SL322:SS322" si="1352">IF($F$290, 0, IF($J$296, IF(AND(COLUMN($SL$322)-COLUMN($QH$319)=$Q$291,ROW($SL$322)-ROW($QH$319)=$K$291), U$290, SL322), SL322))</f>
        <v>0</v>
      </c>
      <c r="SM322" s="21">
        <f t="shared" si="1352"/>
        <v>0</v>
      </c>
      <c r="SN322" s="21">
        <f t="shared" si="1352"/>
        <v>0</v>
      </c>
      <c r="SO322" s="21">
        <f t="shared" si="1352"/>
        <v>0</v>
      </c>
      <c r="SP322" s="21">
        <f t="shared" si="1352"/>
        <v>0</v>
      </c>
      <c r="SQ322" s="21">
        <f t="shared" si="1352"/>
        <v>0</v>
      </c>
      <c r="SR322" s="21">
        <f t="shared" si="1352"/>
        <v>0</v>
      </c>
      <c r="SS322" s="21">
        <f t="shared" si="1352"/>
        <v>0</v>
      </c>
    </row>
    <row r="323" spans="2:513" ht="15" customHeight="1" x14ac:dyDescent="0.25">
      <c r="B323" s="21">
        <f t="shared" ref="B323:I323" si="1353">IF($F$290, 0, IF($C$296, IF(AND(COLUMN($B$323)-COLUMN($B$319)=$Q$291,ROW($B$323)-ROW($B$319)=$K$291), U$290, B323), B323))</f>
        <v>0</v>
      </c>
      <c r="C323" s="21">
        <f t="shared" si="1353"/>
        <v>0</v>
      </c>
      <c r="D323" s="21">
        <f t="shared" si="1353"/>
        <v>0</v>
      </c>
      <c r="E323" s="21">
        <f t="shared" si="1353"/>
        <v>0</v>
      </c>
      <c r="F323" s="21">
        <f t="shared" si="1353"/>
        <v>0</v>
      </c>
      <c r="G323" s="21">
        <f t="shared" si="1353"/>
        <v>0</v>
      </c>
      <c r="H323" s="21">
        <f t="shared" si="1353"/>
        <v>0</v>
      </c>
      <c r="I323" s="21">
        <f t="shared" si="1353"/>
        <v>0</v>
      </c>
      <c r="J323" s="21">
        <f t="shared" ref="J323:Q323" si="1354">IF($F$290, 0, IF($C$296, IF(AND(COLUMN($J$323)-COLUMN($B$319)=$Q$291,ROW($J$323)-ROW($B$319)=$K$291), U$290, J323), J323))</f>
        <v>0</v>
      </c>
      <c r="K323" s="21">
        <f t="shared" si="1354"/>
        <v>0</v>
      </c>
      <c r="L323" s="21">
        <f t="shared" si="1354"/>
        <v>0</v>
      </c>
      <c r="M323" s="21">
        <f t="shared" si="1354"/>
        <v>0</v>
      </c>
      <c r="N323" s="21">
        <f t="shared" si="1354"/>
        <v>0</v>
      </c>
      <c r="O323" s="21">
        <f t="shared" si="1354"/>
        <v>0</v>
      </c>
      <c r="P323" s="21">
        <f t="shared" si="1354"/>
        <v>0</v>
      </c>
      <c r="Q323" s="21">
        <f t="shared" si="1354"/>
        <v>0</v>
      </c>
      <c r="R323" s="21">
        <f>IF($F$290, 0, IF($C$296, IF(AND(COLUMN($R$323)-COLUMN($B$319)=$Q$291,ROW($R$323)-ROW($B$319)=$K$291), U$290, R323), R323))</f>
        <v>0</v>
      </c>
      <c r="S323" s="21">
        <f t="shared" ref="S323:Y323" si="1355">IF($F$290, 0, IF($C$296, IF(AND(COLUMN($R$323)-COLUMN($B$319)=$Q$291,ROW($R$323)-ROW($B$319)=$K$291), V$290, S323), S323))</f>
        <v>0</v>
      </c>
      <c r="T323" s="21">
        <f t="shared" si="1355"/>
        <v>0</v>
      </c>
      <c r="U323" s="21">
        <f t="shared" si="1355"/>
        <v>0</v>
      </c>
      <c r="V323" s="21">
        <f t="shared" si="1355"/>
        <v>0</v>
      </c>
      <c r="W323" s="21">
        <f t="shared" si="1355"/>
        <v>0</v>
      </c>
      <c r="X323" s="21">
        <f t="shared" si="1355"/>
        <v>0</v>
      </c>
      <c r="Y323" s="21">
        <f t="shared" si="1355"/>
        <v>0</v>
      </c>
      <c r="Z323" s="21">
        <f t="shared" ref="Z323:AG323" si="1356">IF($F$290, 0, IF($C$296, IF(AND(COLUMN($Z$323)-COLUMN($B$319)=$Q$291,ROW($Z$323)-ROW($B$319)=$K$291), U$290, Z323), Z323))</f>
        <v>0</v>
      </c>
      <c r="AA323" s="21">
        <f t="shared" si="1356"/>
        <v>0</v>
      </c>
      <c r="AB323" s="21">
        <f t="shared" si="1356"/>
        <v>0</v>
      </c>
      <c r="AC323" s="21">
        <f t="shared" si="1356"/>
        <v>0</v>
      </c>
      <c r="AD323" s="21">
        <f t="shared" si="1356"/>
        <v>0</v>
      </c>
      <c r="AE323" s="21">
        <f t="shared" si="1356"/>
        <v>0</v>
      </c>
      <c r="AF323" s="21">
        <f t="shared" si="1356"/>
        <v>0</v>
      </c>
      <c r="AG323" s="21">
        <f t="shared" si="1356"/>
        <v>0</v>
      </c>
      <c r="AH323" s="21">
        <f t="shared" ref="AH323:AO323" si="1357">IF($F$290, 0, IF($C$296, IF(AND(COLUMN($AH$323)-COLUMN($B$319)=$Q$291,ROW($AH$323)-ROW($B$319)=$K$291), U$290, AH323), AH323))</f>
        <v>0</v>
      </c>
      <c r="AI323" s="21">
        <f t="shared" si="1357"/>
        <v>0</v>
      </c>
      <c r="AJ323" s="21">
        <f t="shared" si="1357"/>
        <v>0</v>
      </c>
      <c r="AK323" s="21">
        <f t="shared" si="1357"/>
        <v>0</v>
      </c>
      <c r="AL323" s="21">
        <f t="shared" si="1357"/>
        <v>0</v>
      </c>
      <c r="AM323" s="21">
        <f t="shared" si="1357"/>
        <v>0</v>
      </c>
      <c r="AN323" s="21">
        <f t="shared" si="1357"/>
        <v>0</v>
      </c>
      <c r="AO323" s="21">
        <f t="shared" si="1357"/>
        <v>0</v>
      </c>
      <c r="AP323" s="21">
        <f t="shared" ref="AP323:AW323" si="1358">IF($F$290, 0, IF($C$296, IF(AND(COLUMN($AP$323)-COLUMN($B$319)=$Q$291,ROW($AP$323)-ROW($B$319)=$K$291), U$290, AP323), AP323))</f>
        <v>0</v>
      </c>
      <c r="AQ323" s="21">
        <f t="shared" si="1358"/>
        <v>0</v>
      </c>
      <c r="AR323" s="21">
        <f t="shared" si="1358"/>
        <v>0</v>
      </c>
      <c r="AS323" s="21">
        <f t="shared" si="1358"/>
        <v>0</v>
      </c>
      <c r="AT323" s="21">
        <f t="shared" si="1358"/>
        <v>0</v>
      </c>
      <c r="AU323" s="21">
        <f t="shared" si="1358"/>
        <v>0</v>
      </c>
      <c r="AV323" s="21">
        <f t="shared" si="1358"/>
        <v>0</v>
      </c>
      <c r="AW323" s="21">
        <f t="shared" si="1358"/>
        <v>0</v>
      </c>
      <c r="AX323" s="21">
        <f t="shared" ref="AX323:BE323" si="1359">IF($F$290, 0, IF($C$296, IF(AND(COLUMN($AX$323)-COLUMN($B$319)=$Q$291,ROW($AX$323)-ROW($B$319)=$K$291), U$290, AX323), AX323))</f>
        <v>0</v>
      </c>
      <c r="AY323" s="21">
        <f t="shared" si="1359"/>
        <v>0</v>
      </c>
      <c r="AZ323" s="21">
        <f t="shared" si="1359"/>
        <v>0</v>
      </c>
      <c r="BA323" s="21">
        <f t="shared" si="1359"/>
        <v>0</v>
      </c>
      <c r="BB323" s="21">
        <f t="shared" si="1359"/>
        <v>0</v>
      </c>
      <c r="BC323" s="21">
        <f t="shared" si="1359"/>
        <v>0</v>
      </c>
      <c r="BD323" s="21">
        <f t="shared" si="1359"/>
        <v>0</v>
      </c>
      <c r="BE323" s="21">
        <f t="shared" si="1359"/>
        <v>0</v>
      </c>
      <c r="BF323" s="21">
        <f t="shared" ref="BF323:BM323" si="1360">IF($F$290, 0, IF($C$296, IF(AND(COLUMN($BF$323)-COLUMN($B$319)=$Q$291,ROW($BF$323)-ROW($B$319)=$K$291), U$290, BF323), BF323))</f>
        <v>0</v>
      </c>
      <c r="BG323" s="21">
        <f t="shared" si="1360"/>
        <v>0</v>
      </c>
      <c r="BH323" s="21">
        <f t="shared" si="1360"/>
        <v>0</v>
      </c>
      <c r="BI323" s="21">
        <f t="shared" si="1360"/>
        <v>0</v>
      </c>
      <c r="BJ323" s="21">
        <f t="shared" si="1360"/>
        <v>0</v>
      </c>
      <c r="BK323" s="21">
        <f t="shared" si="1360"/>
        <v>0</v>
      </c>
      <c r="BL323" s="21">
        <f t="shared" si="1360"/>
        <v>0</v>
      </c>
      <c r="BM323" s="21">
        <f t="shared" si="1360"/>
        <v>0</v>
      </c>
      <c r="BN323" s="21">
        <f t="shared" ref="BN323:BU323" si="1361">IF($F$290, 0, IF($D$296, IF(AND(COLUMN($BN$323)-COLUMN($BN$319)=$Q$291,ROW($BN$323)-ROW($BN$319)=$K$291), U$290, BN323), BN323))</f>
        <v>0</v>
      </c>
      <c r="BO323" s="21">
        <f t="shared" si="1361"/>
        <v>0</v>
      </c>
      <c r="BP323" s="21">
        <f t="shared" si="1361"/>
        <v>0</v>
      </c>
      <c r="BQ323" s="21">
        <f t="shared" si="1361"/>
        <v>0</v>
      </c>
      <c r="BR323" s="21">
        <f t="shared" si="1361"/>
        <v>0</v>
      </c>
      <c r="BS323" s="21">
        <f t="shared" si="1361"/>
        <v>0</v>
      </c>
      <c r="BT323" s="21">
        <f t="shared" si="1361"/>
        <v>0</v>
      </c>
      <c r="BU323" s="21">
        <f t="shared" si="1361"/>
        <v>0</v>
      </c>
      <c r="BV323" s="21">
        <f t="shared" ref="BV323:CC323" si="1362">IF($F$290, 0, IF($D$296, IF(AND(COLUMN($BV$323)-COLUMN($BN$319)=$Q$291,ROW($BV$323)-ROW($BN$319)=$K$291), U$290, BV323), BV323))</f>
        <v>0</v>
      </c>
      <c r="BW323" s="21">
        <f t="shared" si="1362"/>
        <v>0</v>
      </c>
      <c r="BX323" s="21">
        <f t="shared" si="1362"/>
        <v>0</v>
      </c>
      <c r="BY323" s="21">
        <f t="shared" si="1362"/>
        <v>0</v>
      </c>
      <c r="BZ323" s="21">
        <f t="shared" si="1362"/>
        <v>0</v>
      </c>
      <c r="CA323" s="21">
        <f t="shared" si="1362"/>
        <v>0</v>
      </c>
      <c r="CB323" s="21">
        <f t="shared" si="1362"/>
        <v>0</v>
      </c>
      <c r="CC323" s="21">
        <f t="shared" si="1362"/>
        <v>0</v>
      </c>
      <c r="CD323" s="21">
        <f t="shared" ref="CD323:CK323" si="1363">IF($F$290, 0, IF($D$296, IF(AND(COLUMN($CD$323)-COLUMN($BN$319)=$Q$291,ROW($CD$323)-ROW($BN$319)=$K$291), U$290, CD323), CD323))</f>
        <v>0</v>
      </c>
      <c r="CE323" s="21">
        <f t="shared" si="1363"/>
        <v>0</v>
      </c>
      <c r="CF323" s="21">
        <f t="shared" si="1363"/>
        <v>0</v>
      </c>
      <c r="CG323" s="21">
        <f t="shared" si="1363"/>
        <v>0</v>
      </c>
      <c r="CH323" s="21">
        <f t="shared" si="1363"/>
        <v>0</v>
      </c>
      <c r="CI323" s="21">
        <f t="shared" si="1363"/>
        <v>0</v>
      </c>
      <c r="CJ323" s="21">
        <f t="shared" si="1363"/>
        <v>0</v>
      </c>
      <c r="CK323" s="21">
        <f t="shared" si="1363"/>
        <v>0</v>
      </c>
      <c r="CL323" s="21">
        <f t="shared" ref="CL323:CS323" si="1364">IF($F$290, 0, IF($D$296, IF(AND(COLUMN($CL$323)-COLUMN($BN$319)=$Q$291,ROW($CL$323)-ROW($BN$319)=$K$291), U$290, CL323), CL323))</f>
        <v>0</v>
      </c>
      <c r="CM323" s="21">
        <f t="shared" si="1364"/>
        <v>0</v>
      </c>
      <c r="CN323" s="21">
        <f t="shared" si="1364"/>
        <v>0</v>
      </c>
      <c r="CO323" s="21">
        <f t="shared" si="1364"/>
        <v>0</v>
      </c>
      <c r="CP323" s="21">
        <f t="shared" si="1364"/>
        <v>0</v>
      </c>
      <c r="CQ323" s="21">
        <f t="shared" si="1364"/>
        <v>0</v>
      </c>
      <c r="CR323" s="21">
        <f t="shared" si="1364"/>
        <v>0</v>
      </c>
      <c r="CS323" s="21">
        <f t="shared" si="1364"/>
        <v>0</v>
      </c>
      <c r="CT323" s="21">
        <f t="shared" ref="CT323:DA323" si="1365">IF($F$290, 0, IF($D$296, IF(AND(COLUMN($CT$323)-COLUMN($BN$319)=$Q$291,ROW($CT$323)-ROW($BN$319)=$K$291), U$290, CT323), CT323))</f>
        <v>0</v>
      </c>
      <c r="CU323" s="21">
        <f t="shared" si="1365"/>
        <v>0</v>
      </c>
      <c r="CV323" s="21">
        <f t="shared" si="1365"/>
        <v>0</v>
      </c>
      <c r="CW323" s="21">
        <f t="shared" si="1365"/>
        <v>0</v>
      </c>
      <c r="CX323" s="21">
        <f t="shared" si="1365"/>
        <v>0</v>
      </c>
      <c r="CY323" s="21">
        <f t="shared" si="1365"/>
        <v>0</v>
      </c>
      <c r="CZ323" s="21">
        <f t="shared" si="1365"/>
        <v>0</v>
      </c>
      <c r="DA323" s="21">
        <f t="shared" si="1365"/>
        <v>0</v>
      </c>
      <c r="DB323" s="21">
        <f t="shared" ref="DB323:DI323" si="1366">IF($F$290, 0, IF($D$296, IF(AND(COLUMN($DB$323)-COLUMN($BN$319)=$Q$291,ROW($DB$323)-ROW($BN$319)=$K$291), U$290, DB323), DB323))</f>
        <v>0</v>
      </c>
      <c r="DC323" s="21">
        <f t="shared" si="1366"/>
        <v>0</v>
      </c>
      <c r="DD323" s="21">
        <f t="shared" si="1366"/>
        <v>0</v>
      </c>
      <c r="DE323" s="21">
        <f t="shared" si="1366"/>
        <v>0</v>
      </c>
      <c r="DF323" s="21">
        <f t="shared" si="1366"/>
        <v>0</v>
      </c>
      <c r="DG323" s="21">
        <f t="shared" si="1366"/>
        <v>0</v>
      </c>
      <c r="DH323" s="21">
        <f t="shared" si="1366"/>
        <v>0</v>
      </c>
      <c r="DI323" s="21">
        <f t="shared" si="1366"/>
        <v>0</v>
      </c>
      <c r="DJ323" s="21">
        <f t="shared" ref="DJ323:DQ323" si="1367">IF($F$290, 0, IF($D$296, IF(AND(COLUMN($DJ$323)-COLUMN($BN$319)=$Q$291,ROW($DJ$323)-ROW($BN$319)=$K$291), U$290, DJ323), DJ323))</f>
        <v>0</v>
      </c>
      <c r="DK323" s="21">
        <f t="shared" si="1367"/>
        <v>0</v>
      </c>
      <c r="DL323" s="21">
        <f t="shared" si="1367"/>
        <v>0</v>
      </c>
      <c r="DM323" s="21">
        <f t="shared" si="1367"/>
        <v>0</v>
      </c>
      <c r="DN323" s="21">
        <f t="shared" si="1367"/>
        <v>0</v>
      </c>
      <c r="DO323" s="21">
        <f t="shared" si="1367"/>
        <v>0</v>
      </c>
      <c r="DP323" s="21">
        <f t="shared" si="1367"/>
        <v>0</v>
      </c>
      <c r="DQ323" s="21">
        <f t="shared" si="1367"/>
        <v>0</v>
      </c>
      <c r="DR323" s="21">
        <f t="shared" ref="DR323:DY323" si="1368">IF($F$290, 0, IF($D$296, IF(AND(COLUMN($DR$323)-COLUMN($BN$319)=$Q$291,ROW($DR$323)-ROW($BN$319)=$K$291), U$290, DR323), DR323))</f>
        <v>0</v>
      </c>
      <c r="DS323" s="21">
        <f t="shared" si="1368"/>
        <v>0</v>
      </c>
      <c r="DT323" s="21">
        <f t="shared" si="1368"/>
        <v>0</v>
      </c>
      <c r="DU323" s="21">
        <f t="shared" si="1368"/>
        <v>0</v>
      </c>
      <c r="DV323" s="21">
        <f t="shared" si="1368"/>
        <v>0</v>
      </c>
      <c r="DW323" s="21">
        <f t="shared" si="1368"/>
        <v>0</v>
      </c>
      <c r="DX323" s="21">
        <f t="shared" si="1368"/>
        <v>0</v>
      </c>
      <c r="DY323" s="21">
        <f t="shared" si="1368"/>
        <v>0</v>
      </c>
      <c r="DZ323" s="21">
        <f t="shared" ref="DZ323:EG323" si="1369">IF($F$290, 0, IF($E$296, IF(AND(COLUMN($DZ$323)-COLUMN($DZ$319)=$Q$291,ROW($DZ$323)-ROW($DZ$319)=$K$291), U$290, DZ323), DZ323))</f>
        <v>0</v>
      </c>
      <c r="EA323" s="21">
        <f t="shared" si="1369"/>
        <v>0</v>
      </c>
      <c r="EB323" s="21">
        <f t="shared" si="1369"/>
        <v>0</v>
      </c>
      <c r="EC323" s="21">
        <f t="shared" si="1369"/>
        <v>0</v>
      </c>
      <c r="ED323" s="21">
        <f t="shared" si="1369"/>
        <v>0</v>
      </c>
      <c r="EE323" s="21">
        <f t="shared" si="1369"/>
        <v>0</v>
      </c>
      <c r="EF323" s="21">
        <f t="shared" si="1369"/>
        <v>0</v>
      </c>
      <c r="EG323" s="21">
        <f t="shared" si="1369"/>
        <v>0</v>
      </c>
      <c r="EH323" s="21">
        <f t="shared" ref="EH323:EO323" si="1370">IF($F$290, 0, IF($E$296, IF(AND(COLUMN($EH$323)-COLUMN($DZ$319)=$Q$291,ROW($EH$323)-ROW($DZ$319)=$K$291), U$290, EH323), EH323))</f>
        <v>0</v>
      </c>
      <c r="EI323" s="21">
        <f t="shared" si="1370"/>
        <v>0</v>
      </c>
      <c r="EJ323" s="21">
        <f t="shared" si="1370"/>
        <v>0</v>
      </c>
      <c r="EK323" s="21">
        <f t="shared" si="1370"/>
        <v>0</v>
      </c>
      <c r="EL323" s="21">
        <f t="shared" si="1370"/>
        <v>0</v>
      </c>
      <c r="EM323" s="21">
        <f t="shared" si="1370"/>
        <v>0</v>
      </c>
      <c r="EN323" s="21">
        <f t="shared" si="1370"/>
        <v>0</v>
      </c>
      <c r="EO323" s="21">
        <f t="shared" si="1370"/>
        <v>0</v>
      </c>
      <c r="EP323" s="21">
        <f t="shared" ref="EP323:EW323" si="1371">IF($F$290, 0, IF($E$296, IF(AND(COLUMN($EP$323)-COLUMN($DZ$319)=$Q$291,ROW($EP$323)-ROW($DZ$319)=$K$291), U$290, EP323), EP323))</f>
        <v>0</v>
      </c>
      <c r="EQ323" s="21">
        <f t="shared" si="1371"/>
        <v>0</v>
      </c>
      <c r="ER323" s="21">
        <f t="shared" si="1371"/>
        <v>0</v>
      </c>
      <c r="ES323" s="21">
        <f t="shared" si="1371"/>
        <v>0</v>
      </c>
      <c r="ET323" s="21">
        <f t="shared" si="1371"/>
        <v>0</v>
      </c>
      <c r="EU323" s="21">
        <f t="shared" si="1371"/>
        <v>0</v>
      </c>
      <c r="EV323" s="21">
        <f t="shared" si="1371"/>
        <v>0</v>
      </c>
      <c r="EW323" s="21">
        <f t="shared" si="1371"/>
        <v>0</v>
      </c>
      <c r="EX323" s="21">
        <f t="shared" ref="EX323:FE323" si="1372">IF($F$290, 0, IF($E$296, IF(AND(COLUMN($EX$323)-COLUMN($DZ$319)=$Q$291,ROW($EX$323)-ROW($DZ$319)=$K$291), U$290, EX323), EX323))</f>
        <v>0</v>
      </c>
      <c r="EY323" s="21">
        <f t="shared" si="1372"/>
        <v>0</v>
      </c>
      <c r="EZ323" s="21">
        <f t="shared" si="1372"/>
        <v>0</v>
      </c>
      <c r="FA323" s="21">
        <f t="shared" si="1372"/>
        <v>0</v>
      </c>
      <c r="FB323" s="21">
        <f t="shared" si="1372"/>
        <v>0</v>
      </c>
      <c r="FC323" s="21">
        <f t="shared" si="1372"/>
        <v>0</v>
      </c>
      <c r="FD323" s="21">
        <f t="shared" si="1372"/>
        <v>0</v>
      </c>
      <c r="FE323" s="21">
        <f t="shared" si="1372"/>
        <v>0</v>
      </c>
      <c r="FF323" s="21">
        <f t="shared" ref="FF323:FM323" si="1373">IF($F$290, 0, IF($E$296, IF(AND(COLUMN($FF$323)-COLUMN($DZ$319)=$Q$291,ROW($FF$323)-ROW($DZ$319)=$K$291), U$290, FF323), FF323))</f>
        <v>0</v>
      </c>
      <c r="FG323" s="21">
        <f t="shared" si="1373"/>
        <v>0</v>
      </c>
      <c r="FH323" s="21">
        <f t="shared" si="1373"/>
        <v>0</v>
      </c>
      <c r="FI323" s="21">
        <f t="shared" si="1373"/>
        <v>0</v>
      </c>
      <c r="FJ323" s="21">
        <f t="shared" si="1373"/>
        <v>0</v>
      </c>
      <c r="FK323" s="21">
        <f t="shared" si="1373"/>
        <v>0</v>
      </c>
      <c r="FL323" s="21">
        <f t="shared" si="1373"/>
        <v>0</v>
      </c>
      <c r="FM323" s="21">
        <f t="shared" si="1373"/>
        <v>0</v>
      </c>
      <c r="FN323" s="21">
        <f t="shared" ref="FN323:FU323" si="1374">IF($F$290, 0, IF($E$296, IF(AND(COLUMN($FN$323)-COLUMN($DZ$319)=$Q$291,ROW($FN$323)-ROW($DZ$319)=$K$291), U$290, FN323), FN323))</f>
        <v>0</v>
      </c>
      <c r="FO323" s="21">
        <f t="shared" si="1374"/>
        <v>0</v>
      </c>
      <c r="FP323" s="21">
        <f t="shared" si="1374"/>
        <v>0</v>
      </c>
      <c r="FQ323" s="21">
        <f t="shared" si="1374"/>
        <v>0</v>
      </c>
      <c r="FR323" s="21">
        <f t="shared" si="1374"/>
        <v>0</v>
      </c>
      <c r="FS323" s="21">
        <f t="shared" si="1374"/>
        <v>0</v>
      </c>
      <c r="FT323" s="21">
        <f t="shared" si="1374"/>
        <v>0</v>
      </c>
      <c r="FU323" s="21">
        <f t="shared" si="1374"/>
        <v>0</v>
      </c>
      <c r="FV323" s="21">
        <f t="shared" ref="FV323:GC323" si="1375">IF($F$290, 0, IF($E$296, IF(AND(COLUMN($FV$323)-COLUMN($DZ$319)=$Q$291,ROW($FV$323)-ROW($DZ$319)=$K$291), U$290, FV323), FV323))</f>
        <v>0</v>
      </c>
      <c r="FW323" s="21">
        <f t="shared" si="1375"/>
        <v>0</v>
      </c>
      <c r="FX323" s="21">
        <f t="shared" si="1375"/>
        <v>0</v>
      </c>
      <c r="FY323" s="21">
        <f t="shared" si="1375"/>
        <v>0</v>
      </c>
      <c r="FZ323" s="21">
        <f t="shared" si="1375"/>
        <v>0</v>
      </c>
      <c r="GA323" s="21">
        <f t="shared" si="1375"/>
        <v>0</v>
      </c>
      <c r="GB323" s="21">
        <f t="shared" si="1375"/>
        <v>0</v>
      </c>
      <c r="GC323" s="21">
        <f t="shared" si="1375"/>
        <v>0</v>
      </c>
      <c r="GD323" s="21">
        <f t="shared" ref="GD323:GK323" si="1376">IF($F$290, 0, IF($E$296, IF(AND(COLUMN($GD$323)-COLUMN($DZ$319)=$Q$291,ROW($GD$323)-ROW($DZ$319)=$K$291), U$290, GD323), GD323))</f>
        <v>0</v>
      </c>
      <c r="GE323" s="21">
        <f t="shared" si="1376"/>
        <v>0</v>
      </c>
      <c r="GF323" s="21">
        <f t="shared" si="1376"/>
        <v>0</v>
      </c>
      <c r="GG323" s="21">
        <f t="shared" si="1376"/>
        <v>0</v>
      </c>
      <c r="GH323" s="21">
        <f t="shared" si="1376"/>
        <v>0</v>
      </c>
      <c r="GI323" s="21">
        <f t="shared" si="1376"/>
        <v>0</v>
      </c>
      <c r="GJ323" s="21">
        <f t="shared" si="1376"/>
        <v>0</v>
      </c>
      <c r="GK323" s="21">
        <f t="shared" si="1376"/>
        <v>0</v>
      </c>
      <c r="GL323" s="21">
        <f t="shared" ref="GL323:GS323" si="1377">IF($F$290, 0, IF($F$296, IF(AND(COLUMN($GL$323)-COLUMN($GL$319)=$Q$291,ROW($GL$323)-ROW($GL$319)=$K$291), U$290, GL323), GL323))</f>
        <v>0</v>
      </c>
      <c r="GM323" s="21">
        <f t="shared" si="1377"/>
        <v>0</v>
      </c>
      <c r="GN323" s="21">
        <f t="shared" si="1377"/>
        <v>0</v>
      </c>
      <c r="GO323" s="21">
        <f t="shared" si="1377"/>
        <v>0</v>
      </c>
      <c r="GP323" s="21">
        <f t="shared" si="1377"/>
        <v>0</v>
      </c>
      <c r="GQ323" s="21">
        <f t="shared" si="1377"/>
        <v>0</v>
      </c>
      <c r="GR323" s="21">
        <f t="shared" si="1377"/>
        <v>0</v>
      </c>
      <c r="GS323" s="21">
        <f t="shared" si="1377"/>
        <v>0</v>
      </c>
      <c r="GT323" s="21">
        <f t="shared" ref="GT323:HA323" si="1378">IF($F$290, 0, IF($F$296, IF(AND(COLUMN($GT$323)-COLUMN($GL$319)=$Q$291,ROW($GT$323)-ROW($GL$319)=$K$291), U$290, GT323), GT323))</f>
        <v>0</v>
      </c>
      <c r="GU323" s="21">
        <f t="shared" si="1378"/>
        <v>0</v>
      </c>
      <c r="GV323" s="21">
        <f t="shared" si="1378"/>
        <v>0</v>
      </c>
      <c r="GW323" s="21">
        <f t="shared" si="1378"/>
        <v>0</v>
      </c>
      <c r="GX323" s="21">
        <f t="shared" si="1378"/>
        <v>0</v>
      </c>
      <c r="GY323" s="21">
        <f t="shared" si="1378"/>
        <v>0</v>
      </c>
      <c r="GZ323" s="21">
        <f t="shared" si="1378"/>
        <v>0</v>
      </c>
      <c r="HA323" s="21">
        <f t="shared" si="1378"/>
        <v>0</v>
      </c>
      <c r="HB323" s="21">
        <f t="shared" ref="HB323:HI323" si="1379">IF($F$290, 0, IF($F$296, IF(AND(COLUMN($HB$323)-COLUMN($GL$319)=$Q$291,ROW($HB$323)-ROW($GL$319)=$K$291), U$290, HB323), HB323))</f>
        <v>0</v>
      </c>
      <c r="HC323" s="21">
        <f t="shared" si="1379"/>
        <v>0</v>
      </c>
      <c r="HD323" s="21">
        <f t="shared" si="1379"/>
        <v>0</v>
      </c>
      <c r="HE323" s="21">
        <f t="shared" si="1379"/>
        <v>0</v>
      </c>
      <c r="HF323" s="21">
        <f t="shared" si="1379"/>
        <v>0</v>
      </c>
      <c r="HG323" s="21">
        <f t="shared" si="1379"/>
        <v>0</v>
      </c>
      <c r="HH323" s="21">
        <f t="shared" si="1379"/>
        <v>0</v>
      </c>
      <c r="HI323" s="21">
        <f t="shared" si="1379"/>
        <v>0</v>
      </c>
      <c r="HJ323" s="21">
        <f t="shared" ref="HJ323:HQ323" si="1380">IF($F$290, 0, IF($F$296, IF(AND(COLUMN($HJ$323)-COLUMN($GL$319)=$Q$291,ROW($HJ$323)-ROW($GL$319)=$K$291), U$290, HJ323), HJ323))</f>
        <v>0</v>
      </c>
      <c r="HK323" s="21">
        <f t="shared" si="1380"/>
        <v>0</v>
      </c>
      <c r="HL323" s="21">
        <f t="shared" si="1380"/>
        <v>0</v>
      </c>
      <c r="HM323" s="21">
        <f t="shared" si="1380"/>
        <v>0</v>
      </c>
      <c r="HN323" s="21">
        <f t="shared" si="1380"/>
        <v>0</v>
      </c>
      <c r="HO323" s="21">
        <f t="shared" si="1380"/>
        <v>0</v>
      </c>
      <c r="HP323" s="21">
        <f t="shared" si="1380"/>
        <v>0</v>
      </c>
      <c r="HQ323" s="21">
        <f t="shared" si="1380"/>
        <v>0</v>
      </c>
      <c r="HR323" s="21">
        <f t="shared" ref="HR323:HY323" si="1381">IF($F$290, 0, IF($F$296, IF(AND(COLUMN($HR$323)-COLUMN($GL$319)=$Q$291,ROW($HR$323)-ROW($GL$319)=$K$291), U$290, HR323), HR323))</f>
        <v>0</v>
      </c>
      <c r="HS323" s="21">
        <f t="shared" si="1381"/>
        <v>0</v>
      </c>
      <c r="HT323" s="21">
        <f t="shared" si="1381"/>
        <v>0</v>
      </c>
      <c r="HU323" s="21">
        <f t="shared" si="1381"/>
        <v>0</v>
      </c>
      <c r="HV323" s="21">
        <f t="shared" si="1381"/>
        <v>0</v>
      </c>
      <c r="HW323" s="21">
        <f t="shared" si="1381"/>
        <v>0</v>
      </c>
      <c r="HX323" s="21">
        <f t="shared" si="1381"/>
        <v>0</v>
      </c>
      <c r="HY323" s="21">
        <f t="shared" si="1381"/>
        <v>0</v>
      </c>
      <c r="HZ323" s="21">
        <f t="shared" ref="HZ323:IG323" si="1382">IF($F$290, 0, IF($F$296, IF(AND(COLUMN($HZ$323)-COLUMN($GL$319)=$Q$291,ROW($HZ$323)-ROW($GL$319)=$K$291), U$290, HZ323), HZ323))</f>
        <v>0</v>
      </c>
      <c r="IA323" s="21">
        <f t="shared" si="1382"/>
        <v>0</v>
      </c>
      <c r="IB323" s="21">
        <f t="shared" si="1382"/>
        <v>0</v>
      </c>
      <c r="IC323" s="21">
        <f t="shared" si="1382"/>
        <v>0</v>
      </c>
      <c r="ID323" s="21">
        <f t="shared" si="1382"/>
        <v>0</v>
      </c>
      <c r="IE323" s="21">
        <f t="shared" si="1382"/>
        <v>0</v>
      </c>
      <c r="IF323" s="21">
        <f t="shared" si="1382"/>
        <v>0</v>
      </c>
      <c r="IG323" s="21">
        <f t="shared" si="1382"/>
        <v>0</v>
      </c>
      <c r="IH323" s="21">
        <f t="shared" ref="IH323:IO323" si="1383">IF($F$290, 0, IF($F$296, IF(AND(COLUMN($IH$323)-COLUMN($GL$319)=$Q$291,ROW($IH$323)-ROW($GL$319)=$K$291), U$290, IH323), IH323))</f>
        <v>0</v>
      </c>
      <c r="II323" s="21">
        <f t="shared" si="1383"/>
        <v>0</v>
      </c>
      <c r="IJ323" s="21">
        <f t="shared" si="1383"/>
        <v>0</v>
      </c>
      <c r="IK323" s="21">
        <f t="shared" si="1383"/>
        <v>0</v>
      </c>
      <c r="IL323" s="21">
        <f t="shared" si="1383"/>
        <v>0</v>
      </c>
      <c r="IM323" s="21">
        <f t="shared" si="1383"/>
        <v>0</v>
      </c>
      <c r="IN323" s="21">
        <f t="shared" si="1383"/>
        <v>0</v>
      </c>
      <c r="IO323" s="21">
        <f t="shared" si="1383"/>
        <v>0</v>
      </c>
      <c r="IP323" s="21">
        <f t="shared" ref="IP323:IW323" si="1384">IF($F$290, 0, IF($F$296, IF(AND(COLUMN($IP$323)-COLUMN($GL$319)=$Q$291,ROW($IP$323)-ROW($GL$319)=$K$291), U$290, IP323), IP323))</f>
        <v>0</v>
      </c>
      <c r="IQ323" s="21">
        <f t="shared" si="1384"/>
        <v>0</v>
      </c>
      <c r="IR323" s="21">
        <f t="shared" si="1384"/>
        <v>0</v>
      </c>
      <c r="IS323" s="21">
        <f t="shared" si="1384"/>
        <v>0</v>
      </c>
      <c r="IT323" s="21">
        <f t="shared" si="1384"/>
        <v>0</v>
      </c>
      <c r="IU323" s="21">
        <f t="shared" si="1384"/>
        <v>0</v>
      </c>
      <c r="IV323" s="21">
        <f t="shared" si="1384"/>
        <v>0</v>
      </c>
      <c r="IW323" s="21">
        <f t="shared" si="1384"/>
        <v>0</v>
      </c>
      <c r="IX323" s="21">
        <f t="shared" ref="IX323:JE323" si="1385">IF($F$290, 0, IF($G$296, IF(AND(COLUMN($IX$323)-COLUMN($IX$319)=$Q$291,ROW($IX$323)-ROW($IX$319)=$K$291), U$290, IX323), IX323))</f>
        <v>0</v>
      </c>
      <c r="IY323" s="21">
        <f t="shared" si="1385"/>
        <v>0</v>
      </c>
      <c r="IZ323" s="21">
        <f t="shared" si="1385"/>
        <v>0</v>
      </c>
      <c r="JA323" s="21">
        <f t="shared" si="1385"/>
        <v>0</v>
      </c>
      <c r="JB323" s="21">
        <f t="shared" si="1385"/>
        <v>0</v>
      </c>
      <c r="JC323" s="21">
        <f t="shared" si="1385"/>
        <v>0</v>
      </c>
      <c r="JD323" s="21">
        <f t="shared" si="1385"/>
        <v>0</v>
      </c>
      <c r="JE323" s="21">
        <f t="shared" si="1385"/>
        <v>0</v>
      </c>
      <c r="JF323" s="21">
        <f t="shared" ref="JF323:JM323" si="1386">IF($F$290, 0, IF($G$296, IF(AND(COLUMN($JF$323)-COLUMN($IX$319)=$Q$291,ROW($JF$323)-ROW($IX$319)=$K$291), U$290, JF323), JF323))</f>
        <v>0</v>
      </c>
      <c r="JG323" s="21">
        <f t="shared" si="1386"/>
        <v>0</v>
      </c>
      <c r="JH323" s="21">
        <f t="shared" si="1386"/>
        <v>0</v>
      </c>
      <c r="JI323" s="21">
        <f t="shared" si="1386"/>
        <v>0</v>
      </c>
      <c r="JJ323" s="21">
        <f t="shared" si="1386"/>
        <v>0</v>
      </c>
      <c r="JK323" s="21">
        <f t="shared" si="1386"/>
        <v>0</v>
      </c>
      <c r="JL323" s="21">
        <f t="shared" si="1386"/>
        <v>0</v>
      </c>
      <c r="JM323" s="21">
        <f t="shared" si="1386"/>
        <v>0</v>
      </c>
      <c r="JN323" s="21">
        <f t="shared" ref="JN323:JU323" si="1387">IF($F$290, 0, IF($G$296, IF(AND(COLUMN($JN$323)-COLUMN($IX$319)=$Q$291,ROW($JN$323)-ROW($IX$319)=$K$291), U$290, JN323), JN323))</f>
        <v>0</v>
      </c>
      <c r="JO323" s="21">
        <f t="shared" si="1387"/>
        <v>0</v>
      </c>
      <c r="JP323" s="21">
        <f t="shared" si="1387"/>
        <v>0</v>
      </c>
      <c r="JQ323" s="21">
        <f t="shared" si="1387"/>
        <v>0</v>
      </c>
      <c r="JR323" s="21">
        <f t="shared" si="1387"/>
        <v>0</v>
      </c>
      <c r="JS323" s="21">
        <f t="shared" si="1387"/>
        <v>0</v>
      </c>
      <c r="JT323" s="21">
        <f t="shared" si="1387"/>
        <v>0</v>
      </c>
      <c r="JU323" s="21">
        <f t="shared" si="1387"/>
        <v>0</v>
      </c>
      <c r="JV323" s="21">
        <f t="shared" ref="JV323:KC323" si="1388">IF($F$290, 0, IF($G$296, IF(AND(COLUMN($JV$323)-COLUMN($IX$319)=$Q$291,ROW($JV$323)-ROW($IX$319)=$K$291), U$290, JV323), JV323))</f>
        <v>0</v>
      </c>
      <c r="JW323" s="21">
        <f t="shared" si="1388"/>
        <v>0</v>
      </c>
      <c r="JX323" s="21">
        <f t="shared" si="1388"/>
        <v>0</v>
      </c>
      <c r="JY323" s="21">
        <f t="shared" si="1388"/>
        <v>0</v>
      </c>
      <c r="JZ323" s="21">
        <f t="shared" si="1388"/>
        <v>0</v>
      </c>
      <c r="KA323" s="21">
        <f t="shared" si="1388"/>
        <v>0</v>
      </c>
      <c r="KB323" s="21">
        <f t="shared" si="1388"/>
        <v>0</v>
      </c>
      <c r="KC323" s="21">
        <f t="shared" si="1388"/>
        <v>0</v>
      </c>
      <c r="KD323" s="21">
        <f t="shared" ref="KD323:KK323" si="1389">IF($F$290, 0, IF($G$296, IF(AND(COLUMN($KD$323)-COLUMN($IX$319)=$Q$291,ROW($KD$323)-ROW($IX$319)=$K$291), U$290, KD323), KD323))</f>
        <v>0</v>
      </c>
      <c r="KE323" s="21">
        <f t="shared" si="1389"/>
        <v>0</v>
      </c>
      <c r="KF323" s="21">
        <f t="shared" si="1389"/>
        <v>0</v>
      </c>
      <c r="KG323" s="21">
        <f t="shared" si="1389"/>
        <v>0</v>
      </c>
      <c r="KH323" s="21">
        <f t="shared" si="1389"/>
        <v>0</v>
      </c>
      <c r="KI323" s="21">
        <f t="shared" si="1389"/>
        <v>0</v>
      </c>
      <c r="KJ323" s="21">
        <f t="shared" si="1389"/>
        <v>0</v>
      </c>
      <c r="KK323" s="21">
        <f t="shared" si="1389"/>
        <v>0</v>
      </c>
      <c r="KL323" s="21">
        <f t="shared" ref="KL323:KS323" si="1390">IF($F$290, 0, IF($G$296, IF(AND(COLUMN($KL$323)-COLUMN($IX$319)=$Q$291,ROW($KL$323)-ROW($IX$319)=$K$291), U$290, KL323), KL323))</f>
        <v>0</v>
      </c>
      <c r="KM323" s="21">
        <f t="shared" si="1390"/>
        <v>0</v>
      </c>
      <c r="KN323" s="21">
        <f t="shared" si="1390"/>
        <v>0</v>
      </c>
      <c r="KO323" s="21">
        <f t="shared" si="1390"/>
        <v>0</v>
      </c>
      <c r="KP323" s="21">
        <f t="shared" si="1390"/>
        <v>0</v>
      </c>
      <c r="KQ323" s="21">
        <f t="shared" si="1390"/>
        <v>0</v>
      </c>
      <c r="KR323" s="21">
        <f t="shared" si="1390"/>
        <v>0</v>
      </c>
      <c r="KS323" s="21">
        <f t="shared" si="1390"/>
        <v>0</v>
      </c>
      <c r="KT323" s="21">
        <f t="shared" ref="KT323:LA323" si="1391">IF($F$290, 0, IF($G$296, IF(AND(COLUMN($KT$323)-COLUMN($IX$319)=$Q$291,ROW($KT$323)-ROW($IX$319)=$K$291), U$290, KT323), KT323))</f>
        <v>0</v>
      </c>
      <c r="KU323" s="21">
        <f t="shared" si="1391"/>
        <v>0</v>
      </c>
      <c r="KV323" s="21">
        <f t="shared" si="1391"/>
        <v>0</v>
      </c>
      <c r="KW323" s="21">
        <f t="shared" si="1391"/>
        <v>0</v>
      </c>
      <c r="KX323" s="21">
        <f t="shared" si="1391"/>
        <v>0</v>
      </c>
      <c r="KY323" s="21">
        <f t="shared" si="1391"/>
        <v>0</v>
      </c>
      <c r="KZ323" s="21">
        <f t="shared" si="1391"/>
        <v>0</v>
      </c>
      <c r="LA323" s="21">
        <f t="shared" si="1391"/>
        <v>0</v>
      </c>
      <c r="LB323" s="21">
        <f t="shared" ref="LB323:LI323" si="1392">IF($F$290, 0, IF($G$296, IF(AND(COLUMN($LB$323)-COLUMN($IX$319)=$Q$291,ROW($LB$323)-ROW($IX$319)=$K$291), U$290, LB323), LB323))</f>
        <v>0</v>
      </c>
      <c r="LC323" s="21">
        <f t="shared" si="1392"/>
        <v>0</v>
      </c>
      <c r="LD323" s="21">
        <f t="shared" si="1392"/>
        <v>0</v>
      </c>
      <c r="LE323" s="21">
        <f t="shared" si="1392"/>
        <v>0</v>
      </c>
      <c r="LF323" s="21">
        <f t="shared" si="1392"/>
        <v>0</v>
      </c>
      <c r="LG323" s="21">
        <f t="shared" si="1392"/>
        <v>0</v>
      </c>
      <c r="LH323" s="21">
        <f t="shared" si="1392"/>
        <v>0</v>
      </c>
      <c r="LI323" s="21">
        <f t="shared" si="1392"/>
        <v>0</v>
      </c>
      <c r="LJ323" s="21">
        <f t="shared" ref="LJ323:LQ323" si="1393">IF($F$290, 0, IF($H$296, IF(AND(COLUMN($LJ$323)-COLUMN($LJ$319)=$Q$291,ROW($LJ$323)-ROW($LJ$319)=$K$291), U$290, LJ323), LJ323))</f>
        <v>0</v>
      </c>
      <c r="LK323" s="21">
        <f t="shared" si="1393"/>
        <v>0</v>
      </c>
      <c r="LL323" s="21">
        <f t="shared" si="1393"/>
        <v>0</v>
      </c>
      <c r="LM323" s="21">
        <f t="shared" si="1393"/>
        <v>0</v>
      </c>
      <c r="LN323" s="21">
        <f t="shared" si="1393"/>
        <v>0</v>
      </c>
      <c r="LO323" s="21">
        <f t="shared" si="1393"/>
        <v>0</v>
      </c>
      <c r="LP323" s="21">
        <f t="shared" si="1393"/>
        <v>0</v>
      </c>
      <c r="LQ323" s="21">
        <f t="shared" si="1393"/>
        <v>0</v>
      </c>
      <c r="LR323" s="21">
        <f t="shared" ref="LR323:LY323" si="1394">IF($F$290, 0, IF($H$296, IF(AND(COLUMN($LR$323)-COLUMN($LJ$319)=$Q$291,ROW($LR$323)-ROW($LJ$319)=$K$291), U$290, LR323), LR323))</f>
        <v>0</v>
      </c>
      <c r="LS323" s="21">
        <f t="shared" si="1394"/>
        <v>0</v>
      </c>
      <c r="LT323" s="21">
        <f t="shared" si="1394"/>
        <v>0</v>
      </c>
      <c r="LU323" s="21">
        <f t="shared" si="1394"/>
        <v>0</v>
      </c>
      <c r="LV323" s="21">
        <f t="shared" si="1394"/>
        <v>0</v>
      </c>
      <c r="LW323" s="21">
        <f t="shared" si="1394"/>
        <v>0</v>
      </c>
      <c r="LX323" s="21">
        <f t="shared" si="1394"/>
        <v>0</v>
      </c>
      <c r="LY323" s="21">
        <f t="shared" si="1394"/>
        <v>0</v>
      </c>
      <c r="LZ323" s="21">
        <f t="shared" ref="LZ323:MG323" si="1395">IF($F$290, 0, IF($H$296, IF(AND(COLUMN($LZ$323)-COLUMN($LJ$319)=$Q$291,ROW($LZ$323)-ROW($LJ$319)=$K$291), U$290, LZ323), LZ323))</f>
        <v>0</v>
      </c>
      <c r="MA323" s="21">
        <f t="shared" si="1395"/>
        <v>0</v>
      </c>
      <c r="MB323" s="21">
        <f t="shared" si="1395"/>
        <v>0</v>
      </c>
      <c r="MC323" s="21">
        <f t="shared" si="1395"/>
        <v>0</v>
      </c>
      <c r="MD323" s="21">
        <f t="shared" si="1395"/>
        <v>0</v>
      </c>
      <c r="ME323" s="21">
        <f t="shared" si="1395"/>
        <v>0</v>
      </c>
      <c r="MF323" s="21">
        <f t="shared" si="1395"/>
        <v>0</v>
      </c>
      <c r="MG323" s="21">
        <f t="shared" si="1395"/>
        <v>0</v>
      </c>
      <c r="MH323" s="21">
        <f t="shared" ref="MH323:MO323" si="1396">IF($F$290, 0, IF($H$296, IF(AND(COLUMN($MH$323)-COLUMN($LJ$319)=$Q$291,ROW($MH$323)-ROW($LJ$319)=$K$291), U$290, MH323), MH323))</f>
        <v>0</v>
      </c>
      <c r="MI323" s="21">
        <f t="shared" si="1396"/>
        <v>0</v>
      </c>
      <c r="MJ323" s="21">
        <f t="shared" si="1396"/>
        <v>0</v>
      </c>
      <c r="MK323" s="21">
        <f t="shared" si="1396"/>
        <v>0</v>
      </c>
      <c r="ML323" s="21">
        <f t="shared" si="1396"/>
        <v>0</v>
      </c>
      <c r="MM323" s="21">
        <f t="shared" si="1396"/>
        <v>0</v>
      </c>
      <c r="MN323" s="21">
        <f t="shared" si="1396"/>
        <v>0</v>
      </c>
      <c r="MO323" s="21">
        <f t="shared" si="1396"/>
        <v>0</v>
      </c>
      <c r="MP323" s="21">
        <f t="shared" ref="MP323:MW323" si="1397">IF($F$290, 0, IF($H$296, IF(AND(COLUMN($MP$323)-COLUMN($LJ$319)=$Q$291,ROW($MP$323)-ROW($LJ$319)=$K$291), U$290, MP323), MP323))</f>
        <v>0</v>
      </c>
      <c r="MQ323" s="21">
        <f t="shared" si="1397"/>
        <v>0</v>
      </c>
      <c r="MR323" s="21">
        <f t="shared" si="1397"/>
        <v>0</v>
      </c>
      <c r="MS323" s="21">
        <f t="shared" si="1397"/>
        <v>0</v>
      </c>
      <c r="MT323" s="21">
        <f t="shared" si="1397"/>
        <v>0</v>
      </c>
      <c r="MU323" s="21">
        <f t="shared" si="1397"/>
        <v>0</v>
      </c>
      <c r="MV323" s="21">
        <f t="shared" si="1397"/>
        <v>0</v>
      </c>
      <c r="MW323" s="21">
        <f t="shared" si="1397"/>
        <v>0</v>
      </c>
      <c r="MX323" s="21">
        <f t="shared" ref="MX323:NE323" si="1398">IF($F$290, 0, IF($H$296, IF(AND(COLUMN($MX$323)-COLUMN($LJ$319)=$Q$291,ROW($MX$323)-ROW($LJ$319)=$K$291), U$290, MX323), MX323))</f>
        <v>0</v>
      </c>
      <c r="MY323" s="21">
        <f t="shared" si="1398"/>
        <v>0</v>
      </c>
      <c r="MZ323" s="21">
        <f t="shared" si="1398"/>
        <v>0</v>
      </c>
      <c r="NA323" s="21">
        <f t="shared" si="1398"/>
        <v>0</v>
      </c>
      <c r="NB323" s="21">
        <f t="shared" si="1398"/>
        <v>0</v>
      </c>
      <c r="NC323" s="21">
        <f t="shared" si="1398"/>
        <v>0</v>
      </c>
      <c r="ND323" s="21">
        <f t="shared" si="1398"/>
        <v>0</v>
      </c>
      <c r="NE323" s="21">
        <f t="shared" si="1398"/>
        <v>0</v>
      </c>
      <c r="NF323" s="21">
        <f t="shared" ref="NF323:NM323" si="1399">IF($F$290, 0, IF($H$296, IF(AND(COLUMN($NF$323)-COLUMN($LJ$319)=$Q$291,ROW($NF$323)-ROW($LJ$319)=$K$291), U$290, NF323), NF323))</f>
        <v>0</v>
      </c>
      <c r="NG323" s="21">
        <f t="shared" si="1399"/>
        <v>0</v>
      </c>
      <c r="NH323" s="21">
        <f t="shared" si="1399"/>
        <v>0</v>
      </c>
      <c r="NI323" s="21">
        <f t="shared" si="1399"/>
        <v>0</v>
      </c>
      <c r="NJ323" s="21">
        <f t="shared" si="1399"/>
        <v>0</v>
      </c>
      <c r="NK323" s="21">
        <f t="shared" si="1399"/>
        <v>0</v>
      </c>
      <c r="NL323" s="21">
        <f t="shared" si="1399"/>
        <v>0</v>
      </c>
      <c r="NM323" s="21">
        <f t="shared" si="1399"/>
        <v>0</v>
      </c>
      <c r="NN323" s="21">
        <f t="shared" ref="NN323:NU323" si="1400">IF($F$290, 0, IF($H$296, IF(AND(COLUMN($NN$323)-COLUMN($LJ$319)=$Q$291,ROW($NN$323)-ROW($LJ$319)=$K$291), U$290, NN323), NN323))</f>
        <v>0</v>
      </c>
      <c r="NO323" s="21">
        <f t="shared" si="1400"/>
        <v>0</v>
      </c>
      <c r="NP323" s="21">
        <f t="shared" si="1400"/>
        <v>0</v>
      </c>
      <c r="NQ323" s="21">
        <f t="shared" si="1400"/>
        <v>0</v>
      </c>
      <c r="NR323" s="21">
        <f t="shared" si="1400"/>
        <v>0</v>
      </c>
      <c r="NS323" s="21">
        <f t="shared" si="1400"/>
        <v>0</v>
      </c>
      <c r="NT323" s="21">
        <f t="shared" si="1400"/>
        <v>0</v>
      </c>
      <c r="NU323" s="21">
        <f t="shared" si="1400"/>
        <v>0</v>
      </c>
      <c r="NV323" s="21">
        <f t="shared" ref="NV323:OC323" si="1401">IF($F$290, 0, IF($I$296, IF(AND(COLUMN($NV$323)-COLUMN($NV$319)=$Q$291,ROW($NV$323)-ROW($NV$319)=$K$291), U$290, NV323), NV323))</f>
        <v>0</v>
      </c>
      <c r="NW323" s="21">
        <f t="shared" si="1401"/>
        <v>0</v>
      </c>
      <c r="NX323" s="21">
        <f t="shared" si="1401"/>
        <v>0</v>
      </c>
      <c r="NY323" s="21">
        <f t="shared" si="1401"/>
        <v>0</v>
      </c>
      <c r="NZ323" s="21">
        <f t="shared" si="1401"/>
        <v>0</v>
      </c>
      <c r="OA323" s="21">
        <f t="shared" si="1401"/>
        <v>0</v>
      </c>
      <c r="OB323" s="21">
        <f t="shared" si="1401"/>
        <v>0</v>
      </c>
      <c r="OC323" s="21">
        <f t="shared" si="1401"/>
        <v>0</v>
      </c>
      <c r="OD323" s="21">
        <f t="shared" ref="OD323:OK323" si="1402">IF($F$290, 0, IF($I$296, IF(AND(COLUMN($OD$323)-COLUMN($NV$319)=$Q$291,ROW($OD$323)-ROW($NV$319)=$K$291), U$290, OD323), OD323))</f>
        <v>0</v>
      </c>
      <c r="OE323" s="21">
        <f t="shared" si="1402"/>
        <v>0</v>
      </c>
      <c r="OF323" s="21">
        <f t="shared" si="1402"/>
        <v>0</v>
      </c>
      <c r="OG323" s="21">
        <f t="shared" si="1402"/>
        <v>0</v>
      </c>
      <c r="OH323" s="21">
        <f t="shared" si="1402"/>
        <v>0</v>
      </c>
      <c r="OI323" s="21">
        <f t="shared" si="1402"/>
        <v>0</v>
      </c>
      <c r="OJ323" s="21">
        <f t="shared" si="1402"/>
        <v>0</v>
      </c>
      <c r="OK323" s="21">
        <f t="shared" si="1402"/>
        <v>0</v>
      </c>
      <c r="OL323" s="21">
        <f t="shared" ref="OL323:OS323" si="1403">IF($F$290, 0, IF($I$296, IF(AND(COLUMN($OL$323)-COLUMN($NV$319)=$Q$291,ROW($OL$323)-ROW($NV$319)=$K$291), U$290, OL323), OL323))</f>
        <v>0</v>
      </c>
      <c r="OM323" s="21">
        <f t="shared" si="1403"/>
        <v>0</v>
      </c>
      <c r="ON323" s="21">
        <f t="shared" si="1403"/>
        <v>0</v>
      </c>
      <c r="OO323" s="21">
        <f t="shared" si="1403"/>
        <v>0</v>
      </c>
      <c r="OP323" s="21">
        <f t="shared" si="1403"/>
        <v>0</v>
      </c>
      <c r="OQ323" s="21">
        <f t="shared" si="1403"/>
        <v>0</v>
      </c>
      <c r="OR323" s="21">
        <f t="shared" si="1403"/>
        <v>0</v>
      </c>
      <c r="OS323" s="21">
        <f t="shared" si="1403"/>
        <v>0</v>
      </c>
      <c r="OT323" s="21">
        <f t="shared" ref="OT323:PA323" si="1404">IF($F$290, 0, IF($I$296, IF(AND(COLUMN($OT$323)-COLUMN($NV$319)=$Q$291,ROW($OT$323)-ROW($NV$319)=$K$291), U$290, OT323), OT323))</f>
        <v>0</v>
      </c>
      <c r="OU323" s="21">
        <f t="shared" si="1404"/>
        <v>0</v>
      </c>
      <c r="OV323" s="21">
        <f t="shared" si="1404"/>
        <v>0</v>
      </c>
      <c r="OW323" s="21">
        <f t="shared" si="1404"/>
        <v>0</v>
      </c>
      <c r="OX323" s="21">
        <f t="shared" si="1404"/>
        <v>0</v>
      </c>
      <c r="OY323" s="21">
        <f t="shared" si="1404"/>
        <v>0</v>
      </c>
      <c r="OZ323" s="21">
        <f t="shared" si="1404"/>
        <v>0</v>
      </c>
      <c r="PA323" s="21">
        <f t="shared" si="1404"/>
        <v>0</v>
      </c>
      <c r="PB323" s="21">
        <f t="shared" ref="PB323:PI323" si="1405">IF($F$290, 0, IF($I$296, IF(AND(COLUMN($PB$323)-COLUMN($NV$319)=$Q$291,ROW($PB$323)-ROW($NV$319)=$K$291), U$290, PB323), PB323))</f>
        <v>0</v>
      </c>
      <c r="PC323" s="21">
        <f t="shared" si="1405"/>
        <v>0</v>
      </c>
      <c r="PD323" s="21">
        <f t="shared" si="1405"/>
        <v>0</v>
      </c>
      <c r="PE323" s="21">
        <f t="shared" si="1405"/>
        <v>0</v>
      </c>
      <c r="PF323" s="21">
        <f t="shared" si="1405"/>
        <v>0</v>
      </c>
      <c r="PG323" s="21">
        <f t="shared" si="1405"/>
        <v>0</v>
      </c>
      <c r="PH323" s="21">
        <f t="shared" si="1405"/>
        <v>0</v>
      </c>
      <c r="PI323" s="21">
        <f t="shared" si="1405"/>
        <v>0</v>
      </c>
      <c r="PJ323" s="21">
        <f t="shared" ref="PJ323:PQ323" si="1406">IF($F$290, 0, IF($I$296, IF(AND(COLUMN($PJ$323)-COLUMN($NV$319)=$Q$291,ROW($PJ$323)-ROW($NV$319)=$K$291), U$290, PJ323), PJ323))</f>
        <v>0</v>
      </c>
      <c r="PK323" s="21">
        <f t="shared" si="1406"/>
        <v>0</v>
      </c>
      <c r="PL323" s="21">
        <f t="shared" si="1406"/>
        <v>0</v>
      </c>
      <c r="PM323" s="21">
        <f t="shared" si="1406"/>
        <v>0</v>
      </c>
      <c r="PN323" s="21">
        <f t="shared" si="1406"/>
        <v>0</v>
      </c>
      <c r="PO323" s="21">
        <f t="shared" si="1406"/>
        <v>0</v>
      </c>
      <c r="PP323" s="21">
        <f t="shared" si="1406"/>
        <v>0</v>
      </c>
      <c r="PQ323" s="21">
        <f t="shared" si="1406"/>
        <v>0</v>
      </c>
      <c r="PR323" s="21">
        <f t="shared" ref="PR323:PY323" si="1407">IF($F$290, 0, IF($I$296, IF(AND(COLUMN($PR$323)-COLUMN($NV$319)=$Q$291,ROW($PR$323)-ROW($NV$319)=$K$291), U$290, PR323), PR323))</f>
        <v>0</v>
      </c>
      <c r="PS323" s="21">
        <f t="shared" si="1407"/>
        <v>0</v>
      </c>
      <c r="PT323" s="21">
        <f t="shared" si="1407"/>
        <v>0</v>
      </c>
      <c r="PU323" s="21">
        <f t="shared" si="1407"/>
        <v>0</v>
      </c>
      <c r="PV323" s="21">
        <f t="shared" si="1407"/>
        <v>0</v>
      </c>
      <c r="PW323" s="21">
        <f t="shared" si="1407"/>
        <v>0</v>
      </c>
      <c r="PX323" s="21">
        <f t="shared" si="1407"/>
        <v>0</v>
      </c>
      <c r="PY323" s="21">
        <f t="shared" si="1407"/>
        <v>0</v>
      </c>
      <c r="PZ323" s="21">
        <f t="shared" ref="PZ323:QG323" si="1408">IF($F$290, 0, IF($I$296, IF(AND(COLUMN($PZ$323)-COLUMN($NV$319)=$Q$291,ROW($PZ$323)-ROW($NV$319)=$K$291), U$290, PZ323), PZ323))</f>
        <v>0</v>
      </c>
      <c r="QA323" s="21">
        <f t="shared" si="1408"/>
        <v>0</v>
      </c>
      <c r="QB323" s="21">
        <f t="shared" si="1408"/>
        <v>0</v>
      </c>
      <c r="QC323" s="21">
        <f t="shared" si="1408"/>
        <v>0</v>
      </c>
      <c r="QD323" s="21">
        <f t="shared" si="1408"/>
        <v>0</v>
      </c>
      <c r="QE323" s="21">
        <f t="shared" si="1408"/>
        <v>0</v>
      </c>
      <c r="QF323" s="21">
        <f t="shared" si="1408"/>
        <v>0</v>
      </c>
      <c r="QG323" s="21">
        <f t="shared" si="1408"/>
        <v>0</v>
      </c>
      <c r="QH323" s="21">
        <f t="shared" ref="QH323:QO323" si="1409">IF($F$290, 0, IF($J$296, IF(AND(COLUMN($QH$323)-COLUMN($QH$319)=$Q$291,ROW($QH$323)-ROW($QH$319)=$K$291), U$290, QH323), QH323))</f>
        <v>0</v>
      </c>
      <c r="QI323" s="21">
        <f t="shared" si="1409"/>
        <v>0</v>
      </c>
      <c r="QJ323" s="21">
        <f t="shared" si="1409"/>
        <v>0</v>
      </c>
      <c r="QK323" s="21">
        <f t="shared" si="1409"/>
        <v>0</v>
      </c>
      <c r="QL323" s="21">
        <f t="shared" si="1409"/>
        <v>0</v>
      </c>
      <c r="QM323" s="21">
        <f t="shared" si="1409"/>
        <v>0</v>
      </c>
      <c r="QN323" s="21">
        <f t="shared" si="1409"/>
        <v>0</v>
      </c>
      <c r="QO323" s="21">
        <f t="shared" si="1409"/>
        <v>0</v>
      </c>
      <c r="QP323" s="21">
        <f t="shared" ref="QP323:QW323" si="1410">IF($F$290, 0, IF($J$296, IF(AND(COLUMN($QP$323)-COLUMN($QH$319)=$Q$291,ROW($QP$323)-ROW($QH$319)=$K$291), U$290, QP323), QP323))</f>
        <v>0</v>
      </c>
      <c r="QQ323" s="21">
        <f t="shared" si="1410"/>
        <v>0</v>
      </c>
      <c r="QR323" s="21">
        <f t="shared" si="1410"/>
        <v>0</v>
      </c>
      <c r="QS323" s="21">
        <f t="shared" si="1410"/>
        <v>0</v>
      </c>
      <c r="QT323" s="21">
        <f t="shared" si="1410"/>
        <v>0</v>
      </c>
      <c r="QU323" s="21">
        <f t="shared" si="1410"/>
        <v>0</v>
      </c>
      <c r="QV323" s="21">
        <f t="shared" si="1410"/>
        <v>0</v>
      </c>
      <c r="QW323" s="21">
        <f t="shared" si="1410"/>
        <v>0</v>
      </c>
      <c r="QX323" s="21">
        <f t="shared" ref="QX323:RE323" si="1411">IF($F$290, 0, IF($J$296, IF(AND(COLUMN($QX$323)-COLUMN($QH$319)=$Q$291,ROW($QX$323)-ROW($QH$319)=$K$291), U$290, QX323), QX323))</f>
        <v>0</v>
      </c>
      <c r="QY323" s="21">
        <f t="shared" si="1411"/>
        <v>0</v>
      </c>
      <c r="QZ323" s="21">
        <f t="shared" si="1411"/>
        <v>0</v>
      </c>
      <c r="RA323" s="21">
        <f t="shared" si="1411"/>
        <v>0</v>
      </c>
      <c r="RB323" s="21">
        <f t="shared" si="1411"/>
        <v>0</v>
      </c>
      <c r="RC323" s="21">
        <f t="shared" si="1411"/>
        <v>0</v>
      </c>
      <c r="RD323" s="21">
        <f t="shared" si="1411"/>
        <v>0</v>
      </c>
      <c r="RE323" s="21">
        <f t="shared" si="1411"/>
        <v>0</v>
      </c>
      <c r="RF323" s="21">
        <f t="shared" ref="RF323:RM323" si="1412">IF($F$290, 0, IF($J$296, IF(AND(COLUMN($RF$323)-COLUMN($QH$319)=$Q$291,ROW($RF$323)-ROW($QH$319)=$K$291), U$290, RF323), RF323))</f>
        <v>0</v>
      </c>
      <c r="RG323" s="21">
        <f t="shared" si="1412"/>
        <v>0</v>
      </c>
      <c r="RH323" s="21">
        <f t="shared" si="1412"/>
        <v>0</v>
      </c>
      <c r="RI323" s="21">
        <f t="shared" si="1412"/>
        <v>0</v>
      </c>
      <c r="RJ323" s="21">
        <f t="shared" si="1412"/>
        <v>0</v>
      </c>
      <c r="RK323" s="21">
        <f t="shared" si="1412"/>
        <v>0</v>
      </c>
      <c r="RL323" s="21">
        <f t="shared" si="1412"/>
        <v>0</v>
      </c>
      <c r="RM323" s="21">
        <f t="shared" si="1412"/>
        <v>0</v>
      </c>
      <c r="RN323" s="21">
        <f t="shared" ref="RN323:RU323" si="1413">IF($F$290, 0, IF($J$296, IF(AND(COLUMN($RN$323)-COLUMN($QH$319)=$Q$291,ROW($RN$323)-ROW($QH$319)=$K$291), U$290, RN323), RN323))</f>
        <v>0</v>
      </c>
      <c r="RO323" s="21">
        <f t="shared" si="1413"/>
        <v>0</v>
      </c>
      <c r="RP323" s="21">
        <f t="shared" si="1413"/>
        <v>0</v>
      </c>
      <c r="RQ323" s="21">
        <f t="shared" si="1413"/>
        <v>0</v>
      </c>
      <c r="RR323" s="21">
        <f t="shared" si="1413"/>
        <v>0</v>
      </c>
      <c r="RS323" s="21">
        <f t="shared" si="1413"/>
        <v>0</v>
      </c>
      <c r="RT323" s="21">
        <f t="shared" si="1413"/>
        <v>0</v>
      </c>
      <c r="RU323" s="21">
        <f t="shared" si="1413"/>
        <v>0</v>
      </c>
      <c r="RV323" s="21">
        <f t="shared" ref="RV323:SC323" si="1414">IF($F$290, 0, IF($J$296, IF(AND(COLUMN($RV$323)-COLUMN($QH$319)=$Q$291,ROW($RV$323)-ROW($QH$319)=$K$291), U$290, RV323), RV323))</f>
        <v>0</v>
      </c>
      <c r="RW323" s="21">
        <f t="shared" si="1414"/>
        <v>0</v>
      </c>
      <c r="RX323" s="21">
        <f t="shared" si="1414"/>
        <v>0</v>
      </c>
      <c r="RY323" s="21">
        <f t="shared" si="1414"/>
        <v>0</v>
      </c>
      <c r="RZ323" s="21">
        <f t="shared" si="1414"/>
        <v>0</v>
      </c>
      <c r="SA323" s="21">
        <f t="shared" si="1414"/>
        <v>0</v>
      </c>
      <c r="SB323" s="21">
        <f t="shared" si="1414"/>
        <v>0</v>
      </c>
      <c r="SC323" s="21">
        <f t="shared" si="1414"/>
        <v>0</v>
      </c>
      <c r="SD323" s="21">
        <f t="shared" ref="SD323:SK323" si="1415">IF($F$290, 0, IF($J$296, IF(AND(COLUMN($SD$323)-COLUMN($QH$319)=$Q$291,ROW($SD$323)-ROW($QH$319)=$K$291), U$290, SD323), SD323))</f>
        <v>0</v>
      </c>
      <c r="SE323" s="21">
        <f t="shared" si="1415"/>
        <v>0</v>
      </c>
      <c r="SF323" s="21">
        <f t="shared" si="1415"/>
        <v>0</v>
      </c>
      <c r="SG323" s="21">
        <f t="shared" si="1415"/>
        <v>0</v>
      </c>
      <c r="SH323" s="21">
        <f t="shared" si="1415"/>
        <v>0</v>
      </c>
      <c r="SI323" s="21">
        <f t="shared" si="1415"/>
        <v>0</v>
      </c>
      <c r="SJ323" s="21">
        <f t="shared" si="1415"/>
        <v>0</v>
      </c>
      <c r="SK323" s="21">
        <f t="shared" si="1415"/>
        <v>0</v>
      </c>
      <c r="SL323" s="21">
        <f t="shared" ref="SL323:SS323" si="1416">IF($F$290, 0, IF($J$296, IF(AND(COLUMN($SL$323)-COLUMN($QH$319)=$Q$291,ROW($SL$323)-ROW($QH$319)=$K$291), U$290, SL323), SL323))</f>
        <v>0</v>
      </c>
      <c r="SM323" s="21">
        <f t="shared" si="1416"/>
        <v>0</v>
      </c>
      <c r="SN323" s="21">
        <f t="shared" si="1416"/>
        <v>0</v>
      </c>
      <c r="SO323" s="21">
        <f t="shared" si="1416"/>
        <v>0</v>
      </c>
      <c r="SP323" s="21">
        <f t="shared" si="1416"/>
        <v>0</v>
      </c>
      <c r="SQ323" s="21">
        <f t="shared" si="1416"/>
        <v>0</v>
      </c>
      <c r="SR323" s="21">
        <f t="shared" si="1416"/>
        <v>0</v>
      </c>
      <c r="SS323" s="21">
        <f t="shared" si="1416"/>
        <v>0</v>
      </c>
    </row>
    <row r="324" spans="2:513" ht="15" customHeight="1" x14ac:dyDescent="0.25">
      <c r="B324" s="21">
        <f t="shared" ref="B324:I324" si="1417">IF($F$290, 0, IF($C$296, IF(AND(COLUMN($B$324)-COLUMN($B$319)=$Q$291,ROW($B$324)-ROW($B$319)=$K$291), U$290, B324), B324))</f>
        <v>0</v>
      </c>
      <c r="C324" s="21">
        <f t="shared" si="1417"/>
        <v>0</v>
      </c>
      <c r="D324" s="21">
        <f t="shared" si="1417"/>
        <v>0</v>
      </c>
      <c r="E324" s="21">
        <f t="shared" si="1417"/>
        <v>0</v>
      </c>
      <c r="F324" s="21">
        <f t="shared" si="1417"/>
        <v>0</v>
      </c>
      <c r="G324" s="21">
        <f t="shared" si="1417"/>
        <v>0</v>
      </c>
      <c r="H324" s="21">
        <f t="shared" si="1417"/>
        <v>0</v>
      </c>
      <c r="I324" s="21">
        <f t="shared" si="1417"/>
        <v>0</v>
      </c>
      <c r="J324" s="21">
        <f t="shared" ref="J324:Q324" si="1418">IF($F$290, 0, IF($C$296, IF(AND(COLUMN($J$324)-COLUMN($B$319)=$Q$291,ROW($J$324)-ROW($B$319)=$K$291), U$290, J324), J324))</f>
        <v>0</v>
      </c>
      <c r="K324" s="21">
        <f t="shared" si="1418"/>
        <v>0</v>
      </c>
      <c r="L324" s="21">
        <f t="shared" si="1418"/>
        <v>0</v>
      </c>
      <c r="M324" s="21">
        <f t="shared" si="1418"/>
        <v>0</v>
      </c>
      <c r="N324" s="21">
        <f t="shared" si="1418"/>
        <v>0</v>
      </c>
      <c r="O324" s="21">
        <f t="shared" si="1418"/>
        <v>0</v>
      </c>
      <c r="P324" s="21">
        <f t="shared" si="1418"/>
        <v>0</v>
      </c>
      <c r="Q324" s="21">
        <f t="shared" si="1418"/>
        <v>0</v>
      </c>
      <c r="R324" s="21">
        <f>IF($F$290, 0, IF($C$296, IF(AND(COLUMN($R$324)-COLUMN($B$319)=$Q$291,ROW($R$324)-ROW($B$319)=$K$291), U$290, R324), R324))</f>
        <v>0</v>
      </c>
      <c r="S324" s="21">
        <f t="shared" ref="S324:Y324" si="1419">IF($F$290, 0, IF($C$296, IF(AND(COLUMN($R$324)-COLUMN($B$319)=$Q$291,ROW($R$324)-ROW($B$319)=$K$291), V$290, S324), S324))</f>
        <v>0</v>
      </c>
      <c r="T324" s="21">
        <f t="shared" si="1419"/>
        <v>0</v>
      </c>
      <c r="U324" s="21">
        <f t="shared" si="1419"/>
        <v>0</v>
      </c>
      <c r="V324" s="21">
        <f t="shared" si="1419"/>
        <v>0</v>
      </c>
      <c r="W324" s="21">
        <f t="shared" si="1419"/>
        <v>0</v>
      </c>
      <c r="X324" s="21">
        <f t="shared" si="1419"/>
        <v>0</v>
      </c>
      <c r="Y324" s="21">
        <f t="shared" si="1419"/>
        <v>0</v>
      </c>
      <c r="Z324" s="21">
        <f t="shared" ref="Z324:AG324" si="1420">IF($F$290, 0, IF($C$296, IF(AND(COLUMN($Z$324)-COLUMN($B$319)=$Q$291,ROW($Z$324)-ROW($B$319)=$K$291), U$290, Z324), Z324))</f>
        <v>0</v>
      </c>
      <c r="AA324" s="21">
        <f t="shared" si="1420"/>
        <v>0</v>
      </c>
      <c r="AB324" s="21">
        <f t="shared" si="1420"/>
        <v>0</v>
      </c>
      <c r="AC324" s="21">
        <f t="shared" si="1420"/>
        <v>0</v>
      </c>
      <c r="AD324" s="21">
        <f t="shared" si="1420"/>
        <v>0</v>
      </c>
      <c r="AE324" s="21">
        <f t="shared" si="1420"/>
        <v>0</v>
      </c>
      <c r="AF324" s="21">
        <f t="shared" si="1420"/>
        <v>0</v>
      </c>
      <c r="AG324" s="21">
        <f t="shared" si="1420"/>
        <v>0</v>
      </c>
      <c r="AH324" s="21">
        <f t="shared" ref="AH324:AO324" si="1421">IF($F$290, 0, IF($C$296, IF(AND(COLUMN($AH$324)-COLUMN($B$319)=$Q$291,ROW($AH$324)-ROW($B$319)=$K$291), U$290, AH324), AH324))</f>
        <v>0</v>
      </c>
      <c r="AI324" s="21">
        <f t="shared" si="1421"/>
        <v>0</v>
      </c>
      <c r="AJ324" s="21">
        <f t="shared" si="1421"/>
        <v>0</v>
      </c>
      <c r="AK324" s="21">
        <f t="shared" si="1421"/>
        <v>0</v>
      </c>
      <c r="AL324" s="21">
        <f t="shared" si="1421"/>
        <v>0</v>
      </c>
      <c r="AM324" s="21">
        <f t="shared" si="1421"/>
        <v>0</v>
      </c>
      <c r="AN324" s="21">
        <f t="shared" si="1421"/>
        <v>0</v>
      </c>
      <c r="AO324" s="21">
        <f t="shared" si="1421"/>
        <v>0</v>
      </c>
      <c r="AP324" s="21">
        <f t="shared" ref="AP324:AW324" si="1422">IF($F$290, 0, IF($C$296, IF(AND(COLUMN($AP$324)-COLUMN($B$319)=$Q$291,ROW($AP$324)-ROW($B$319)=$K$291), U$290, AP324), AP324))</f>
        <v>0</v>
      </c>
      <c r="AQ324" s="21">
        <f t="shared" si="1422"/>
        <v>0</v>
      </c>
      <c r="AR324" s="21">
        <f t="shared" si="1422"/>
        <v>0</v>
      </c>
      <c r="AS324" s="21">
        <f t="shared" si="1422"/>
        <v>0</v>
      </c>
      <c r="AT324" s="21">
        <f t="shared" si="1422"/>
        <v>0</v>
      </c>
      <c r="AU324" s="21">
        <f t="shared" si="1422"/>
        <v>0</v>
      </c>
      <c r="AV324" s="21">
        <f t="shared" si="1422"/>
        <v>0</v>
      </c>
      <c r="AW324" s="21">
        <f t="shared" si="1422"/>
        <v>0</v>
      </c>
      <c r="AX324" s="21">
        <f t="shared" ref="AX324:BE324" si="1423">IF($F$290, 0, IF($C$296, IF(AND(COLUMN($AX$324)-COLUMN($B$319)=$Q$291,ROW($AX$324)-ROW($B$319)=$K$291), U$290, AX324), AX324))</f>
        <v>0</v>
      </c>
      <c r="AY324" s="21">
        <f t="shared" si="1423"/>
        <v>0</v>
      </c>
      <c r="AZ324" s="21">
        <f t="shared" si="1423"/>
        <v>0</v>
      </c>
      <c r="BA324" s="21">
        <f t="shared" si="1423"/>
        <v>0</v>
      </c>
      <c r="BB324" s="21">
        <f t="shared" si="1423"/>
        <v>0</v>
      </c>
      <c r="BC324" s="21">
        <f t="shared" si="1423"/>
        <v>0</v>
      </c>
      <c r="BD324" s="21">
        <f t="shared" si="1423"/>
        <v>0</v>
      </c>
      <c r="BE324" s="21">
        <f t="shared" si="1423"/>
        <v>0</v>
      </c>
      <c r="BF324" s="21">
        <f t="shared" ref="BF324:BM324" si="1424">IF($F$290, 0, IF($C$296, IF(AND(COLUMN($BF$324)-COLUMN($B$319)=$Q$291,ROW($BF$324)-ROW($B$319)=$K$291), U$290, BF324), BF324))</f>
        <v>0</v>
      </c>
      <c r="BG324" s="21">
        <f t="shared" si="1424"/>
        <v>0</v>
      </c>
      <c r="BH324" s="21">
        <f t="shared" si="1424"/>
        <v>0</v>
      </c>
      <c r="BI324" s="21">
        <f t="shared" si="1424"/>
        <v>0</v>
      </c>
      <c r="BJ324" s="21">
        <f t="shared" si="1424"/>
        <v>0</v>
      </c>
      <c r="BK324" s="21">
        <f t="shared" si="1424"/>
        <v>0</v>
      </c>
      <c r="BL324" s="21">
        <f t="shared" si="1424"/>
        <v>0</v>
      </c>
      <c r="BM324" s="21">
        <f t="shared" si="1424"/>
        <v>0</v>
      </c>
      <c r="BN324" s="21">
        <f t="shared" ref="BN324:BU324" si="1425">IF($F$290, 0, IF($D$296, IF(AND(COLUMN($BN$324)-COLUMN($BN$319)=$Q$291,ROW($BN$324)-ROW($BN$319)=$K$291), U$290, BN324), BN324))</f>
        <v>0</v>
      </c>
      <c r="BO324" s="21">
        <f t="shared" si="1425"/>
        <v>0</v>
      </c>
      <c r="BP324" s="21">
        <f t="shared" si="1425"/>
        <v>0</v>
      </c>
      <c r="BQ324" s="21">
        <f t="shared" si="1425"/>
        <v>0</v>
      </c>
      <c r="BR324" s="21">
        <f t="shared" si="1425"/>
        <v>0</v>
      </c>
      <c r="BS324" s="21">
        <f t="shared" si="1425"/>
        <v>0</v>
      </c>
      <c r="BT324" s="21">
        <f t="shared" si="1425"/>
        <v>0</v>
      </c>
      <c r="BU324" s="21">
        <f t="shared" si="1425"/>
        <v>0</v>
      </c>
      <c r="BV324" s="21">
        <f t="shared" ref="BV324:CC324" si="1426">IF($F$290, 0, IF($D$296, IF(AND(COLUMN($BV$324)-COLUMN($BN$319)=$Q$291,ROW($BV$324)-ROW($BN$319)=$K$291), U$290, BV324), BV324))</f>
        <v>0</v>
      </c>
      <c r="BW324" s="21">
        <f t="shared" si="1426"/>
        <v>0</v>
      </c>
      <c r="BX324" s="21">
        <f t="shared" si="1426"/>
        <v>0</v>
      </c>
      <c r="BY324" s="21">
        <f t="shared" si="1426"/>
        <v>0</v>
      </c>
      <c r="BZ324" s="21">
        <f t="shared" si="1426"/>
        <v>0</v>
      </c>
      <c r="CA324" s="21">
        <f t="shared" si="1426"/>
        <v>0</v>
      </c>
      <c r="CB324" s="21">
        <f t="shared" si="1426"/>
        <v>0</v>
      </c>
      <c r="CC324" s="21">
        <f t="shared" si="1426"/>
        <v>0</v>
      </c>
      <c r="CD324" s="21">
        <f t="shared" ref="CD324:CK324" si="1427">IF($F$290, 0, IF($D$296, IF(AND(COLUMN($CD$324)-COLUMN($BN$319)=$Q$291,ROW($CD$324)-ROW($BN$319)=$K$291), U$290, CD324), CD324))</f>
        <v>0</v>
      </c>
      <c r="CE324" s="21">
        <f t="shared" si="1427"/>
        <v>0</v>
      </c>
      <c r="CF324" s="21">
        <f t="shared" si="1427"/>
        <v>0</v>
      </c>
      <c r="CG324" s="21">
        <f t="shared" si="1427"/>
        <v>0</v>
      </c>
      <c r="CH324" s="21">
        <f t="shared" si="1427"/>
        <v>0</v>
      </c>
      <c r="CI324" s="21">
        <f t="shared" si="1427"/>
        <v>0</v>
      </c>
      <c r="CJ324" s="21">
        <f t="shared" si="1427"/>
        <v>0</v>
      </c>
      <c r="CK324" s="21">
        <f t="shared" si="1427"/>
        <v>0</v>
      </c>
      <c r="CL324" s="21">
        <f t="shared" ref="CL324:CS324" si="1428">IF($F$290, 0, IF($D$296, IF(AND(COLUMN($CL$324)-COLUMN($BN$319)=$Q$291,ROW($CL$324)-ROW($BN$319)=$K$291), U$290, CL324), CL324))</f>
        <v>0</v>
      </c>
      <c r="CM324" s="21">
        <f t="shared" si="1428"/>
        <v>0</v>
      </c>
      <c r="CN324" s="21">
        <f t="shared" si="1428"/>
        <v>0</v>
      </c>
      <c r="CO324" s="21">
        <f t="shared" si="1428"/>
        <v>0</v>
      </c>
      <c r="CP324" s="21">
        <f t="shared" si="1428"/>
        <v>0</v>
      </c>
      <c r="CQ324" s="21">
        <f t="shared" si="1428"/>
        <v>0</v>
      </c>
      <c r="CR324" s="21">
        <f t="shared" si="1428"/>
        <v>0</v>
      </c>
      <c r="CS324" s="21">
        <f t="shared" si="1428"/>
        <v>0</v>
      </c>
      <c r="CT324" s="21">
        <f t="shared" ref="CT324:DA324" si="1429">IF($F$290, 0, IF($D$296, IF(AND(COLUMN($CT$324)-COLUMN($BN$319)=$Q$291,ROW($CT$324)-ROW($BN$319)=$K$291), U$290, CT324), CT324))</f>
        <v>0</v>
      </c>
      <c r="CU324" s="21">
        <f t="shared" si="1429"/>
        <v>0</v>
      </c>
      <c r="CV324" s="21">
        <f t="shared" si="1429"/>
        <v>0</v>
      </c>
      <c r="CW324" s="21">
        <f t="shared" si="1429"/>
        <v>0</v>
      </c>
      <c r="CX324" s="21">
        <f t="shared" si="1429"/>
        <v>0</v>
      </c>
      <c r="CY324" s="21">
        <f t="shared" si="1429"/>
        <v>0</v>
      </c>
      <c r="CZ324" s="21">
        <f t="shared" si="1429"/>
        <v>0</v>
      </c>
      <c r="DA324" s="21">
        <f t="shared" si="1429"/>
        <v>0</v>
      </c>
      <c r="DB324" s="21">
        <f t="shared" ref="DB324:DI324" si="1430">IF($F$290, 0, IF($D$296, IF(AND(COLUMN($DB$324)-COLUMN($BN$319)=$Q$291,ROW($DB$324)-ROW($BN$319)=$K$291), U$290, DB324), DB324))</f>
        <v>0</v>
      </c>
      <c r="DC324" s="21">
        <f t="shared" si="1430"/>
        <v>0</v>
      </c>
      <c r="DD324" s="21">
        <f t="shared" si="1430"/>
        <v>0</v>
      </c>
      <c r="DE324" s="21">
        <f t="shared" si="1430"/>
        <v>0</v>
      </c>
      <c r="DF324" s="21">
        <f t="shared" si="1430"/>
        <v>0</v>
      </c>
      <c r="DG324" s="21">
        <f t="shared" si="1430"/>
        <v>0</v>
      </c>
      <c r="DH324" s="21">
        <f t="shared" si="1430"/>
        <v>0</v>
      </c>
      <c r="DI324" s="21">
        <f t="shared" si="1430"/>
        <v>0</v>
      </c>
      <c r="DJ324" s="21">
        <f t="shared" ref="DJ324:DQ324" si="1431">IF($F$290, 0, IF($D$296, IF(AND(COLUMN($DJ$324)-COLUMN($BN$319)=$Q$291,ROW($DJ$324)-ROW($BN$319)=$K$291), U$290, DJ324), DJ324))</f>
        <v>0</v>
      </c>
      <c r="DK324" s="21">
        <f t="shared" si="1431"/>
        <v>0</v>
      </c>
      <c r="DL324" s="21">
        <f t="shared" si="1431"/>
        <v>0</v>
      </c>
      <c r="DM324" s="21">
        <f t="shared" si="1431"/>
        <v>0</v>
      </c>
      <c r="DN324" s="21">
        <f t="shared" si="1431"/>
        <v>0</v>
      </c>
      <c r="DO324" s="21">
        <f t="shared" si="1431"/>
        <v>0</v>
      </c>
      <c r="DP324" s="21">
        <f t="shared" si="1431"/>
        <v>0</v>
      </c>
      <c r="DQ324" s="21">
        <f t="shared" si="1431"/>
        <v>0</v>
      </c>
      <c r="DR324" s="21">
        <f t="shared" ref="DR324:DY324" si="1432">IF($F$290, 0, IF($D$296, IF(AND(COLUMN($DR$324)-COLUMN($BN$319)=$Q$291,ROW($DR$324)-ROW($BN$319)=$K$291), U$290, DR324), DR324))</f>
        <v>0</v>
      </c>
      <c r="DS324" s="21">
        <f t="shared" si="1432"/>
        <v>0</v>
      </c>
      <c r="DT324" s="21">
        <f t="shared" si="1432"/>
        <v>0</v>
      </c>
      <c r="DU324" s="21">
        <f t="shared" si="1432"/>
        <v>0</v>
      </c>
      <c r="DV324" s="21">
        <f t="shared" si="1432"/>
        <v>0</v>
      </c>
      <c r="DW324" s="21">
        <f t="shared" si="1432"/>
        <v>0</v>
      </c>
      <c r="DX324" s="21">
        <f t="shared" si="1432"/>
        <v>0</v>
      </c>
      <c r="DY324" s="21">
        <f t="shared" si="1432"/>
        <v>0</v>
      </c>
      <c r="DZ324" s="21">
        <f t="shared" ref="DZ324:EG324" si="1433">IF($F$290, 0, IF($E$296, IF(AND(COLUMN($DZ$324)-COLUMN($DZ$319)=$Q$291,ROW($DZ$324)-ROW($DZ$319)=$K$291), U$290, DZ324), DZ324))</f>
        <v>0</v>
      </c>
      <c r="EA324" s="21">
        <f t="shared" si="1433"/>
        <v>0</v>
      </c>
      <c r="EB324" s="21">
        <f t="shared" si="1433"/>
        <v>0</v>
      </c>
      <c r="EC324" s="21">
        <f t="shared" si="1433"/>
        <v>0</v>
      </c>
      <c r="ED324" s="21">
        <f t="shared" si="1433"/>
        <v>0</v>
      </c>
      <c r="EE324" s="21">
        <f t="shared" si="1433"/>
        <v>0</v>
      </c>
      <c r="EF324" s="21">
        <f t="shared" si="1433"/>
        <v>0</v>
      </c>
      <c r="EG324" s="21">
        <f t="shared" si="1433"/>
        <v>0</v>
      </c>
      <c r="EH324" s="21">
        <f t="shared" ref="EH324:EO324" si="1434">IF($F$290, 0, IF($E$296, IF(AND(COLUMN($EH$324)-COLUMN($DZ$319)=$Q$291,ROW($EH$324)-ROW($DZ$319)=$K$291), U$290, EH324), EH324))</f>
        <v>0</v>
      </c>
      <c r="EI324" s="21">
        <f t="shared" si="1434"/>
        <v>0</v>
      </c>
      <c r="EJ324" s="21">
        <f t="shared" si="1434"/>
        <v>0</v>
      </c>
      <c r="EK324" s="21">
        <f t="shared" si="1434"/>
        <v>0</v>
      </c>
      <c r="EL324" s="21">
        <f t="shared" si="1434"/>
        <v>0</v>
      </c>
      <c r="EM324" s="21">
        <f t="shared" si="1434"/>
        <v>0</v>
      </c>
      <c r="EN324" s="21">
        <f t="shared" si="1434"/>
        <v>0</v>
      </c>
      <c r="EO324" s="21">
        <f t="shared" si="1434"/>
        <v>0</v>
      </c>
      <c r="EP324" s="21">
        <f t="shared" ref="EP324:EW324" si="1435">IF($F$290, 0, IF($E$296, IF(AND(COLUMN($EP$324)-COLUMN($DZ$319)=$Q$291,ROW($EP$324)-ROW($DZ$319)=$K$291), U$290, EP324), EP324))</f>
        <v>0</v>
      </c>
      <c r="EQ324" s="21">
        <f t="shared" si="1435"/>
        <v>0</v>
      </c>
      <c r="ER324" s="21">
        <f t="shared" si="1435"/>
        <v>0</v>
      </c>
      <c r="ES324" s="21">
        <f t="shared" si="1435"/>
        <v>0</v>
      </c>
      <c r="ET324" s="21">
        <f t="shared" si="1435"/>
        <v>0</v>
      </c>
      <c r="EU324" s="21">
        <f t="shared" si="1435"/>
        <v>0</v>
      </c>
      <c r="EV324" s="21">
        <f t="shared" si="1435"/>
        <v>0</v>
      </c>
      <c r="EW324" s="21">
        <f t="shared" si="1435"/>
        <v>0</v>
      </c>
      <c r="EX324" s="21">
        <f t="shared" ref="EX324:FE324" si="1436">IF($F$290, 0, IF($E$296, IF(AND(COLUMN($EX$324)-COLUMN($DZ$319)=$Q$291,ROW($EX$324)-ROW($DZ$319)=$K$291), U$290, EX324), EX324))</f>
        <v>0</v>
      </c>
      <c r="EY324" s="21">
        <f t="shared" si="1436"/>
        <v>0</v>
      </c>
      <c r="EZ324" s="21">
        <f t="shared" si="1436"/>
        <v>0</v>
      </c>
      <c r="FA324" s="21">
        <f t="shared" si="1436"/>
        <v>0</v>
      </c>
      <c r="FB324" s="21">
        <f t="shared" si="1436"/>
        <v>0</v>
      </c>
      <c r="FC324" s="21">
        <f t="shared" si="1436"/>
        <v>0</v>
      </c>
      <c r="FD324" s="21">
        <f t="shared" si="1436"/>
        <v>0</v>
      </c>
      <c r="FE324" s="21">
        <f t="shared" si="1436"/>
        <v>0</v>
      </c>
      <c r="FF324" s="21">
        <f t="shared" ref="FF324:FM324" si="1437">IF($F$290, 0, IF($E$296, IF(AND(COLUMN($FF$324)-COLUMN($DZ$319)=$Q$291,ROW($FF$324)-ROW($DZ$319)=$K$291), U$290, FF324), FF324))</f>
        <v>0</v>
      </c>
      <c r="FG324" s="21">
        <f t="shared" si="1437"/>
        <v>0</v>
      </c>
      <c r="FH324" s="21">
        <f t="shared" si="1437"/>
        <v>0</v>
      </c>
      <c r="FI324" s="21">
        <f t="shared" si="1437"/>
        <v>0</v>
      </c>
      <c r="FJ324" s="21">
        <f t="shared" si="1437"/>
        <v>0</v>
      </c>
      <c r="FK324" s="21">
        <f t="shared" si="1437"/>
        <v>0</v>
      </c>
      <c r="FL324" s="21">
        <f t="shared" si="1437"/>
        <v>0</v>
      </c>
      <c r="FM324" s="21">
        <f t="shared" si="1437"/>
        <v>0</v>
      </c>
      <c r="FN324" s="21">
        <f t="shared" ref="FN324:FU324" si="1438">IF($F$290, 0, IF($E$296, IF(AND(COLUMN($FN$324)-COLUMN($DZ$319)=$Q$291,ROW($FN$324)-ROW($DZ$319)=$K$291), U$290, FN324), FN324))</f>
        <v>0</v>
      </c>
      <c r="FO324" s="21">
        <f t="shared" si="1438"/>
        <v>0</v>
      </c>
      <c r="FP324" s="21">
        <f t="shared" si="1438"/>
        <v>0</v>
      </c>
      <c r="FQ324" s="21">
        <f t="shared" si="1438"/>
        <v>0</v>
      </c>
      <c r="FR324" s="21">
        <f t="shared" si="1438"/>
        <v>0</v>
      </c>
      <c r="FS324" s="21">
        <f t="shared" si="1438"/>
        <v>0</v>
      </c>
      <c r="FT324" s="21">
        <f t="shared" si="1438"/>
        <v>0</v>
      </c>
      <c r="FU324" s="21">
        <f t="shared" si="1438"/>
        <v>0</v>
      </c>
      <c r="FV324" s="21">
        <f t="shared" ref="FV324:GC324" si="1439">IF($F$290, 0, IF($E$296, IF(AND(COLUMN($FV$324)-COLUMN($DZ$319)=$Q$291,ROW($FV$324)-ROW($DZ$319)=$K$291), U$290, FV324), FV324))</f>
        <v>0</v>
      </c>
      <c r="FW324" s="21">
        <f t="shared" si="1439"/>
        <v>0</v>
      </c>
      <c r="FX324" s="21">
        <f t="shared" si="1439"/>
        <v>0</v>
      </c>
      <c r="FY324" s="21">
        <f t="shared" si="1439"/>
        <v>0</v>
      </c>
      <c r="FZ324" s="21">
        <f t="shared" si="1439"/>
        <v>0</v>
      </c>
      <c r="GA324" s="21">
        <f t="shared" si="1439"/>
        <v>0</v>
      </c>
      <c r="GB324" s="21">
        <f t="shared" si="1439"/>
        <v>0</v>
      </c>
      <c r="GC324" s="21">
        <f t="shared" si="1439"/>
        <v>0</v>
      </c>
      <c r="GD324" s="21">
        <f t="shared" ref="GD324:GK324" si="1440">IF($F$290, 0, IF($E$296, IF(AND(COLUMN($GD$324)-COLUMN($DZ$319)=$Q$291,ROW($GD$324)-ROW($DZ$319)=$K$291), U$290, GD324), GD324))</f>
        <v>0</v>
      </c>
      <c r="GE324" s="21">
        <f t="shared" si="1440"/>
        <v>0</v>
      </c>
      <c r="GF324" s="21">
        <f t="shared" si="1440"/>
        <v>0</v>
      </c>
      <c r="GG324" s="21">
        <f t="shared" si="1440"/>
        <v>0</v>
      </c>
      <c r="GH324" s="21">
        <f t="shared" si="1440"/>
        <v>0</v>
      </c>
      <c r="GI324" s="21">
        <f t="shared" si="1440"/>
        <v>0</v>
      </c>
      <c r="GJ324" s="21">
        <f t="shared" si="1440"/>
        <v>0</v>
      </c>
      <c r="GK324" s="21">
        <f t="shared" si="1440"/>
        <v>0</v>
      </c>
      <c r="GL324" s="21">
        <f t="shared" ref="GL324:GS324" si="1441">IF($F$290, 0, IF($F$296, IF(AND(COLUMN($GL$324)-COLUMN($GL$319)=$Q$291,ROW($GL$324)-ROW($GL$319)=$K$291), U$290, GL324), GL324))</f>
        <v>0</v>
      </c>
      <c r="GM324" s="21">
        <f t="shared" si="1441"/>
        <v>0</v>
      </c>
      <c r="GN324" s="21">
        <f t="shared" si="1441"/>
        <v>0</v>
      </c>
      <c r="GO324" s="21">
        <f t="shared" si="1441"/>
        <v>0</v>
      </c>
      <c r="GP324" s="21">
        <f t="shared" si="1441"/>
        <v>0</v>
      </c>
      <c r="GQ324" s="21">
        <f t="shared" si="1441"/>
        <v>0</v>
      </c>
      <c r="GR324" s="21">
        <f t="shared" si="1441"/>
        <v>0</v>
      </c>
      <c r="GS324" s="21">
        <f t="shared" si="1441"/>
        <v>0</v>
      </c>
      <c r="GT324" s="21">
        <f t="shared" ref="GT324:HA324" si="1442">IF($F$290, 0, IF($F$296, IF(AND(COLUMN($GT$324)-COLUMN($GL$319)=$Q$291,ROW($GT$324)-ROW($GL$319)=$K$291), U$290, GT324), GT324))</f>
        <v>0</v>
      </c>
      <c r="GU324" s="21">
        <f t="shared" si="1442"/>
        <v>0</v>
      </c>
      <c r="GV324" s="21">
        <f t="shared" si="1442"/>
        <v>0</v>
      </c>
      <c r="GW324" s="21">
        <f t="shared" si="1442"/>
        <v>0</v>
      </c>
      <c r="GX324" s="21">
        <f t="shared" si="1442"/>
        <v>0</v>
      </c>
      <c r="GY324" s="21">
        <f t="shared" si="1442"/>
        <v>0</v>
      </c>
      <c r="GZ324" s="21">
        <f t="shared" si="1442"/>
        <v>0</v>
      </c>
      <c r="HA324" s="21">
        <f t="shared" si="1442"/>
        <v>0</v>
      </c>
      <c r="HB324" s="21">
        <f t="shared" ref="HB324:HI324" si="1443">IF($F$290, 0, IF($F$296, IF(AND(COLUMN($HB$324)-COLUMN($GL$319)=$Q$291,ROW($HB$324)-ROW($GL$319)=$K$291), U$290, HB324), HB324))</f>
        <v>0</v>
      </c>
      <c r="HC324" s="21">
        <f t="shared" si="1443"/>
        <v>0</v>
      </c>
      <c r="HD324" s="21">
        <f t="shared" si="1443"/>
        <v>0</v>
      </c>
      <c r="HE324" s="21">
        <f t="shared" si="1443"/>
        <v>0</v>
      </c>
      <c r="HF324" s="21">
        <f t="shared" si="1443"/>
        <v>0</v>
      </c>
      <c r="HG324" s="21">
        <f t="shared" si="1443"/>
        <v>0</v>
      </c>
      <c r="HH324" s="21">
        <f t="shared" si="1443"/>
        <v>0</v>
      </c>
      <c r="HI324" s="21">
        <f t="shared" si="1443"/>
        <v>0</v>
      </c>
      <c r="HJ324" s="21">
        <f t="shared" ref="HJ324:HQ324" si="1444">IF($F$290, 0, IF($F$296, IF(AND(COLUMN($HJ$324)-COLUMN($GL$319)=$Q$291,ROW($HJ$324)-ROW($GL$319)=$K$291), U$290, HJ324), HJ324))</f>
        <v>0</v>
      </c>
      <c r="HK324" s="21">
        <f t="shared" si="1444"/>
        <v>0</v>
      </c>
      <c r="HL324" s="21">
        <f t="shared" si="1444"/>
        <v>0</v>
      </c>
      <c r="HM324" s="21">
        <f t="shared" si="1444"/>
        <v>0</v>
      </c>
      <c r="HN324" s="21">
        <f t="shared" si="1444"/>
        <v>0</v>
      </c>
      <c r="HO324" s="21">
        <f t="shared" si="1444"/>
        <v>0</v>
      </c>
      <c r="HP324" s="21">
        <f t="shared" si="1444"/>
        <v>0</v>
      </c>
      <c r="HQ324" s="21">
        <f t="shared" si="1444"/>
        <v>0</v>
      </c>
      <c r="HR324" s="21">
        <f t="shared" ref="HR324:HY324" si="1445">IF($F$290, 0, IF($F$296, IF(AND(COLUMN($HR$324)-COLUMN($GL$319)=$Q$291,ROW($HR$324)-ROW($GL$319)=$K$291), U$290, HR324), HR324))</f>
        <v>0</v>
      </c>
      <c r="HS324" s="21">
        <f t="shared" si="1445"/>
        <v>0</v>
      </c>
      <c r="HT324" s="21">
        <f t="shared" si="1445"/>
        <v>0</v>
      </c>
      <c r="HU324" s="21">
        <f t="shared" si="1445"/>
        <v>0</v>
      </c>
      <c r="HV324" s="21">
        <f t="shared" si="1445"/>
        <v>0</v>
      </c>
      <c r="HW324" s="21">
        <f t="shared" si="1445"/>
        <v>0</v>
      </c>
      <c r="HX324" s="21">
        <f t="shared" si="1445"/>
        <v>0</v>
      </c>
      <c r="HY324" s="21">
        <f t="shared" si="1445"/>
        <v>0</v>
      </c>
      <c r="HZ324" s="21">
        <f t="shared" ref="HZ324:IG324" si="1446">IF($F$290, 0, IF($F$296, IF(AND(COLUMN($HZ$324)-COLUMN($GL$319)=$Q$291,ROW($HZ$324)-ROW($GL$319)=$K$291), U$290, HZ324), HZ324))</f>
        <v>0</v>
      </c>
      <c r="IA324" s="21">
        <f t="shared" si="1446"/>
        <v>0</v>
      </c>
      <c r="IB324" s="21">
        <f t="shared" si="1446"/>
        <v>0</v>
      </c>
      <c r="IC324" s="21">
        <f t="shared" si="1446"/>
        <v>0</v>
      </c>
      <c r="ID324" s="21">
        <f t="shared" si="1446"/>
        <v>0</v>
      </c>
      <c r="IE324" s="21">
        <f t="shared" si="1446"/>
        <v>0</v>
      </c>
      <c r="IF324" s="21">
        <f t="shared" si="1446"/>
        <v>0</v>
      </c>
      <c r="IG324" s="21">
        <f t="shared" si="1446"/>
        <v>0</v>
      </c>
      <c r="IH324" s="21">
        <f t="shared" ref="IH324:IO324" si="1447">IF($F$290, 0, IF($F$296, IF(AND(COLUMN($IH$324)-COLUMN($GL$319)=$Q$291,ROW($IH$324)-ROW($GL$319)=$K$291), U$290, IH324), IH324))</f>
        <v>0</v>
      </c>
      <c r="II324" s="21">
        <f t="shared" si="1447"/>
        <v>0</v>
      </c>
      <c r="IJ324" s="21">
        <f t="shared" si="1447"/>
        <v>0</v>
      </c>
      <c r="IK324" s="21">
        <f t="shared" si="1447"/>
        <v>0</v>
      </c>
      <c r="IL324" s="21">
        <f t="shared" si="1447"/>
        <v>0</v>
      </c>
      <c r="IM324" s="21">
        <f t="shared" si="1447"/>
        <v>0</v>
      </c>
      <c r="IN324" s="21">
        <f t="shared" si="1447"/>
        <v>0</v>
      </c>
      <c r="IO324" s="21">
        <f t="shared" si="1447"/>
        <v>0</v>
      </c>
      <c r="IP324" s="21">
        <f t="shared" ref="IP324:IW324" si="1448">IF($F$290, 0, IF($F$296, IF(AND(COLUMN($IP$324)-COLUMN($GL$319)=$Q$291,ROW($IP$324)-ROW($GL$319)=$K$291), U$290, IP324), IP324))</f>
        <v>0</v>
      </c>
      <c r="IQ324" s="21">
        <f t="shared" si="1448"/>
        <v>0</v>
      </c>
      <c r="IR324" s="21">
        <f t="shared" si="1448"/>
        <v>0</v>
      </c>
      <c r="IS324" s="21">
        <f t="shared" si="1448"/>
        <v>0</v>
      </c>
      <c r="IT324" s="21">
        <f t="shared" si="1448"/>
        <v>0</v>
      </c>
      <c r="IU324" s="21">
        <f t="shared" si="1448"/>
        <v>0</v>
      </c>
      <c r="IV324" s="21">
        <f t="shared" si="1448"/>
        <v>0</v>
      </c>
      <c r="IW324" s="21">
        <f t="shared" si="1448"/>
        <v>0</v>
      </c>
      <c r="IX324" s="21">
        <f t="shared" ref="IX324:JE324" si="1449">IF($F$290, 0, IF($G$296, IF(AND(COLUMN($IX$324)-COLUMN($IX$319)=$Q$291,ROW($IX$324)-ROW($IX$319)=$K$291), U$290, IX324), IX324))</f>
        <v>0</v>
      </c>
      <c r="IY324" s="21">
        <f t="shared" si="1449"/>
        <v>0</v>
      </c>
      <c r="IZ324" s="21">
        <f t="shared" si="1449"/>
        <v>0</v>
      </c>
      <c r="JA324" s="21">
        <f t="shared" si="1449"/>
        <v>0</v>
      </c>
      <c r="JB324" s="21">
        <f t="shared" si="1449"/>
        <v>0</v>
      </c>
      <c r="JC324" s="21">
        <f t="shared" si="1449"/>
        <v>0</v>
      </c>
      <c r="JD324" s="21">
        <f t="shared" si="1449"/>
        <v>0</v>
      </c>
      <c r="JE324" s="21">
        <f t="shared" si="1449"/>
        <v>0</v>
      </c>
      <c r="JF324" s="21">
        <f t="shared" ref="JF324:JM324" si="1450">IF($F$290, 0, IF($G$296, IF(AND(COLUMN($JF$324)-COLUMN($IX$319)=$Q$291,ROW($JF$324)-ROW($IX$319)=$K$291), U$290, JF324), JF324))</f>
        <v>0</v>
      </c>
      <c r="JG324" s="21">
        <f t="shared" si="1450"/>
        <v>0</v>
      </c>
      <c r="JH324" s="21">
        <f t="shared" si="1450"/>
        <v>0</v>
      </c>
      <c r="JI324" s="21">
        <f t="shared" si="1450"/>
        <v>0</v>
      </c>
      <c r="JJ324" s="21">
        <f t="shared" si="1450"/>
        <v>0</v>
      </c>
      <c r="JK324" s="21">
        <f t="shared" si="1450"/>
        <v>0</v>
      </c>
      <c r="JL324" s="21">
        <f t="shared" si="1450"/>
        <v>0</v>
      </c>
      <c r="JM324" s="21">
        <f t="shared" si="1450"/>
        <v>0</v>
      </c>
      <c r="JN324" s="21">
        <f t="shared" ref="JN324:JU324" si="1451">IF($F$290, 0, IF($G$296, IF(AND(COLUMN($JN$324)-COLUMN($IX$319)=$Q$291,ROW($JN$324)-ROW($IX$319)=$K$291), U$290, JN324), JN324))</f>
        <v>0</v>
      </c>
      <c r="JO324" s="21">
        <f t="shared" si="1451"/>
        <v>0</v>
      </c>
      <c r="JP324" s="21">
        <f t="shared" si="1451"/>
        <v>0</v>
      </c>
      <c r="JQ324" s="21">
        <f t="shared" si="1451"/>
        <v>0</v>
      </c>
      <c r="JR324" s="21">
        <f t="shared" si="1451"/>
        <v>0</v>
      </c>
      <c r="JS324" s="21">
        <f t="shared" si="1451"/>
        <v>0</v>
      </c>
      <c r="JT324" s="21">
        <f t="shared" si="1451"/>
        <v>0</v>
      </c>
      <c r="JU324" s="21">
        <f t="shared" si="1451"/>
        <v>0</v>
      </c>
      <c r="JV324" s="21">
        <f t="shared" ref="JV324:KC324" si="1452">IF($F$290, 0, IF($G$296, IF(AND(COLUMN($JV$324)-COLUMN($IX$319)=$Q$291,ROW($JV$324)-ROW($IX$319)=$K$291), U$290, JV324), JV324))</f>
        <v>0</v>
      </c>
      <c r="JW324" s="21">
        <f t="shared" si="1452"/>
        <v>0</v>
      </c>
      <c r="JX324" s="21">
        <f t="shared" si="1452"/>
        <v>0</v>
      </c>
      <c r="JY324" s="21">
        <f t="shared" si="1452"/>
        <v>0</v>
      </c>
      <c r="JZ324" s="21">
        <f t="shared" si="1452"/>
        <v>0</v>
      </c>
      <c r="KA324" s="21">
        <f t="shared" si="1452"/>
        <v>0</v>
      </c>
      <c r="KB324" s="21">
        <f t="shared" si="1452"/>
        <v>0</v>
      </c>
      <c r="KC324" s="21">
        <f t="shared" si="1452"/>
        <v>0</v>
      </c>
      <c r="KD324" s="21">
        <f t="shared" ref="KD324:KK324" si="1453">IF($F$290, 0, IF($G$296, IF(AND(COLUMN($KD$324)-COLUMN($IX$319)=$Q$291,ROW($KD$324)-ROW($IX$319)=$K$291), U$290, KD324), KD324))</f>
        <v>0</v>
      </c>
      <c r="KE324" s="21">
        <f t="shared" si="1453"/>
        <v>0</v>
      </c>
      <c r="KF324" s="21">
        <f t="shared" si="1453"/>
        <v>0</v>
      </c>
      <c r="KG324" s="21">
        <f t="shared" si="1453"/>
        <v>0</v>
      </c>
      <c r="KH324" s="21">
        <f t="shared" si="1453"/>
        <v>0</v>
      </c>
      <c r="KI324" s="21">
        <f t="shared" si="1453"/>
        <v>0</v>
      </c>
      <c r="KJ324" s="21">
        <f t="shared" si="1453"/>
        <v>0</v>
      </c>
      <c r="KK324" s="21">
        <f t="shared" si="1453"/>
        <v>0</v>
      </c>
      <c r="KL324" s="21">
        <f t="shared" ref="KL324:KS324" si="1454">IF($F$290, 0, IF($G$296, IF(AND(COLUMN($KL$324)-COLUMN($IX$319)=$Q$291,ROW($KL$324)-ROW($IX$319)=$K$291), U$290, KL324), KL324))</f>
        <v>0</v>
      </c>
      <c r="KM324" s="21">
        <f t="shared" si="1454"/>
        <v>0</v>
      </c>
      <c r="KN324" s="21">
        <f t="shared" si="1454"/>
        <v>0</v>
      </c>
      <c r="KO324" s="21">
        <f t="shared" si="1454"/>
        <v>0</v>
      </c>
      <c r="KP324" s="21">
        <f t="shared" si="1454"/>
        <v>0</v>
      </c>
      <c r="KQ324" s="21">
        <f t="shared" si="1454"/>
        <v>0</v>
      </c>
      <c r="KR324" s="21">
        <f t="shared" si="1454"/>
        <v>0</v>
      </c>
      <c r="KS324" s="21">
        <f t="shared" si="1454"/>
        <v>0</v>
      </c>
      <c r="KT324" s="21">
        <f t="shared" ref="KT324:LA324" si="1455">IF($F$290, 0, IF($G$296, IF(AND(COLUMN($KT$324)-COLUMN($IX$319)=$Q$291,ROW($KT$324)-ROW($IX$319)=$K$291), U$290, KT324), KT324))</f>
        <v>0</v>
      </c>
      <c r="KU324" s="21">
        <f t="shared" si="1455"/>
        <v>0</v>
      </c>
      <c r="KV324" s="21">
        <f t="shared" si="1455"/>
        <v>0</v>
      </c>
      <c r="KW324" s="21">
        <f t="shared" si="1455"/>
        <v>0</v>
      </c>
      <c r="KX324" s="21">
        <f t="shared" si="1455"/>
        <v>0</v>
      </c>
      <c r="KY324" s="21">
        <f t="shared" si="1455"/>
        <v>0</v>
      </c>
      <c r="KZ324" s="21">
        <f t="shared" si="1455"/>
        <v>0</v>
      </c>
      <c r="LA324" s="21">
        <f t="shared" si="1455"/>
        <v>0</v>
      </c>
      <c r="LB324" s="21">
        <f t="shared" ref="LB324:LI324" si="1456">IF($F$290, 0, IF($G$296, IF(AND(COLUMN($LB$324)-COLUMN($IX$319)=$Q$291,ROW($LB$324)-ROW($IX$319)=$K$291), U$290, LB324), LB324))</f>
        <v>0</v>
      </c>
      <c r="LC324" s="21">
        <f t="shared" si="1456"/>
        <v>0</v>
      </c>
      <c r="LD324" s="21">
        <f t="shared" si="1456"/>
        <v>0</v>
      </c>
      <c r="LE324" s="21">
        <f t="shared" si="1456"/>
        <v>0</v>
      </c>
      <c r="LF324" s="21">
        <f t="shared" si="1456"/>
        <v>0</v>
      </c>
      <c r="LG324" s="21">
        <f t="shared" si="1456"/>
        <v>0</v>
      </c>
      <c r="LH324" s="21">
        <f t="shared" si="1456"/>
        <v>0</v>
      </c>
      <c r="LI324" s="21">
        <f t="shared" si="1456"/>
        <v>0</v>
      </c>
      <c r="LJ324" s="21">
        <f t="shared" ref="LJ324:LQ324" si="1457">IF($F$290, 0, IF($H$296, IF(AND(COLUMN($LJ$324)-COLUMN($LJ$319)=$Q$291,ROW($LJ$324)-ROW($LJ$319)=$K$291), U$290, LJ324), LJ324))</f>
        <v>0</v>
      </c>
      <c r="LK324" s="21">
        <f t="shared" si="1457"/>
        <v>0</v>
      </c>
      <c r="LL324" s="21">
        <f t="shared" si="1457"/>
        <v>0</v>
      </c>
      <c r="LM324" s="21">
        <f t="shared" si="1457"/>
        <v>0</v>
      </c>
      <c r="LN324" s="21">
        <f t="shared" si="1457"/>
        <v>0</v>
      </c>
      <c r="LO324" s="21">
        <f t="shared" si="1457"/>
        <v>0</v>
      </c>
      <c r="LP324" s="21">
        <f t="shared" si="1457"/>
        <v>0</v>
      </c>
      <c r="LQ324" s="21">
        <f t="shared" si="1457"/>
        <v>0</v>
      </c>
      <c r="LR324" s="21">
        <f t="shared" ref="LR324:LY324" si="1458">IF($F$290, 0, IF($H$296, IF(AND(COLUMN($LR$324)-COLUMN($LJ$319)=$Q$291,ROW($LR$324)-ROW($LJ$319)=$K$291), U$290, LR324), LR324))</f>
        <v>0</v>
      </c>
      <c r="LS324" s="21">
        <f t="shared" si="1458"/>
        <v>0</v>
      </c>
      <c r="LT324" s="21">
        <f t="shared" si="1458"/>
        <v>0</v>
      </c>
      <c r="LU324" s="21">
        <f t="shared" si="1458"/>
        <v>0</v>
      </c>
      <c r="LV324" s="21">
        <f t="shared" si="1458"/>
        <v>0</v>
      </c>
      <c r="LW324" s="21">
        <f t="shared" si="1458"/>
        <v>0</v>
      </c>
      <c r="LX324" s="21">
        <f t="shared" si="1458"/>
        <v>0</v>
      </c>
      <c r="LY324" s="21">
        <f t="shared" si="1458"/>
        <v>0</v>
      </c>
      <c r="LZ324" s="21">
        <f t="shared" ref="LZ324:MG324" si="1459">IF($F$290, 0, IF($H$296, IF(AND(COLUMN($LZ$324)-COLUMN($LJ$319)=$Q$291,ROW($LZ$324)-ROW($LJ$319)=$K$291), U$290, LZ324), LZ324))</f>
        <v>0</v>
      </c>
      <c r="MA324" s="21">
        <f t="shared" si="1459"/>
        <v>0</v>
      </c>
      <c r="MB324" s="21">
        <f t="shared" si="1459"/>
        <v>0</v>
      </c>
      <c r="MC324" s="21">
        <f t="shared" si="1459"/>
        <v>0</v>
      </c>
      <c r="MD324" s="21">
        <f t="shared" si="1459"/>
        <v>0</v>
      </c>
      <c r="ME324" s="21">
        <f t="shared" si="1459"/>
        <v>0</v>
      </c>
      <c r="MF324" s="21">
        <f t="shared" si="1459"/>
        <v>0</v>
      </c>
      <c r="MG324" s="21">
        <f t="shared" si="1459"/>
        <v>0</v>
      </c>
      <c r="MH324" s="21">
        <f t="shared" ref="MH324:MO324" si="1460">IF($F$290, 0, IF($H$296, IF(AND(COLUMN($MH$324)-COLUMN($LJ$319)=$Q$291,ROW($MH$324)-ROW($LJ$319)=$K$291), U$290, MH324), MH324))</f>
        <v>0</v>
      </c>
      <c r="MI324" s="21">
        <f t="shared" si="1460"/>
        <v>0</v>
      </c>
      <c r="MJ324" s="21">
        <f t="shared" si="1460"/>
        <v>0</v>
      </c>
      <c r="MK324" s="21">
        <f t="shared" si="1460"/>
        <v>0</v>
      </c>
      <c r="ML324" s="21">
        <f t="shared" si="1460"/>
        <v>0</v>
      </c>
      <c r="MM324" s="21">
        <f t="shared" si="1460"/>
        <v>0</v>
      </c>
      <c r="MN324" s="21">
        <f t="shared" si="1460"/>
        <v>0</v>
      </c>
      <c r="MO324" s="21">
        <f t="shared" si="1460"/>
        <v>0</v>
      </c>
      <c r="MP324" s="21">
        <f t="shared" ref="MP324:MW324" si="1461">IF($F$290, 0, IF($H$296, IF(AND(COLUMN($MP$324)-COLUMN($LJ$319)=$Q$291,ROW($MP$324)-ROW($LJ$319)=$K$291), U$290, MP324), MP324))</f>
        <v>0</v>
      </c>
      <c r="MQ324" s="21">
        <f t="shared" si="1461"/>
        <v>0</v>
      </c>
      <c r="MR324" s="21">
        <f t="shared" si="1461"/>
        <v>0</v>
      </c>
      <c r="MS324" s="21">
        <f t="shared" si="1461"/>
        <v>0</v>
      </c>
      <c r="MT324" s="21">
        <f t="shared" si="1461"/>
        <v>0</v>
      </c>
      <c r="MU324" s="21">
        <f t="shared" si="1461"/>
        <v>0</v>
      </c>
      <c r="MV324" s="21">
        <f t="shared" si="1461"/>
        <v>0</v>
      </c>
      <c r="MW324" s="21">
        <f t="shared" si="1461"/>
        <v>0</v>
      </c>
      <c r="MX324" s="21">
        <f t="shared" ref="MX324:NE324" si="1462">IF($F$290, 0, IF($H$296, IF(AND(COLUMN($MX$324)-COLUMN($LJ$319)=$Q$291,ROW($MX$324)-ROW($LJ$319)=$K$291), U$290, MX324), MX324))</f>
        <v>0</v>
      </c>
      <c r="MY324" s="21">
        <f t="shared" si="1462"/>
        <v>0</v>
      </c>
      <c r="MZ324" s="21">
        <f t="shared" si="1462"/>
        <v>0</v>
      </c>
      <c r="NA324" s="21">
        <f t="shared" si="1462"/>
        <v>0</v>
      </c>
      <c r="NB324" s="21">
        <f t="shared" si="1462"/>
        <v>0</v>
      </c>
      <c r="NC324" s="21">
        <f t="shared" si="1462"/>
        <v>0</v>
      </c>
      <c r="ND324" s="21">
        <f t="shared" si="1462"/>
        <v>0</v>
      </c>
      <c r="NE324" s="21">
        <f t="shared" si="1462"/>
        <v>0</v>
      </c>
      <c r="NF324" s="21">
        <f t="shared" ref="NF324:NM324" si="1463">IF($F$290, 0, IF($H$296, IF(AND(COLUMN($NF$324)-COLUMN($LJ$319)=$Q$291,ROW($NF$324)-ROW($LJ$319)=$K$291), U$290, NF324), NF324))</f>
        <v>0</v>
      </c>
      <c r="NG324" s="21">
        <f t="shared" si="1463"/>
        <v>0</v>
      </c>
      <c r="NH324" s="21">
        <f t="shared" si="1463"/>
        <v>0</v>
      </c>
      <c r="NI324" s="21">
        <f t="shared" si="1463"/>
        <v>0</v>
      </c>
      <c r="NJ324" s="21">
        <f t="shared" si="1463"/>
        <v>0</v>
      </c>
      <c r="NK324" s="21">
        <f t="shared" si="1463"/>
        <v>0</v>
      </c>
      <c r="NL324" s="21">
        <f t="shared" si="1463"/>
        <v>0</v>
      </c>
      <c r="NM324" s="21">
        <f t="shared" si="1463"/>
        <v>0</v>
      </c>
      <c r="NN324" s="21">
        <f t="shared" ref="NN324:NU324" si="1464">IF($F$290, 0, IF($H$296, IF(AND(COLUMN($NN$324)-COLUMN($LJ$319)=$Q$291,ROW($NN$324)-ROW($LJ$319)=$K$291), U$290, NN324), NN324))</f>
        <v>0</v>
      </c>
      <c r="NO324" s="21">
        <f t="shared" si="1464"/>
        <v>0</v>
      </c>
      <c r="NP324" s="21">
        <f t="shared" si="1464"/>
        <v>0</v>
      </c>
      <c r="NQ324" s="21">
        <f t="shared" si="1464"/>
        <v>0</v>
      </c>
      <c r="NR324" s="21">
        <f t="shared" si="1464"/>
        <v>0</v>
      </c>
      <c r="NS324" s="21">
        <f t="shared" si="1464"/>
        <v>0</v>
      </c>
      <c r="NT324" s="21">
        <f t="shared" si="1464"/>
        <v>0</v>
      </c>
      <c r="NU324" s="21">
        <f t="shared" si="1464"/>
        <v>0</v>
      </c>
      <c r="NV324" s="21">
        <f t="shared" ref="NV324:OC324" si="1465">IF($F$290, 0, IF($I$296, IF(AND(COLUMN($NV$324)-COLUMN($NV$319)=$Q$291,ROW($NV$324)-ROW($NV$319)=$K$291), U$290, NV324), NV324))</f>
        <v>0</v>
      </c>
      <c r="NW324" s="21">
        <f t="shared" si="1465"/>
        <v>0</v>
      </c>
      <c r="NX324" s="21">
        <f t="shared" si="1465"/>
        <v>0</v>
      </c>
      <c r="NY324" s="21">
        <f t="shared" si="1465"/>
        <v>0</v>
      </c>
      <c r="NZ324" s="21">
        <f t="shared" si="1465"/>
        <v>0</v>
      </c>
      <c r="OA324" s="21">
        <f t="shared" si="1465"/>
        <v>0</v>
      </c>
      <c r="OB324" s="21">
        <f t="shared" si="1465"/>
        <v>0</v>
      </c>
      <c r="OC324" s="21">
        <f t="shared" si="1465"/>
        <v>0</v>
      </c>
      <c r="OD324" s="21">
        <f t="shared" ref="OD324:OK324" si="1466">IF($F$290, 0, IF($I$296, IF(AND(COLUMN($OD$324)-COLUMN($NV$319)=$Q$291,ROW($OD$324)-ROW($NV$319)=$K$291), U$290, OD324), OD324))</f>
        <v>0</v>
      </c>
      <c r="OE324" s="21">
        <f t="shared" si="1466"/>
        <v>0</v>
      </c>
      <c r="OF324" s="21">
        <f t="shared" si="1466"/>
        <v>0</v>
      </c>
      <c r="OG324" s="21">
        <f t="shared" si="1466"/>
        <v>0</v>
      </c>
      <c r="OH324" s="21">
        <f t="shared" si="1466"/>
        <v>0</v>
      </c>
      <c r="OI324" s="21">
        <f t="shared" si="1466"/>
        <v>0</v>
      </c>
      <c r="OJ324" s="21">
        <f t="shared" si="1466"/>
        <v>0</v>
      </c>
      <c r="OK324" s="21">
        <f t="shared" si="1466"/>
        <v>0</v>
      </c>
      <c r="OL324" s="21">
        <f t="shared" ref="OL324:OS324" si="1467">IF($F$290, 0, IF($I$296, IF(AND(COLUMN($OL$324)-COLUMN($NV$319)=$Q$291,ROW($OL$324)-ROW($NV$319)=$K$291), U$290, OL324), OL324))</f>
        <v>0</v>
      </c>
      <c r="OM324" s="21">
        <f t="shared" si="1467"/>
        <v>0</v>
      </c>
      <c r="ON324" s="21">
        <f t="shared" si="1467"/>
        <v>0</v>
      </c>
      <c r="OO324" s="21">
        <f t="shared" si="1467"/>
        <v>0</v>
      </c>
      <c r="OP324" s="21">
        <f t="shared" si="1467"/>
        <v>0</v>
      </c>
      <c r="OQ324" s="21">
        <f t="shared" si="1467"/>
        <v>0</v>
      </c>
      <c r="OR324" s="21">
        <f t="shared" si="1467"/>
        <v>0</v>
      </c>
      <c r="OS324" s="21">
        <f t="shared" si="1467"/>
        <v>0</v>
      </c>
      <c r="OT324" s="21">
        <f t="shared" ref="OT324:PA324" si="1468">IF($F$290, 0, IF($I$296, IF(AND(COLUMN($OT$324)-COLUMN($NV$319)=$Q$291,ROW($OT$324)-ROW($NV$319)=$K$291), U$290, OT324), OT324))</f>
        <v>0</v>
      </c>
      <c r="OU324" s="21">
        <f t="shared" si="1468"/>
        <v>0</v>
      </c>
      <c r="OV324" s="21">
        <f t="shared" si="1468"/>
        <v>0</v>
      </c>
      <c r="OW324" s="21">
        <f t="shared" si="1468"/>
        <v>0</v>
      </c>
      <c r="OX324" s="21">
        <f t="shared" si="1468"/>
        <v>0</v>
      </c>
      <c r="OY324" s="21">
        <f t="shared" si="1468"/>
        <v>0</v>
      </c>
      <c r="OZ324" s="21">
        <f t="shared" si="1468"/>
        <v>0</v>
      </c>
      <c r="PA324" s="21">
        <f t="shared" si="1468"/>
        <v>0</v>
      </c>
      <c r="PB324" s="21">
        <f t="shared" ref="PB324:PI324" si="1469">IF($F$290, 0, IF($I$296, IF(AND(COLUMN($PB$324)-COLUMN($NV$319)=$Q$291,ROW($PB$324)-ROW($NV$319)=$K$291), U$290, PB324), PB324))</f>
        <v>0</v>
      </c>
      <c r="PC324" s="21">
        <f t="shared" si="1469"/>
        <v>0</v>
      </c>
      <c r="PD324" s="21">
        <f t="shared" si="1469"/>
        <v>0</v>
      </c>
      <c r="PE324" s="21">
        <f t="shared" si="1469"/>
        <v>0</v>
      </c>
      <c r="PF324" s="21">
        <f t="shared" si="1469"/>
        <v>0</v>
      </c>
      <c r="PG324" s="21">
        <f t="shared" si="1469"/>
        <v>0</v>
      </c>
      <c r="PH324" s="21">
        <f t="shared" si="1469"/>
        <v>0</v>
      </c>
      <c r="PI324" s="21">
        <f t="shared" si="1469"/>
        <v>0</v>
      </c>
      <c r="PJ324" s="21">
        <f t="shared" ref="PJ324:PQ324" si="1470">IF($F$290, 0, IF($I$296, IF(AND(COLUMN($PJ$324)-COLUMN($NV$319)=$Q$291,ROW($PJ$324)-ROW($NV$319)=$K$291), U$290, PJ324), PJ324))</f>
        <v>0</v>
      </c>
      <c r="PK324" s="21">
        <f t="shared" si="1470"/>
        <v>0</v>
      </c>
      <c r="PL324" s="21">
        <f t="shared" si="1470"/>
        <v>0</v>
      </c>
      <c r="PM324" s="21">
        <f t="shared" si="1470"/>
        <v>0</v>
      </c>
      <c r="PN324" s="21">
        <f t="shared" si="1470"/>
        <v>0</v>
      </c>
      <c r="PO324" s="21">
        <f t="shared" si="1470"/>
        <v>0</v>
      </c>
      <c r="PP324" s="21">
        <f t="shared" si="1470"/>
        <v>0</v>
      </c>
      <c r="PQ324" s="21">
        <f t="shared" si="1470"/>
        <v>0</v>
      </c>
      <c r="PR324" s="21">
        <f t="shared" ref="PR324:PY324" si="1471">IF($F$290, 0, IF($I$296, IF(AND(COLUMN($PR$324)-COLUMN($NV$319)=$Q$291,ROW($PR$324)-ROW($NV$319)=$K$291), U$290, PR324), PR324))</f>
        <v>0</v>
      </c>
      <c r="PS324" s="21">
        <f t="shared" si="1471"/>
        <v>0</v>
      </c>
      <c r="PT324" s="21">
        <f t="shared" si="1471"/>
        <v>0</v>
      </c>
      <c r="PU324" s="21">
        <f t="shared" si="1471"/>
        <v>0</v>
      </c>
      <c r="PV324" s="21">
        <f t="shared" si="1471"/>
        <v>0</v>
      </c>
      <c r="PW324" s="21">
        <f t="shared" si="1471"/>
        <v>0</v>
      </c>
      <c r="PX324" s="21">
        <f t="shared" si="1471"/>
        <v>0</v>
      </c>
      <c r="PY324" s="21">
        <f t="shared" si="1471"/>
        <v>0</v>
      </c>
      <c r="PZ324" s="21">
        <f t="shared" ref="PZ324:QG324" si="1472">IF($F$290, 0, IF($I$296, IF(AND(COLUMN($PZ$324)-COLUMN($NV$319)=$Q$291,ROW($PZ$324)-ROW($NV$319)=$K$291), U$290, PZ324), PZ324))</f>
        <v>0</v>
      </c>
      <c r="QA324" s="21">
        <f t="shared" si="1472"/>
        <v>0</v>
      </c>
      <c r="QB324" s="21">
        <f t="shared" si="1472"/>
        <v>0</v>
      </c>
      <c r="QC324" s="21">
        <f t="shared" si="1472"/>
        <v>0</v>
      </c>
      <c r="QD324" s="21">
        <f t="shared" si="1472"/>
        <v>0</v>
      </c>
      <c r="QE324" s="21">
        <f t="shared" si="1472"/>
        <v>0</v>
      </c>
      <c r="QF324" s="21">
        <f t="shared" si="1472"/>
        <v>0</v>
      </c>
      <c r="QG324" s="21">
        <f t="shared" si="1472"/>
        <v>0</v>
      </c>
      <c r="QH324" s="21">
        <f t="shared" ref="QH324:QO324" si="1473">IF($F$290, 0, IF($J$296, IF(AND(COLUMN($QH$324)-COLUMN($QH$319)=$Q$291,ROW($QH$324)-ROW($QH$319)=$K$291), U$290, QH324), QH324))</f>
        <v>0</v>
      </c>
      <c r="QI324" s="21">
        <f t="shared" si="1473"/>
        <v>0</v>
      </c>
      <c r="QJ324" s="21">
        <f t="shared" si="1473"/>
        <v>0</v>
      </c>
      <c r="QK324" s="21">
        <f t="shared" si="1473"/>
        <v>0</v>
      </c>
      <c r="QL324" s="21">
        <f t="shared" si="1473"/>
        <v>0</v>
      </c>
      <c r="QM324" s="21">
        <f t="shared" si="1473"/>
        <v>0</v>
      </c>
      <c r="QN324" s="21">
        <f t="shared" si="1473"/>
        <v>0</v>
      </c>
      <c r="QO324" s="21">
        <f t="shared" si="1473"/>
        <v>0</v>
      </c>
      <c r="QP324" s="21">
        <f t="shared" ref="QP324:QW324" si="1474">IF($F$290, 0, IF($J$296, IF(AND(COLUMN($QP$324)-COLUMN($QH$319)=$Q$291,ROW($QP$324)-ROW($QH$319)=$K$291), U$290, QP324), QP324))</f>
        <v>0</v>
      </c>
      <c r="QQ324" s="21">
        <f t="shared" si="1474"/>
        <v>0</v>
      </c>
      <c r="QR324" s="21">
        <f t="shared" si="1474"/>
        <v>0</v>
      </c>
      <c r="QS324" s="21">
        <f t="shared" si="1474"/>
        <v>0</v>
      </c>
      <c r="QT324" s="21">
        <f t="shared" si="1474"/>
        <v>0</v>
      </c>
      <c r="QU324" s="21">
        <f t="shared" si="1474"/>
        <v>0</v>
      </c>
      <c r="QV324" s="21">
        <f t="shared" si="1474"/>
        <v>0</v>
      </c>
      <c r="QW324" s="21">
        <f t="shared" si="1474"/>
        <v>0</v>
      </c>
      <c r="QX324" s="21">
        <f t="shared" ref="QX324:RE324" si="1475">IF($F$290, 0, IF($J$296, IF(AND(COLUMN($QX$324)-COLUMN($QH$319)=$Q$291,ROW($QX$324)-ROW($QH$319)=$K$291), U$290, QX324), QX324))</f>
        <v>0</v>
      </c>
      <c r="QY324" s="21">
        <f t="shared" si="1475"/>
        <v>0</v>
      </c>
      <c r="QZ324" s="21">
        <f t="shared" si="1475"/>
        <v>0</v>
      </c>
      <c r="RA324" s="21">
        <f t="shared" si="1475"/>
        <v>0</v>
      </c>
      <c r="RB324" s="21">
        <f t="shared" si="1475"/>
        <v>0</v>
      </c>
      <c r="RC324" s="21">
        <f t="shared" si="1475"/>
        <v>0</v>
      </c>
      <c r="RD324" s="21">
        <f t="shared" si="1475"/>
        <v>0</v>
      </c>
      <c r="RE324" s="21">
        <f t="shared" si="1475"/>
        <v>0</v>
      </c>
      <c r="RF324" s="21">
        <f t="shared" ref="RF324:RM324" si="1476">IF($F$290, 0, IF($J$296, IF(AND(COLUMN($RF$324)-COLUMN($QH$319)=$Q$291,ROW($RF$324)-ROW($QH$319)=$K$291), U$290, RF324), RF324))</f>
        <v>0</v>
      </c>
      <c r="RG324" s="21">
        <f t="shared" si="1476"/>
        <v>0</v>
      </c>
      <c r="RH324" s="21">
        <f t="shared" si="1476"/>
        <v>0</v>
      </c>
      <c r="RI324" s="21">
        <f t="shared" si="1476"/>
        <v>0</v>
      </c>
      <c r="RJ324" s="21">
        <f t="shared" si="1476"/>
        <v>0</v>
      </c>
      <c r="RK324" s="21">
        <f t="shared" si="1476"/>
        <v>0</v>
      </c>
      <c r="RL324" s="21">
        <f t="shared" si="1476"/>
        <v>0</v>
      </c>
      <c r="RM324" s="21">
        <f t="shared" si="1476"/>
        <v>0</v>
      </c>
      <c r="RN324" s="21">
        <f t="shared" ref="RN324:RU324" si="1477">IF($F$290, 0, IF($J$296, IF(AND(COLUMN($RN$324)-COLUMN($QH$319)=$Q$291,ROW($RN$324)-ROW($QH$319)=$K$291), U$290, RN324), RN324))</f>
        <v>0</v>
      </c>
      <c r="RO324" s="21">
        <f t="shared" si="1477"/>
        <v>0</v>
      </c>
      <c r="RP324" s="21">
        <f t="shared" si="1477"/>
        <v>0</v>
      </c>
      <c r="RQ324" s="21">
        <f t="shared" si="1477"/>
        <v>0</v>
      </c>
      <c r="RR324" s="21">
        <f t="shared" si="1477"/>
        <v>0</v>
      </c>
      <c r="RS324" s="21">
        <f t="shared" si="1477"/>
        <v>0</v>
      </c>
      <c r="RT324" s="21">
        <f t="shared" si="1477"/>
        <v>0</v>
      </c>
      <c r="RU324" s="21">
        <f t="shared" si="1477"/>
        <v>0</v>
      </c>
      <c r="RV324" s="21">
        <f t="shared" ref="RV324:SC324" si="1478">IF($F$290, 0, IF($J$296, IF(AND(COLUMN($RV$324)-COLUMN($QH$319)=$Q$291,ROW($RV$324)-ROW($QH$319)=$K$291), U$290, RV324), RV324))</f>
        <v>0</v>
      </c>
      <c r="RW324" s="21">
        <f t="shared" si="1478"/>
        <v>0</v>
      </c>
      <c r="RX324" s="21">
        <f t="shared" si="1478"/>
        <v>0</v>
      </c>
      <c r="RY324" s="21">
        <f t="shared" si="1478"/>
        <v>0</v>
      </c>
      <c r="RZ324" s="21">
        <f t="shared" si="1478"/>
        <v>0</v>
      </c>
      <c r="SA324" s="21">
        <f t="shared" si="1478"/>
        <v>0</v>
      </c>
      <c r="SB324" s="21">
        <f t="shared" si="1478"/>
        <v>0</v>
      </c>
      <c r="SC324" s="21">
        <f t="shared" si="1478"/>
        <v>0</v>
      </c>
      <c r="SD324" s="21">
        <f t="shared" ref="SD324:SK324" si="1479">IF($F$290, 0, IF($J$296, IF(AND(COLUMN($SD$324)-COLUMN($QH$319)=$Q$291,ROW($SD$324)-ROW($QH$319)=$K$291), U$290, SD324), SD324))</f>
        <v>0</v>
      </c>
      <c r="SE324" s="21">
        <f t="shared" si="1479"/>
        <v>0</v>
      </c>
      <c r="SF324" s="21">
        <f t="shared" si="1479"/>
        <v>0</v>
      </c>
      <c r="SG324" s="21">
        <f t="shared" si="1479"/>
        <v>0</v>
      </c>
      <c r="SH324" s="21">
        <f t="shared" si="1479"/>
        <v>0</v>
      </c>
      <c r="SI324" s="21">
        <f t="shared" si="1479"/>
        <v>0</v>
      </c>
      <c r="SJ324" s="21">
        <f t="shared" si="1479"/>
        <v>0</v>
      </c>
      <c r="SK324" s="21">
        <f t="shared" si="1479"/>
        <v>0</v>
      </c>
      <c r="SL324" s="21">
        <f t="shared" ref="SL324:SS324" si="1480">IF($F$290, 0, IF($J$296, IF(AND(COLUMN($SL$324)-COLUMN($QH$319)=$Q$291,ROW($SL$324)-ROW($QH$319)=$K$291), U$290, SL324), SL324))</f>
        <v>0</v>
      </c>
      <c r="SM324" s="21">
        <f t="shared" si="1480"/>
        <v>0</v>
      </c>
      <c r="SN324" s="21">
        <f t="shared" si="1480"/>
        <v>0</v>
      </c>
      <c r="SO324" s="21">
        <f t="shared" si="1480"/>
        <v>0</v>
      </c>
      <c r="SP324" s="21">
        <f t="shared" si="1480"/>
        <v>0</v>
      </c>
      <c r="SQ324" s="21">
        <f t="shared" si="1480"/>
        <v>0</v>
      </c>
      <c r="SR324" s="21">
        <f t="shared" si="1480"/>
        <v>0</v>
      </c>
      <c r="SS324" s="21">
        <f t="shared" si="1480"/>
        <v>0</v>
      </c>
    </row>
    <row r="325" spans="2:513" ht="15" customHeight="1" x14ac:dyDescent="0.25">
      <c r="B325" s="21">
        <f t="shared" ref="B325:I325" si="1481">IF($F$290, 0, IF($C$296, IF(AND(COLUMN($B$325)-COLUMN($B$319)=$Q$291,ROW($B$325)-ROW($B$319)=$K$291), U$290, B325), B325))</f>
        <v>0</v>
      </c>
      <c r="C325" s="21">
        <f t="shared" si="1481"/>
        <v>0</v>
      </c>
      <c r="D325" s="21">
        <f t="shared" si="1481"/>
        <v>0</v>
      </c>
      <c r="E325" s="21">
        <f t="shared" si="1481"/>
        <v>0</v>
      </c>
      <c r="F325" s="21">
        <f t="shared" si="1481"/>
        <v>0</v>
      </c>
      <c r="G325" s="21">
        <f t="shared" si="1481"/>
        <v>0</v>
      </c>
      <c r="H325" s="21">
        <f t="shared" si="1481"/>
        <v>0</v>
      </c>
      <c r="I325" s="21">
        <f t="shared" si="1481"/>
        <v>0</v>
      </c>
      <c r="J325" s="21">
        <f t="shared" ref="J325:Q325" si="1482">IF($F$290, 0, IF($C$296, IF(AND(COLUMN($J$325)-COLUMN($B$319)=$Q$291,ROW($J$325)-ROW($B$319)=$K$291), U$290, J325), J325))</f>
        <v>0</v>
      </c>
      <c r="K325" s="21">
        <f t="shared" si="1482"/>
        <v>0</v>
      </c>
      <c r="L325" s="21">
        <f t="shared" si="1482"/>
        <v>0</v>
      </c>
      <c r="M325" s="21">
        <f t="shared" si="1482"/>
        <v>0</v>
      </c>
      <c r="N325" s="21">
        <f t="shared" si="1482"/>
        <v>0</v>
      </c>
      <c r="O325" s="21">
        <f t="shared" si="1482"/>
        <v>0</v>
      </c>
      <c r="P325" s="21">
        <f t="shared" si="1482"/>
        <v>0</v>
      </c>
      <c r="Q325" s="21">
        <f t="shared" si="1482"/>
        <v>0</v>
      </c>
      <c r="R325" s="21">
        <f>IF($F$290, 0, IF($C$296, IF(AND(COLUMN($R$325)-COLUMN($B$319)=$Q$291,ROW($R$325)-ROW($B$319)=$K$291), U$290, R325), R325))</f>
        <v>0</v>
      </c>
      <c r="S325" s="21">
        <f t="shared" ref="S325:Y325" si="1483">IF($F$290, 0, IF($C$296, IF(AND(COLUMN($R$325)-COLUMN($B$319)=$Q$291,ROW($R$325)-ROW($B$319)=$K$291), V$290, S325), S325))</f>
        <v>0</v>
      </c>
      <c r="T325" s="21">
        <f t="shared" si="1483"/>
        <v>0</v>
      </c>
      <c r="U325" s="21">
        <f t="shared" si="1483"/>
        <v>0</v>
      </c>
      <c r="V325" s="21">
        <f t="shared" si="1483"/>
        <v>0</v>
      </c>
      <c r="W325" s="21">
        <f t="shared" si="1483"/>
        <v>0</v>
      </c>
      <c r="X325" s="21">
        <f t="shared" si="1483"/>
        <v>0</v>
      </c>
      <c r="Y325" s="21">
        <f t="shared" si="1483"/>
        <v>0</v>
      </c>
      <c r="Z325" s="21">
        <f t="shared" ref="Z325:AG325" si="1484">IF($F$290, 0, IF($C$296, IF(AND(COLUMN($Z$325)-COLUMN($B$319)=$Q$291,ROW($Z$325)-ROW($B$319)=$K$291), U$290, Z325), Z325))</f>
        <v>0</v>
      </c>
      <c r="AA325" s="21">
        <f t="shared" si="1484"/>
        <v>0</v>
      </c>
      <c r="AB325" s="21">
        <f t="shared" si="1484"/>
        <v>0</v>
      </c>
      <c r="AC325" s="21">
        <f t="shared" si="1484"/>
        <v>0</v>
      </c>
      <c r="AD325" s="21">
        <f t="shared" si="1484"/>
        <v>0</v>
      </c>
      <c r="AE325" s="21">
        <f t="shared" si="1484"/>
        <v>0</v>
      </c>
      <c r="AF325" s="21">
        <f t="shared" si="1484"/>
        <v>0</v>
      </c>
      <c r="AG325" s="21">
        <f t="shared" si="1484"/>
        <v>0</v>
      </c>
      <c r="AH325" s="21">
        <f t="shared" ref="AH325:AO325" si="1485">IF($F$290, 0, IF($C$296, IF(AND(COLUMN($AH$325)-COLUMN($B$319)=$Q$291,ROW($AH$325)-ROW($B$319)=$K$291), U$290, AH325), AH325))</f>
        <v>0</v>
      </c>
      <c r="AI325" s="21">
        <f t="shared" si="1485"/>
        <v>0</v>
      </c>
      <c r="AJ325" s="21">
        <f t="shared" si="1485"/>
        <v>0</v>
      </c>
      <c r="AK325" s="21">
        <f t="shared" si="1485"/>
        <v>0</v>
      </c>
      <c r="AL325" s="21">
        <f t="shared" si="1485"/>
        <v>0</v>
      </c>
      <c r="AM325" s="21">
        <f t="shared" si="1485"/>
        <v>0</v>
      </c>
      <c r="AN325" s="21">
        <f t="shared" si="1485"/>
        <v>0</v>
      </c>
      <c r="AO325" s="21">
        <f t="shared" si="1485"/>
        <v>0</v>
      </c>
      <c r="AP325" s="21">
        <f t="shared" ref="AP325:AW325" si="1486">IF($F$290, 0, IF($C$296, IF(AND(COLUMN($AP$325)-COLUMN($B$319)=$Q$291,ROW($AP$325)-ROW($B$319)=$K$291), U$290, AP325), AP325))</f>
        <v>0</v>
      </c>
      <c r="AQ325" s="21">
        <f t="shared" si="1486"/>
        <v>0</v>
      </c>
      <c r="AR325" s="21">
        <f t="shared" si="1486"/>
        <v>0</v>
      </c>
      <c r="AS325" s="21">
        <f t="shared" si="1486"/>
        <v>0</v>
      </c>
      <c r="AT325" s="21">
        <f t="shared" si="1486"/>
        <v>0</v>
      </c>
      <c r="AU325" s="21">
        <f t="shared" si="1486"/>
        <v>0</v>
      </c>
      <c r="AV325" s="21">
        <f t="shared" si="1486"/>
        <v>0</v>
      </c>
      <c r="AW325" s="21">
        <f t="shared" si="1486"/>
        <v>0</v>
      </c>
      <c r="AX325" s="21">
        <f t="shared" ref="AX325:BE325" si="1487">IF($F$290, 0, IF($C$296, IF(AND(COLUMN($AX$325)-COLUMN($B$319)=$Q$291,ROW($AX$325)-ROW($B$319)=$K$291), U$290, AX325), AX325))</f>
        <v>0</v>
      </c>
      <c r="AY325" s="21">
        <f t="shared" si="1487"/>
        <v>0</v>
      </c>
      <c r="AZ325" s="21">
        <f t="shared" si="1487"/>
        <v>0</v>
      </c>
      <c r="BA325" s="21">
        <f t="shared" si="1487"/>
        <v>0</v>
      </c>
      <c r="BB325" s="21">
        <f t="shared" si="1487"/>
        <v>0</v>
      </c>
      <c r="BC325" s="21">
        <f t="shared" si="1487"/>
        <v>0</v>
      </c>
      <c r="BD325" s="21">
        <f t="shared" si="1487"/>
        <v>0</v>
      </c>
      <c r="BE325" s="21">
        <f t="shared" si="1487"/>
        <v>0</v>
      </c>
      <c r="BF325" s="21">
        <f t="shared" ref="BF325:BM325" si="1488">IF($F$290, 0, IF($C$296, IF(AND(COLUMN($BF$325)-COLUMN($B$319)=$Q$291,ROW($BF$325)-ROW($B$319)=$K$291), U$290, BF325), BF325))</f>
        <v>0</v>
      </c>
      <c r="BG325" s="21">
        <f t="shared" si="1488"/>
        <v>0</v>
      </c>
      <c r="BH325" s="21">
        <f t="shared" si="1488"/>
        <v>0</v>
      </c>
      <c r="BI325" s="21">
        <f t="shared" si="1488"/>
        <v>0</v>
      </c>
      <c r="BJ325" s="21">
        <f t="shared" si="1488"/>
        <v>0</v>
      </c>
      <c r="BK325" s="21">
        <f t="shared" si="1488"/>
        <v>0</v>
      </c>
      <c r="BL325" s="21">
        <f t="shared" si="1488"/>
        <v>0</v>
      </c>
      <c r="BM325" s="21">
        <f t="shared" si="1488"/>
        <v>0</v>
      </c>
      <c r="BN325" s="21">
        <f t="shared" ref="BN325:BU325" si="1489">IF($F$290, 0, IF($D$296, IF(AND(COLUMN($BN$325)-COLUMN($BN$319)=$Q$291,ROW($BN$325)-ROW($BN$319)=$K$291), U$290, BN325), BN325))</f>
        <v>0</v>
      </c>
      <c r="BO325" s="21">
        <f t="shared" si="1489"/>
        <v>0</v>
      </c>
      <c r="BP325" s="21">
        <f t="shared" si="1489"/>
        <v>0</v>
      </c>
      <c r="BQ325" s="21">
        <f t="shared" si="1489"/>
        <v>0</v>
      </c>
      <c r="BR325" s="21">
        <f t="shared" si="1489"/>
        <v>0</v>
      </c>
      <c r="BS325" s="21">
        <f t="shared" si="1489"/>
        <v>0</v>
      </c>
      <c r="BT325" s="21">
        <f t="shared" si="1489"/>
        <v>0</v>
      </c>
      <c r="BU325" s="21">
        <f t="shared" si="1489"/>
        <v>0</v>
      </c>
      <c r="BV325" s="21">
        <f t="shared" ref="BV325:CC325" si="1490">IF($F$290, 0, IF($D$296, IF(AND(COLUMN($BV$325)-COLUMN($BN$319)=$Q$291,ROW($BV$325)-ROW($BN$319)=$K$291), U$290, BV325), BV325))</f>
        <v>0</v>
      </c>
      <c r="BW325" s="21">
        <f t="shared" si="1490"/>
        <v>0</v>
      </c>
      <c r="BX325" s="21">
        <f t="shared" si="1490"/>
        <v>0</v>
      </c>
      <c r="BY325" s="21">
        <f t="shared" si="1490"/>
        <v>0</v>
      </c>
      <c r="BZ325" s="21">
        <f t="shared" si="1490"/>
        <v>0</v>
      </c>
      <c r="CA325" s="21">
        <f t="shared" si="1490"/>
        <v>0</v>
      </c>
      <c r="CB325" s="21">
        <f t="shared" si="1490"/>
        <v>0</v>
      </c>
      <c r="CC325" s="21">
        <f t="shared" si="1490"/>
        <v>0</v>
      </c>
      <c r="CD325" s="21">
        <f t="shared" ref="CD325:CK325" si="1491">IF($F$290, 0, IF($D$296, IF(AND(COLUMN($CD$325)-COLUMN($BN$319)=$Q$291,ROW($CD$325)-ROW($BN$319)=$K$291), U$290, CD325), CD325))</f>
        <v>0</v>
      </c>
      <c r="CE325" s="21">
        <f t="shared" si="1491"/>
        <v>0</v>
      </c>
      <c r="CF325" s="21">
        <f t="shared" si="1491"/>
        <v>0</v>
      </c>
      <c r="CG325" s="21">
        <f t="shared" si="1491"/>
        <v>0</v>
      </c>
      <c r="CH325" s="21">
        <f t="shared" si="1491"/>
        <v>0</v>
      </c>
      <c r="CI325" s="21">
        <f t="shared" si="1491"/>
        <v>0</v>
      </c>
      <c r="CJ325" s="21">
        <f t="shared" si="1491"/>
        <v>0</v>
      </c>
      <c r="CK325" s="21">
        <f t="shared" si="1491"/>
        <v>0</v>
      </c>
      <c r="CL325" s="21">
        <f t="shared" ref="CL325:CS325" si="1492">IF($F$290, 0, IF($D$296, IF(AND(COLUMN($CL$325)-COLUMN($BN$319)=$Q$291,ROW($CL$325)-ROW($BN$319)=$K$291), U$290, CL325), CL325))</f>
        <v>0</v>
      </c>
      <c r="CM325" s="21">
        <f t="shared" si="1492"/>
        <v>0</v>
      </c>
      <c r="CN325" s="21">
        <f t="shared" si="1492"/>
        <v>0</v>
      </c>
      <c r="CO325" s="21">
        <f t="shared" si="1492"/>
        <v>0</v>
      </c>
      <c r="CP325" s="21">
        <f t="shared" si="1492"/>
        <v>0</v>
      </c>
      <c r="CQ325" s="21">
        <f t="shared" si="1492"/>
        <v>0</v>
      </c>
      <c r="CR325" s="21">
        <f t="shared" si="1492"/>
        <v>0</v>
      </c>
      <c r="CS325" s="21">
        <f t="shared" si="1492"/>
        <v>0</v>
      </c>
      <c r="CT325" s="21">
        <f t="shared" ref="CT325:DA325" si="1493">IF($F$290, 0, IF($D$296, IF(AND(COLUMN($CT$325)-COLUMN($BN$319)=$Q$291,ROW($CT$325)-ROW($BN$319)=$K$291), U$290, CT325), CT325))</f>
        <v>0</v>
      </c>
      <c r="CU325" s="21">
        <f t="shared" si="1493"/>
        <v>0</v>
      </c>
      <c r="CV325" s="21">
        <f t="shared" si="1493"/>
        <v>0</v>
      </c>
      <c r="CW325" s="21">
        <f t="shared" si="1493"/>
        <v>0</v>
      </c>
      <c r="CX325" s="21">
        <f t="shared" si="1493"/>
        <v>0</v>
      </c>
      <c r="CY325" s="21">
        <f t="shared" si="1493"/>
        <v>0</v>
      </c>
      <c r="CZ325" s="21">
        <f t="shared" si="1493"/>
        <v>0</v>
      </c>
      <c r="DA325" s="21">
        <f t="shared" si="1493"/>
        <v>0</v>
      </c>
      <c r="DB325" s="21">
        <f t="shared" ref="DB325:DI325" si="1494">IF($F$290, 0, IF($D$296, IF(AND(COLUMN($DB$325)-COLUMN($BN$319)=$Q$291,ROW($DB$325)-ROW($BN$319)=$K$291), U$290, DB325), DB325))</f>
        <v>0</v>
      </c>
      <c r="DC325" s="21">
        <f t="shared" si="1494"/>
        <v>0</v>
      </c>
      <c r="DD325" s="21">
        <f t="shared" si="1494"/>
        <v>0</v>
      </c>
      <c r="DE325" s="21">
        <f t="shared" si="1494"/>
        <v>0</v>
      </c>
      <c r="DF325" s="21">
        <f t="shared" si="1494"/>
        <v>0</v>
      </c>
      <c r="DG325" s="21">
        <f t="shared" si="1494"/>
        <v>0</v>
      </c>
      <c r="DH325" s="21">
        <f t="shared" si="1494"/>
        <v>0</v>
      </c>
      <c r="DI325" s="21">
        <f t="shared" si="1494"/>
        <v>0</v>
      </c>
      <c r="DJ325" s="21">
        <f t="shared" ref="DJ325:DQ325" si="1495">IF($F$290, 0, IF($D$296, IF(AND(COLUMN($DJ$325)-COLUMN($BN$319)=$Q$291,ROW($DJ$325)-ROW($BN$319)=$K$291), U$290, DJ325), DJ325))</f>
        <v>0</v>
      </c>
      <c r="DK325" s="21">
        <f t="shared" si="1495"/>
        <v>0</v>
      </c>
      <c r="DL325" s="21">
        <f t="shared" si="1495"/>
        <v>0</v>
      </c>
      <c r="DM325" s="21">
        <f t="shared" si="1495"/>
        <v>0</v>
      </c>
      <c r="DN325" s="21">
        <f t="shared" si="1495"/>
        <v>0</v>
      </c>
      <c r="DO325" s="21">
        <f t="shared" si="1495"/>
        <v>0</v>
      </c>
      <c r="DP325" s="21">
        <f t="shared" si="1495"/>
        <v>0</v>
      </c>
      <c r="DQ325" s="21">
        <f t="shared" si="1495"/>
        <v>0</v>
      </c>
      <c r="DR325" s="21">
        <f t="shared" ref="DR325:DY325" si="1496">IF($F$290, 0, IF($D$296, IF(AND(COLUMN($DR$325)-COLUMN($BN$319)=$Q$291,ROW($DR$325)-ROW($BN$319)=$K$291), U$290, DR325), DR325))</f>
        <v>0</v>
      </c>
      <c r="DS325" s="21">
        <f t="shared" si="1496"/>
        <v>0</v>
      </c>
      <c r="DT325" s="21">
        <f t="shared" si="1496"/>
        <v>0</v>
      </c>
      <c r="DU325" s="21">
        <f t="shared" si="1496"/>
        <v>0</v>
      </c>
      <c r="DV325" s="21">
        <f t="shared" si="1496"/>
        <v>0</v>
      </c>
      <c r="DW325" s="21">
        <f t="shared" si="1496"/>
        <v>0</v>
      </c>
      <c r="DX325" s="21">
        <f t="shared" si="1496"/>
        <v>0</v>
      </c>
      <c r="DY325" s="21">
        <f t="shared" si="1496"/>
        <v>0</v>
      </c>
      <c r="DZ325" s="21">
        <f t="shared" ref="DZ325:EG325" si="1497">IF($F$290, 0, IF($E$296, IF(AND(COLUMN($DZ$325)-COLUMN($DZ$319)=$Q$291,ROW($DZ$325)-ROW($DZ$319)=$K$291), U$290, DZ325), DZ325))</f>
        <v>0</v>
      </c>
      <c r="EA325" s="21">
        <f t="shared" si="1497"/>
        <v>0</v>
      </c>
      <c r="EB325" s="21">
        <f t="shared" si="1497"/>
        <v>0</v>
      </c>
      <c r="EC325" s="21">
        <f t="shared" si="1497"/>
        <v>0</v>
      </c>
      <c r="ED325" s="21">
        <f t="shared" si="1497"/>
        <v>0</v>
      </c>
      <c r="EE325" s="21">
        <f t="shared" si="1497"/>
        <v>0</v>
      </c>
      <c r="EF325" s="21">
        <f t="shared" si="1497"/>
        <v>0</v>
      </c>
      <c r="EG325" s="21">
        <f t="shared" si="1497"/>
        <v>0</v>
      </c>
      <c r="EH325" s="21">
        <f t="shared" ref="EH325:EO325" si="1498">IF($F$290, 0, IF($E$296, IF(AND(COLUMN($EH$325)-COLUMN($DZ$319)=$Q$291,ROW($EH$325)-ROW($DZ$319)=$K$291), U$290, EH325), EH325))</f>
        <v>0</v>
      </c>
      <c r="EI325" s="21">
        <f t="shared" si="1498"/>
        <v>0</v>
      </c>
      <c r="EJ325" s="21">
        <f t="shared" si="1498"/>
        <v>0</v>
      </c>
      <c r="EK325" s="21">
        <f t="shared" si="1498"/>
        <v>0</v>
      </c>
      <c r="EL325" s="21">
        <f t="shared" si="1498"/>
        <v>0</v>
      </c>
      <c r="EM325" s="21">
        <f t="shared" si="1498"/>
        <v>0</v>
      </c>
      <c r="EN325" s="21">
        <f t="shared" si="1498"/>
        <v>0</v>
      </c>
      <c r="EO325" s="21">
        <f t="shared" si="1498"/>
        <v>0</v>
      </c>
      <c r="EP325" s="21">
        <f t="shared" ref="EP325:EW325" si="1499">IF($F$290, 0, IF($E$296, IF(AND(COLUMN($EP$325)-COLUMN($DZ$319)=$Q$291,ROW($EP$325)-ROW($DZ$319)=$K$291), U$290, EP325), EP325))</f>
        <v>0</v>
      </c>
      <c r="EQ325" s="21">
        <f t="shared" si="1499"/>
        <v>0</v>
      </c>
      <c r="ER325" s="21">
        <f t="shared" si="1499"/>
        <v>0</v>
      </c>
      <c r="ES325" s="21">
        <f t="shared" si="1499"/>
        <v>0</v>
      </c>
      <c r="ET325" s="21">
        <f t="shared" si="1499"/>
        <v>0</v>
      </c>
      <c r="EU325" s="21">
        <f t="shared" si="1499"/>
        <v>0</v>
      </c>
      <c r="EV325" s="21">
        <f t="shared" si="1499"/>
        <v>0</v>
      </c>
      <c r="EW325" s="21">
        <f t="shared" si="1499"/>
        <v>0</v>
      </c>
      <c r="EX325" s="21">
        <f t="shared" ref="EX325:FE325" si="1500">IF($F$290, 0, IF($E$296, IF(AND(COLUMN($EX$325)-COLUMN($DZ$319)=$Q$291,ROW($EX$325)-ROW($DZ$319)=$K$291), U$290, EX325), EX325))</f>
        <v>0</v>
      </c>
      <c r="EY325" s="21">
        <f t="shared" si="1500"/>
        <v>0</v>
      </c>
      <c r="EZ325" s="21">
        <f t="shared" si="1500"/>
        <v>0</v>
      </c>
      <c r="FA325" s="21">
        <f t="shared" si="1500"/>
        <v>0</v>
      </c>
      <c r="FB325" s="21">
        <f t="shared" si="1500"/>
        <v>0</v>
      </c>
      <c r="FC325" s="21">
        <f t="shared" si="1500"/>
        <v>0</v>
      </c>
      <c r="FD325" s="21">
        <f t="shared" si="1500"/>
        <v>0</v>
      </c>
      <c r="FE325" s="21">
        <f t="shared" si="1500"/>
        <v>0</v>
      </c>
      <c r="FF325" s="21">
        <f t="shared" ref="FF325:FM325" si="1501">IF($F$290, 0, IF($E$296, IF(AND(COLUMN($FF$325)-COLUMN($DZ$319)=$Q$291,ROW($FF$325)-ROW($DZ$319)=$K$291), U$290, FF325), FF325))</f>
        <v>0</v>
      </c>
      <c r="FG325" s="21">
        <f t="shared" si="1501"/>
        <v>0</v>
      </c>
      <c r="FH325" s="21">
        <f t="shared" si="1501"/>
        <v>0</v>
      </c>
      <c r="FI325" s="21">
        <f t="shared" si="1501"/>
        <v>0</v>
      </c>
      <c r="FJ325" s="21">
        <f t="shared" si="1501"/>
        <v>0</v>
      </c>
      <c r="FK325" s="21">
        <f t="shared" si="1501"/>
        <v>0</v>
      </c>
      <c r="FL325" s="21">
        <f t="shared" si="1501"/>
        <v>0</v>
      </c>
      <c r="FM325" s="21">
        <f t="shared" si="1501"/>
        <v>0</v>
      </c>
      <c r="FN325" s="21">
        <f t="shared" ref="FN325:FU325" si="1502">IF($F$290, 0, IF($E$296, IF(AND(COLUMN($FN$325)-COLUMN($DZ$319)=$Q$291,ROW($FN$325)-ROW($DZ$319)=$K$291), U$290, FN325), FN325))</f>
        <v>0</v>
      </c>
      <c r="FO325" s="21">
        <f t="shared" si="1502"/>
        <v>0</v>
      </c>
      <c r="FP325" s="21">
        <f t="shared" si="1502"/>
        <v>0</v>
      </c>
      <c r="FQ325" s="21">
        <f t="shared" si="1502"/>
        <v>0</v>
      </c>
      <c r="FR325" s="21">
        <f t="shared" si="1502"/>
        <v>0</v>
      </c>
      <c r="FS325" s="21">
        <f t="shared" si="1502"/>
        <v>0</v>
      </c>
      <c r="FT325" s="21">
        <f t="shared" si="1502"/>
        <v>0</v>
      </c>
      <c r="FU325" s="21">
        <f t="shared" si="1502"/>
        <v>0</v>
      </c>
      <c r="FV325" s="21">
        <f t="shared" ref="FV325:GC325" si="1503">IF($F$290, 0, IF($E$296, IF(AND(COLUMN($FV$325)-COLUMN($DZ$319)=$Q$291,ROW($FV$325)-ROW($DZ$319)=$K$291), U$290, FV325), FV325))</f>
        <v>0</v>
      </c>
      <c r="FW325" s="21">
        <f t="shared" si="1503"/>
        <v>0</v>
      </c>
      <c r="FX325" s="21">
        <f t="shared" si="1503"/>
        <v>0</v>
      </c>
      <c r="FY325" s="21">
        <f t="shared" si="1503"/>
        <v>0</v>
      </c>
      <c r="FZ325" s="21">
        <f t="shared" si="1503"/>
        <v>0</v>
      </c>
      <c r="GA325" s="21">
        <f t="shared" si="1503"/>
        <v>0</v>
      </c>
      <c r="GB325" s="21">
        <f t="shared" si="1503"/>
        <v>0</v>
      </c>
      <c r="GC325" s="21">
        <f t="shared" si="1503"/>
        <v>0</v>
      </c>
      <c r="GD325" s="21">
        <f t="shared" ref="GD325:GK325" si="1504">IF($F$290, 0, IF($E$296, IF(AND(COLUMN($GD$325)-COLUMN($DZ$319)=$Q$291,ROW($GD$325)-ROW($DZ$319)=$K$291), U$290, GD325), GD325))</f>
        <v>0</v>
      </c>
      <c r="GE325" s="21">
        <f t="shared" si="1504"/>
        <v>0</v>
      </c>
      <c r="GF325" s="21">
        <f t="shared" si="1504"/>
        <v>0</v>
      </c>
      <c r="GG325" s="21">
        <f t="shared" si="1504"/>
        <v>0</v>
      </c>
      <c r="GH325" s="21">
        <f t="shared" si="1504"/>
        <v>0</v>
      </c>
      <c r="GI325" s="21">
        <f t="shared" si="1504"/>
        <v>0</v>
      </c>
      <c r="GJ325" s="21">
        <f t="shared" si="1504"/>
        <v>0</v>
      </c>
      <c r="GK325" s="21">
        <f t="shared" si="1504"/>
        <v>0</v>
      </c>
      <c r="GL325" s="21">
        <f t="shared" ref="GL325:GS325" si="1505">IF($F$290, 0, IF($F$296, IF(AND(COLUMN($GL$325)-COLUMN($GL$319)=$Q$291,ROW($GL$325)-ROW($GL$319)=$K$291), U$290, GL325), GL325))</f>
        <v>0</v>
      </c>
      <c r="GM325" s="21">
        <f t="shared" si="1505"/>
        <v>0</v>
      </c>
      <c r="GN325" s="21">
        <f t="shared" si="1505"/>
        <v>0</v>
      </c>
      <c r="GO325" s="21">
        <f t="shared" si="1505"/>
        <v>0</v>
      </c>
      <c r="GP325" s="21">
        <f t="shared" si="1505"/>
        <v>0</v>
      </c>
      <c r="GQ325" s="21">
        <f t="shared" si="1505"/>
        <v>0</v>
      </c>
      <c r="GR325" s="21">
        <f t="shared" si="1505"/>
        <v>0</v>
      </c>
      <c r="GS325" s="21">
        <f t="shared" si="1505"/>
        <v>0</v>
      </c>
      <c r="GT325" s="21">
        <f t="shared" ref="GT325:HA325" si="1506">IF($F$290, 0, IF($F$296, IF(AND(COLUMN($GT$325)-COLUMN($GL$319)=$Q$291,ROW($GT$325)-ROW($GL$319)=$K$291), U$290, GT325), GT325))</f>
        <v>0</v>
      </c>
      <c r="GU325" s="21">
        <f t="shared" si="1506"/>
        <v>0</v>
      </c>
      <c r="GV325" s="21">
        <f t="shared" si="1506"/>
        <v>0</v>
      </c>
      <c r="GW325" s="21">
        <f t="shared" si="1506"/>
        <v>0</v>
      </c>
      <c r="GX325" s="21">
        <f t="shared" si="1506"/>
        <v>0</v>
      </c>
      <c r="GY325" s="21">
        <f t="shared" si="1506"/>
        <v>0</v>
      </c>
      <c r="GZ325" s="21">
        <f t="shared" si="1506"/>
        <v>0</v>
      </c>
      <c r="HA325" s="21">
        <f t="shared" si="1506"/>
        <v>0</v>
      </c>
      <c r="HB325" s="21">
        <f t="shared" ref="HB325:HI325" si="1507">IF($F$290, 0, IF($F$296, IF(AND(COLUMN($HB$325)-COLUMN($GL$319)=$Q$291,ROW($HB$325)-ROW($GL$319)=$K$291), U$290, HB325), HB325))</f>
        <v>0</v>
      </c>
      <c r="HC325" s="21">
        <f t="shared" si="1507"/>
        <v>0</v>
      </c>
      <c r="HD325" s="21">
        <f t="shared" si="1507"/>
        <v>0</v>
      </c>
      <c r="HE325" s="21">
        <f t="shared" si="1507"/>
        <v>0</v>
      </c>
      <c r="HF325" s="21">
        <f t="shared" si="1507"/>
        <v>0</v>
      </c>
      <c r="HG325" s="21">
        <f t="shared" si="1507"/>
        <v>0</v>
      </c>
      <c r="HH325" s="21">
        <f t="shared" si="1507"/>
        <v>0</v>
      </c>
      <c r="HI325" s="21">
        <f t="shared" si="1507"/>
        <v>0</v>
      </c>
      <c r="HJ325" s="21">
        <f t="shared" ref="HJ325:HQ325" si="1508">IF($F$290, 0, IF($F$296, IF(AND(COLUMN($HJ$325)-COLUMN($GL$319)=$Q$291,ROW($HJ$325)-ROW($GL$319)=$K$291), U$290, HJ325), HJ325))</f>
        <v>0</v>
      </c>
      <c r="HK325" s="21">
        <f t="shared" si="1508"/>
        <v>0</v>
      </c>
      <c r="HL325" s="21">
        <f t="shared" si="1508"/>
        <v>0</v>
      </c>
      <c r="HM325" s="21">
        <f t="shared" si="1508"/>
        <v>0</v>
      </c>
      <c r="HN325" s="21">
        <f t="shared" si="1508"/>
        <v>0</v>
      </c>
      <c r="HO325" s="21">
        <f t="shared" si="1508"/>
        <v>0</v>
      </c>
      <c r="HP325" s="21">
        <f t="shared" si="1508"/>
        <v>0</v>
      </c>
      <c r="HQ325" s="21">
        <f t="shared" si="1508"/>
        <v>0</v>
      </c>
      <c r="HR325" s="21">
        <f t="shared" ref="HR325:HY325" si="1509">IF($F$290, 0, IF($F$296, IF(AND(COLUMN($HR$325)-COLUMN($GL$319)=$Q$291,ROW($HR$325)-ROW($GL$319)=$K$291), U$290, HR325), HR325))</f>
        <v>0</v>
      </c>
      <c r="HS325" s="21">
        <f t="shared" si="1509"/>
        <v>0</v>
      </c>
      <c r="HT325" s="21">
        <f t="shared" si="1509"/>
        <v>0</v>
      </c>
      <c r="HU325" s="21">
        <f t="shared" si="1509"/>
        <v>0</v>
      </c>
      <c r="HV325" s="21">
        <f t="shared" si="1509"/>
        <v>0</v>
      </c>
      <c r="HW325" s="21">
        <f t="shared" si="1509"/>
        <v>0</v>
      </c>
      <c r="HX325" s="21">
        <f t="shared" si="1509"/>
        <v>0</v>
      </c>
      <c r="HY325" s="21">
        <f t="shared" si="1509"/>
        <v>0</v>
      </c>
      <c r="HZ325" s="21">
        <f t="shared" ref="HZ325:IG325" si="1510">IF($F$290, 0, IF($F$296, IF(AND(COLUMN($HZ$325)-COLUMN($GL$319)=$Q$291,ROW($HZ$325)-ROW($GL$319)=$K$291), U$290, HZ325), HZ325))</f>
        <v>0</v>
      </c>
      <c r="IA325" s="21">
        <f t="shared" si="1510"/>
        <v>0</v>
      </c>
      <c r="IB325" s="21">
        <f t="shared" si="1510"/>
        <v>0</v>
      </c>
      <c r="IC325" s="21">
        <f t="shared" si="1510"/>
        <v>0</v>
      </c>
      <c r="ID325" s="21">
        <f t="shared" si="1510"/>
        <v>0</v>
      </c>
      <c r="IE325" s="21">
        <f t="shared" si="1510"/>
        <v>0</v>
      </c>
      <c r="IF325" s="21">
        <f t="shared" si="1510"/>
        <v>0</v>
      </c>
      <c r="IG325" s="21">
        <f t="shared" si="1510"/>
        <v>0</v>
      </c>
      <c r="IH325" s="21">
        <f t="shared" ref="IH325:IO325" si="1511">IF($F$290, 0, IF($F$296, IF(AND(COLUMN($IH$325)-COLUMN($GL$319)=$Q$291,ROW($IH$325)-ROW($GL$319)=$K$291), U$290, IH325), IH325))</f>
        <v>0</v>
      </c>
      <c r="II325" s="21">
        <f t="shared" si="1511"/>
        <v>0</v>
      </c>
      <c r="IJ325" s="21">
        <f t="shared" si="1511"/>
        <v>0</v>
      </c>
      <c r="IK325" s="21">
        <f t="shared" si="1511"/>
        <v>0</v>
      </c>
      <c r="IL325" s="21">
        <f t="shared" si="1511"/>
        <v>0</v>
      </c>
      <c r="IM325" s="21">
        <f t="shared" si="1511"/>
        <v>0</v>
      </c>
      <c r="IN325" s="21">
        <f t="shared" si="1511"/>
        <v>0</v>
      </c>
      <c r="IO325" s="21">
        <f t="shared" si="1511"/>
        <v>0</v>
      </c>
      <c r="IP325" s="21">
        <f t="shared" ref="IP325:IW325" si="1512">IF($F$290, 0, IF($F$296, IF(AND(COLUMN($IP$325)-COLUMN($GL$319)=$Q$291,ROW($IP$325)-ROW($GL$319)=$K$291), U$290, IP325), IP325))</f>
        <v>0</v>
      </c>
      <c r="IQ325" s="21">
        <f t="shared" si="1512"/>
        <v>0</v>
      </c>
      <c r="IR325" s="21">
        <f t="shared" si="1512"/>
        <v>0</v>
      </c>
      <c r="IS325" s="21">
        <f t="shared" si="1512"/>
        <v>0</v>
      </c>
      <c r="IT325" s="21">
        <f t="shared" si="1512"/>
        <v>0</v>
      </c>
      <c r="IU325" s="21">
        <f t="shared" si="1512"/>
        <v>0</v>
      </c>
      <c r="IV325" s="21">
        <f t="shared" si="1512"/>
        <v>0</v>
      </c>
      <c r="IW325" s="21">
        <f t="shared" si="1512"/>
        <v>0</v>
      </c>
      <c r="IX325" s="21">
        <f t="shared" ref="IX325:JE325" si="1513">IF($F$290, 0, IF($G$296, IF(AND(COLUMN($IX$325)-COLUMN($IX$319)=$Q$291,ROW($IX$325)-ROW($IX$319)=$K$291), U$290, IX325), IX325))</f>
        <v>0</v>
      </c>
      <c r="IY325" s="21">
        <f t="shared" si="1513"/>
        <v>0</v>
      </c>
      <c r="IZ325" s="21">
        <f t="shared" si="1513"/>
        <v>0</v>
      </c>
      <c r="JA325" s="21">
        <f t="shared" si="1513"/>
        <v>0</v>
      </c>
      <c r="JB325" s="21">
        <f t="shared" si="1513"/>
        <v>0</v>
      </c>
      <c r="JC325" s="21">
        <f t="shared" si="1513"/>
        <v>0</v>
      </c>
      <c r="JD325" s="21">
        <f t="shared" si="1513"/>
        <v>0</v>
      </c>
      <c r="JE325" s="21">
        <f t="shared" si="1513"/>
        <v>0</v>
      </c>
      <c r="JF325" s="21">
        <f t="shared" ref="JF325:JM325" si="1514">IF($F$290, 0, IF($G$296, IF(AND(COLUMN($JF$325)-COLUMN($IX$319)=$Q$291,ROW($JF$325)-ROW($IX$319)=$K$291), U$290, JF325), JF325))</f>
        <v>0</v>
      </c>
      <c r="JG325" s="21">
        <f t="shared" si="1514"/>
        <v>0</v>
      </c>
      <c r="JH325" s="21">
        <f t="shared" si="1514"/>
        <v>0</v>
      </c>
      <c r="JI325" s="21">
        <f t="shared" si="1514"/>
        <v>0</v>
      </c>
      <c r="JJ325" s="21">
        <f t="shared" si="1514"/>
        <v>0</v>
      </c>
      <c r="JK325" s="21">
        <f t="shared" si="1514"/>
        <v>0</v>
      </c>
      <c r="JL325" s="21">
        <f t="shared" si="1514"/>
        <v>0</v>
      </c>
      <c r="JM325" s="21">
        <f t="shared" si="1514"/>
        <v>0</v>
      </c>
      <c r="JN325" s="21">
        <f t="shared" ref="JN325:JU325" si="1515">IF($F$290, 0, IF($G$296, IF(AND(COLUMN($JN$325)-COLUMN($IX$319)=$Q$291,ROW($JN$325)-ROW($IX$319)=$K$291), U$290, JN325), JN325))</f>
        <v>0</v>
      </c>
      <c r="JO325" s="21">
        <f t="shared" si="1515"/>
        <v>0</v>
      </c>
      <c r="JP325" s="21">
        <f t="shared" si="1515"/>
        <v>0</v>
      </c>
      <c r="JQ325" s="21">
        <f t="shared" si="1515"/>
        <v>0</v>
      </c>
      <c r="JR325" s="21">
        <f t="shared" si="1515"/>
        <v>0</v>
      </c>
      <c r="JS325" s="21">
        <f t="shared" si="1515"/>
        <v>0</v>
      </c>
      <c r="JT325" s="21">
        <f t="shared" si="1515"/>
        <v>0</v>
      </c>
      <c r="JU325" s="21">
        <f t="shared" si="1515"/>
        <v>0</v>
      </c>
      <c r="JV325" s="21">
        <f t="shared" ref="JV325:KC325" si="1516">IF($F$290, 0, IF($G$296, IF(AND(COLUMN($JV$325)-COLUMN($IX$319)=$Q$291,ROW($JV$325)-ROW($IX$319)=$K$291), U$290, JV325), JV325))</f>
        <v>0</v>
      </c>
      <c r="JW325" s="21">
        <f t="shared" si="1516"/>
        <v>0</v>
      </c>
      <c r="JX325" s="21">
        <f t="shared" si="1516"/>
        <v>0</v>
      </c>
      <c r="JY325" s="21">
        <f t="shared" si="1516"/>
        <v>0</v>
      </c>
      <c r="JZ325" s="21">
        <f t="shared" si="1516"/>
        <v>0</v>
      </c>
      <c r="KA325" s="21">
        <f t="shared" si="1516"/>
        <v>0</v>
      </c>
      <c r="KB325" s="21">
        <f t="shared" si="1516"/>
        <v>0</v>
      </c>
      <c r="KC325" s="21">
        <f t="shared" si="1516"/>
        <v>0</v>
      </c>
      <c r="KD325" s="21">
        <f t="shared" ref="KD325:KK325" si="1517">IF($F$290, 0, IF($G$296, IF(AND(COLUMN($KD$325)-COLUMN($IX$319)=$Q$291,ROW($KD$325)-ROW($IX$319)=$K$291), U$290, KD325), KD325))</f>
        <v>0</v>
      </c>
      <c r="KE325" s="21">
        <f t="shared" si="1517"/>
        <v>0</v>
      </c>
      <c r="KF325" s="21">
        <f t="shared" si="1517"/>
        <v>0</v>
      </c>
      <c r="KG325" s="21">
        <f t="shared" si="1517"/>
        <v>0</v>
      </c>
      <c r="KH325" s="21">
        <f t="shared" si="1517"/>
        <v>0</v>
      </c>
      <c r="KI325" s="21">
        <f t="shared" si="1517"/>
        <v>0</v>
      </c>
      <c r="KJ325" s="21">
        <f t="shared" si="1517"/>
        <v>0</v>
      </c>
      <c r="KK325" s="21">
        <f t="shared" si="1517"/>
        <v>0</v>
      </c>
      <c r="KL325" s="21">
        <f t="shared" ref="KL325:KS325" si="1518">IF($F$290, 0, IF($G$296, IF(AND(COLUMN($KL$325)-COLUMN($IX$319)=$Q$291,ROW($KL$325)-ROW($IX$319)=$K$291), U$290, KL325), KL325))</f>
        <v>0</v>
      </c>
      <c r="KM325" s="21">
        <f t="shared" si="1518"/>
        <v>0</v>
      </c>
      <c r="KN325" s="21">
        <f t="shared" si="1518"/>
        <v>0</v>
      </c>
      <c r="KO325" s="21">
        <f t="shared" si="1518"/>
        <v>0</v>
      </c>
      <c r="KP325" s="21">
        <f t="shared" si="1518"/>
        <v>0</v>
      </c>
      <c r="KQ325" s="21">
        <f t="shared" si="1518"/>
        <v>0</v>
      </c>
      <c r="KR325" s="21">
        <f t="shared" si="1518"/>
        <v>0</v>
      </c>
      <c r="KS325" s="21">
        <f t="shared" si="1518"/>
        <v>0</v>
      </c>
      <c r="KT325" s="21">
        <f t="shared" ref="KT325:LA325" si="1519">IF($F$290, 0, IF($G$296, IF(AND(COLUMN($KT$325)-COLUMN($IX$319)=$Q$291,ROW($KT$325)-ROW($IX$319)=$K$291), U$290, KT325), KT325))</f>
        <v>0</v>
      </c>
      <c r="KU325" s="21">
        <f t="shared" si="1519"/>
        <v>0</v>
      </c>
      <c r="KV325" s="21">
        <f t="shared" si="1519"/>
        <v>0</v>
      </c>
      <c r="KW325" s="21">
        <f t="shared" si="1519"/>
        <v>0</v>
      </c>
      <c r="KX325" s="21">
        <f t="shared" si="1519"/>
        <v>0</v>
      </c>
      <c r="KY325" s="21">
        <f t="shared" si="1519"/>
        <v>0</v>
      </c>
      <c r="KZ325" s="21">
        <f t="shared" si="1519"/>
        <v>0</v>
      </c>
      <c r="LA325" s="21">
        <f t="shared" si="1519"/>
        <v>0</v>
      </c>
      <c r="LB325" s="21">
        <f t="shared" ref="LB325:LI325" si="1520">IF($F$290, 0, IF($G$296, IF(AND(COLUMN($LB$325)-COLUMN($IX$319)=$Q$291,ROW($LB$325)-ROW($IX$319)=$K$291), U$290, LB325), LB325))</f>
        <v>0</v>
      </c>
      <c r="LC325" s="21">
        <f t="shared" si="1520"/>
        <v>0</v>
      </c>
      <c r="LD325" s="21">
        <f t="shared" si="1520"/>
        <v>0</v>
      </c>
      <c r="LE325" s="21">
        <f t="shared" si="1520"/>
        <v>0</v>
      </c>
      <c r="LF325" s="21">
        <f t="shared" si="1520"/>
        <v>0</v>
      </c>
      <c r="LG325" s="21">
        <f t="shared" si="1520"/>
        <v>0</v>
      </c>
      <c r="LH325" s="21">
        <f t="shared" si="1520"/>
        <v>0</v>
      </c>
      <c r="LI325" s="21">
        <f t="shared" si="1520"/>
        <v>0</v>
      </c>
      <c r="LJ325" s="21">
        <f t="shared" ref="LJ325:LQ325" si="1521">IF($F$290, 0, IF($H$296, IF(AND(COLUMN($LJ$325)-COLUMN($LJ$319)=$Q$291,ROW($LJ$325)-ROW($LJ$319)=$K$291), U$290, LJ325), LJ325))</f>
        <v>0</v>
      </c>
      <c r="LK325" s="21">
        <f t="shared" si="1521"/>
        <v>0</v>
      </c>
      <c r="LL325" s="21">
        <f t="shared" si="1521"/>
        <v>0</v>
      </c>
      <c r="LM325" s="21">
        <f t="shared" si="1521"/>
        <v>0</v>
      </c>
      <c r="LN325" s="21">
        <f t="shared" si="1521"/>
        <v>0</v>
      </c>
      <c r="LO325" s="21">
        <f t="shared" si="1521"/>
        <v>0</v>
      </c>
      <c r="LP325" s="21">
        <f t="shared" si="1521"/>
        <v>0</v>
      </c>
      <c r="LQ325" s="21">
        <f t="shared" si="1521"/>
        <v>0</v>
      </c>
      <c r="LR325" s="21">
        <f t="shared" ref="LR325:LY325" si="1522">IF($F$290, 0, IF($H$296, IF(AND(COLUMN($LR$325)-COLUMN($LJ$319)=$Q$291,ROW($LR$325)-ROW($LJ$319)=$K$291), U$290, LR325), LR325))</f>
        <v>0</v>
      </c>
      <c r="LS325" s="21">
        <f t="shared" si="1522"/>
        <v>0</v>
      </c>
      <c r="LT325" s="21">
        <f t="shared" si="1522"/>
        <v>0</v>
      </c>
      <c r="LU325" s="21">
        <f t="shared" si="1522"/>
        <v>0</v>
      </c>
      <c r="LV325" s="21">
        <f t="shared" si="1522"/>
        <v>0</v>
      </c>
      <c r="LW325" s="21">
        <f t="shared" si="1522"/>
        <v>0</v>
      </c>
      <c r="LX325" s="21">
        <f t="shared" si="1522"/>
        <v>0</v>
      </c>
      <c r="LY325" s="21">
        <f t="shared" si="1522"/>
        <v>0</v>
      </c>
      <c r="LZ325" s="21">
        <f t="shared" ref="LZ325:MG325" si="1523">IF($F$290, 0, IF($H$296, IF(AND(COLUMN($LZ$325)-COLUMN($LJ$319)=$Q$291,ROW($LZ$325)-ROW($LJ$319)=$K$291), U$290, LZ325), LZ325))</f>
        <v>0</v>
      </c>
      <c r="MA325" s="21">
        <f t="shared" si="1523"/>
        <v>0</v>
      </c>
      <c r="MB325" s="21">
        <f t="shared" si="1523"/>
        <v>0</v>
      </c>
      <c r="MC325" s="21">
        <f t="shared" si="1523"/>
        <v>0</v>
      </c>
      <c r="MD325" s="21">
        <f t="shared" si="1523"/>
        <v>0</v>
      </c>
      <c r="ME325" s="21">
        <f t="shared" si="1523"/>
        <v>0</v>
      </c>
      <c r="MF325" s="21">
        <f t="shared" si="1523"/>
        <v>0</v>
      </c>
      <c r="MG325" s="21">
        <f t="shared" si="1523"/>
        <v>0</v>
      </c>
      <c r="MH325" s="21">
        <f t="shared" ref="MH325:MO325" si="1524">IF($F$290, 0, IF($H$296, IF(AND(COLUMN($MH$325)-COLUMN($LJ$319)=$Q$291,ROW($MH$325)-ROW($LJ$319)=$K$291), U$290, MH325), MH325))</f>
        <v>0</v>
      </c>
      <c r="MI325" s="21">
        <f t="shared" si="1524"/>
        <v>0</v>
      </c>
      <c r="MJ325" s="21">
        <f t="shared" si="1524"/>
        <v>0</v>
      </c>
      <c r="MK325" s="21">
        <f t="shared" si="1524"/>
        <v>0</v>
      </c>
      <c r="ML325" s="21">
        <f t="shared" si="1524"/>
        <v>0</v>
      </c>
      <c r="MM325" s="21">
        <f t="shared" si="1524"/>
        <v>0</v>
      </c>
      <c r="MN325" s="21">
        <f t="shared" si="1524"/>
        <v>0</v>
      </c>
      <c r="MO325" s="21">
        <f t="shared" si="1524"/>
        <v>0</v>
      </c>
      <c r="MP325" s="21">
        <f t="shared" ref="MP325:MW325" si="1525">IF($F$290, 0, IF($H$296, IF(AND(COLUMN($MP$325)-COLUMN($LJ$319)=$Q$291,ROW($MP$325)-ROW($LJ$319)=$K$291), U$290, MP325), MP325))</f>
        <v>0</v>
      </c>
      <c r="MQ325" s="21">
        <f t="shared" si="1525"/>
        <v>0</v>
      </c>
      <c r="MR325" s="21">
        <f t="shared" si="1525"/>
        <v>0</v>
      </c>
      <c r="MS325" s="21">
        <f t="shared" si="1525"/>
        <v>0</v>
      </c>
      <c r="MT325" s="21">
        <f t="shared" si="1525"/>
        <v>0</v>
      </c>
      <c r="MU325" s="21">
        <f t="shared" si="1525"/>
        <v>0</v>
      </c>
      <c r="MV325" s="21">
        <f t="shared" si="1525"/>
        <v>0</v>
      </c>
      <c r="MW325" s="21">
        <f t="shared" si="1525"/>
        <v>0</v>
      </c>
      <c r="MX325" s="21">
        <f t="shared" ref="MX325:NE325" si="1526">IF($F$290, 0, IF($H$296, IF(AND(COLUMN($MX$325)-COLUMN($LJ$319)=$Q$291,ROW($MX$325)-ROW($LJ$319)=$K$291), U$290, MX325), MX325))</f>
        <v>0</v>
      </c>
      <c r="MY325" s="21">
        <f t="shared" si="1526"/>
        <v>0</v>
      </c>
      <c r="MZ325" s="21">
        <f t="shared" si="1526"/>
        <v>0</v>
      </c>
      <c r="NA325" s="21">
        <f t="shared" si="1526"/>
        <v>0</v>
      </c>
      <c r="NB325" s="21">
        <f t="shared" si="1526"/>
        <v>0</v>
      </c>
      <c r="NC325" s="21">
        <f t="shared" si="1526"/>
        <v>0</v>
      </c>
      <c r="ND325" s="21">
        <f t="shared" si="1526"/>
        <v>0</v>
      </c>
      <c r="NE325" s="21">
        <f t="shared" si="1526"/>
        <v>0</v>
      </c>
      <c r="NF325" s="21">
        <f t="shared" ref="NF325:NM325" si="1527">IF($F$290, 0, IF($H$296, IF(AND(COLUMN($NF$325)-COLUMN($LJ$319)=$Q$291,ROW($NF$325)-ROW($LJ$319)=$K$291), U$290, NF325), NF325))</f>
        <v>0</v>
      </c>
      <c r="NG325" s="21">
        <f t="shared" si="1527"/>
        <v>0</v>
      </c>
      <c r="NH325" s="21">
        <f t="shared" si="1527"/>
        <v>0</v>
      </c>
      <c r="NI325" s="21">
        <f t="shared" si="1527"/>
        <v>0</v>
      </c>
      <c r="NJ325" s="21">
        <f t="shared" si="1527"/>
        <v>0</v>
      </c>
      <c r="NK325" s="21">
        <f t="shared" si="1527"/>
        <v>0</v>
      </c>
      <c r="NL325" s="21">
        <f t="shared" si="1527"/>
        <v>0</v>
      </c>
      <c r="NM325" s="21">
        <f t="shared" si="1527"/>
        <v>0</v>
      </c>
      <c r="NN325" s="21">
        <f t="shared" ref="NN325:NU325" si="1528">IF($F$290, 0, IF($H$296, IF(AND(COLUMN($NN$325)-COLUMN($LJ$319)=$Q$291,ROW($NN$325)-ROW($LJ$319)=$K$291), U$290, NN325), NN325))</f>
        <v>0</v>
      </c>
      <c r="NO325" s="21">
        <f t="shared" si="1528"/>
        <v>0</v>
      </c>
      <c r="NP325" s="21">
        <f t="shared" si="1528"/>
        <v>0</v>
      </c>
      <c r="NQ325" s="21">
        <f t="shared" si="1528"/>
        <v>0</v>
      </c>
      <c r="NR325" s="21">
        <f t="shared" si="1528"/>
        <v>0</v>
      </c>
      <c r="NS325" s="21">
        <f t="shared" si="1528"/>
        <v>0</v>
      </c>
      <c r="NT325" s="21">
        <f t="shared" si="1528"/>
        <v>0</v>
      </c>
      <c r="NU325" s="21">
        <f t="shared" si="1528"/>
        <v>0</v>
      </c>
      <c r="NV325" s="21">
        <f t="shared" ref="NV325:OC325" si="1529">IF($F$290, 0, IF($I$296, IF(AND(COLUMN($NV$325)-COLUMN($NV$319)=$Q$291,ROW($NV$325)-ROW($NV$319)=$K$291), U$290, NV325), NV325))</f>
        <v>0</v>
      </c>
      <c r="NW325" s="21">
        <f t="shared" si="1529"/>
        <v>0</v>
      </c>
      <c r="NX325" s="21">
        <f t="shared" si="1529"/>
        <v>0</v>
      </c>
      <c r="NY325" s="21">
        <f t="shared" si="1529"/>
        <v>0</v>
      </c>
      <c r="NZ325" s="21">
        <f t="shared" si="1529"/>
        <v>0</v>
      </c>
      <c r="OA325" s="21">
        <f t="shared" si="1529"/>
        <v>0</v>
      </c>
      <c r="OB325" s="21">
        <f t="shared" si="1529"/>
        <v>0</v>
      </c>
      <c r="OC325" s="21">
        <f t="shared" si="1529"/>
        <v>0</v>
      </c>
      <c r="OD325" s="21">
        <f t="shared" ref="OD325:OK325" si="1530">IF($F$290, 0, IF($I$296, IF(AND(COLUMN($OD$325)-COLUMN($NV$319)=$Q$291,ROW($OD$325)-ROW($NV$319)=$K$291), U$290, OD325), OD325))</f>
        <v>0</v>
      </c>
      <c r="OE325" s="21">
        <f t="shared" si="1530"/>
        <v>0</v>
      </c>
      <c r="OF325" s="21">
        <f t="shared" si="1530"/>
        <v>0</v>
      </c>
      <c r="OG325" s="21">
        <f t="shared" si="1530"/>
        <v>0</v>
      </c>
      <c r="OH325" s="21">
        <f t="shared" si="1530"/>
        <v>0</v>
      </c>
      <c r="OI325" s="21">
        <f t="shared" si="1530"/>
        <v>0</v>
      </c>
      <c r="OJ325" s="21">
        <f t="shared" si="1530"/>
        <v>0</v>
      </c>
      <c r="OK325" s="21">
        <f t="shared" si="1530"/>
        <v>0</v>
      </c>
      <c r="OL325" s="21">
        <f t="shared" ref="OL325:OS325" si="1531">IF($F$290, 0, IF($I$296, IF(AND(COLUMN($OL$325)-COLUMN($NV$319)=$Q$291,ROW($OL$325)-ROW($NV$319)=$K$291), U$290, OL325), OL325))</f>
        <v>0</v>
      </c>
      <c r="OM325" s="21">
        <f t="shared" si="1531"/>
        <v>0</v>
      </c>
      <c r="ON325" s="21">
        <f t="shared" si="1531"/>
        <v>0</v>
      </c>
      <c r="OO325" s="21">
        <f t="shared" si="1531"/>
        <v>0</v>
      </c>
      <c r="OP325" s="21">
        <f t="shared" si="1531"/>
        <v>0</v>
      </c>
      <c r="OQ325" s="21">
        <f t="shared" si="1531"/>
        <v>0</v>
      </c>
      <c r="OR325" s="21">
        <f t="shared" si="1531"/>
        <v>0</v>
      </c>
      <c r="OS325" s="21">
        <f t="shared" si="1531"/>
        <v>0</v>
      </c>
      <c r="OT325" s="21">
        <f t="shared" ref="OT325:PA325" si="1532">IF($F$290, 0, IF($I$296, IF(AND(COLUMN($OT$325)-COLUMN($NV$319)=$Q$291,ROW($OT$325)-ROW($NV$319)=$K$291), U$290, OT325), OT325))</f>
        <v>0</v>
      </c>
      <c r="OU325" s="21">
        <f t="shared" si="1532"/>
        <v>0</v>
      </c>
      <c r="OV325" s="21">
        <f t="shared" si="1532"/>
        <v>0</v>
      </c>
      <c r="OW325" s="21">
        <f t="shared" si="1532"/>
        <v>0</v>
      </c>
      <c r="OX325" s="21">
        <f t="shared" si="1532"/>
        <v>0</v>
      </c>
      <c r="OY325" s="21">
        <f t="shared" si="1532"/>
        <v>0</v>
      </c>
      <c r="OZ325" s="21">
        <f t="shared" si="1532"/>
        <v>0</v>
      </c>
      <c r="PA325" s="21">
        <f t="shared" si="1532"/>
        <v>0</v>
      </c>
      <c r="PB325" s="21">
        <f t="shared" ref="PB325:PI325" si="1533">IF($F$290, 0, IF($I$296, IF(AND(COLUMN($PB$325)-COLUMN($NV$319)=$Q$291,ROW($PB$325)-ROW($NV$319)=$K$291), U$290, PB325), PB325))</f>
        <v>0</v>
      </c>
      <c r="PC325" s="21">
        <f t="shared" si="1533"/>
        <v>0</v>
      </c>
      <c r="PD325" s="21">
        <f t="shared" si="1533"/>
        <v>0</v>
      </c>
      <c r="PE325" s="21">
        <f t="shared" si="1533"/>
        <v>0</v>
      </c>
      <c r="PF325" s="21">
        <f t="shared" si="1533"/>
        <v>0</v>
      </c>
      <c r="PG325" s="21">
        <f t="shared" si="1533"/>
        <v>0</v>
      </c>
      <c r="PH325" s="21">
        <f t="shared" si="1533"/>
        <v>0</v>
      </c>
      <c r="PI325" s="21">
        <f t="shared" si="1533"/>
        <v>0</v>
      </c>
      <c r="PJ325" s="21">
        <f t="shared" ref="PJ325:PQ325" si="1534">IF($F$290, 0, IF($I$296, IF(AND(COLUMN($PJ$325)-COLUMN($NV$319)=$Q$291,ROW($PJ$325)-ROW($NV$319)=$K$291), U$290, PJ325), PJ325))</f>
        <v>0</v>
      </c>
      <c r="PK325" s="21">
        <f t="shared" si="1534"/>
        <v>0</v>
      </c>
      <c r="PL325" s="21">
        <f t="shared" si="1534"/>
        <v>0</v>
      </c>
      <c r="PM325" s="21">
        <f t="shared" si="1534"/>
        <v>0</v>
      </c>
      <c r="PN325" s="21">
        <f t="shared" si="1534"/>
        <v>0</v>
      </c>
      <c r="PO325" s="21">
        <f t="shared" si="1534"/>
        <v>0</v>
      </c>
      <c r="PP325" s="21">
        <f t="shared" si="1534"/>
        <v>0</v>
      </c>
      <c r="PQ325" s="21">
        <f t="shared" si="1534"/>
        <v>0</v>
      </c>
      <c r="PR325" s="21">
        <f t="shared" ref="PR325:PY325" si="1535">IF($F$290, 0, IF($I$296, IF(AND(COLUMN($PR$325)-COLUMN($NV$319)=$Q$291,ROW($PR$325)-ROW($NV$319)=$K$291), U$290, PR325), PR325))</f>
        <v>0</v>
      </c>
      <c r="PS325" s="21">
        <f t="shared" si="1535"/>
        <v>0</v>
      </c>
      <c r="PT325" s="21">
        <f t="shared" si="1535"/>
        <v>0</v>
      </c>
      <c r="PU325" s="21">
        <f t="shared" si="1535"/>
        <v>0</v>
      </c>
      <c r="PV325" s="21">
        <f t="shared" si="1535"/>
        <v>0</v>
      </c>
      <c r="PW325" s="21">
        <f t="shared" si="1535"/>
        <v>0</v>
      </c>
      <c r="PX325" s="21">
        <f t="shared" si="1535"/>
        <v>0</v>
      </c>
      <c r="PY325" s="21">
        <f t="shared" si="1535"/>
        <v>0</v>
      </c>
      <c r="PZ325" s="21">
        <f t="shared" ref="PZ325:QG325" si="1536">IF($F$290, 0, IF($I$296, IF(AND(COLUMN($PZ$325)-COLUMN($NV$319)=$Q$291,ROW($PZ$325)-ROW($NV$319)=$K$291), U$290, PZ325), PZ325))</f>
        <v>0</v>
      </c>
      <c r="QA325" s="21">
        <f t="shared" si="1536"/>
        <v>0</v>
      </c>
      <c r="QB325" s="21">
        <f t="shared" si="1536"/>
        <v>0</v>
      </c>
      <c r="QC325" s="21">
        <f t="shared" si="1536"/>
        <v>0</v>
      </c>
      <c r="QD325" s="21">
        <f t="shared" si="1536"/>
        <v>0</v>
      </c>
      <c r="QE325" s="21">
        <f t="shared" si="1536"/>
        <v>0</v>
      </c>
      <c r="QF325" s="21">
        <f t="shared" si="1536"/>
        <v>0</v>
      </c>
      <c r="QG325" s="21">
        <f t="shared" si="1536"/>
        <v>0</v>
      </c>
      <c r="QH325" s="21">
        <f t="shared" ref="QH325:QO325" si="1537">IF($F$290, 0, IF($J$296, IF(AND(COLUMN($QH$325)-COLUMN($QH$319)=$Q$291,ROW($QH$325)-ROW($QH$319)=$K$291), U$290, QH325), QH325))</f>
        <v>0</v>
      </c>
      <c r="QI325" s="21">
        <f t="shared" si="1537"/>
        <v>0</v>
      </c>
      <c r="QJ325" s="21">
        <f t="shared" si="1537"/>
        <v>0</v>
      </c>
      <c r="QK325" s="21">
        <f t="shared" si="1537"/>
        <v>0</v>
      </c>
      <c r="QL325" s="21">
        <f t="shared" si="1537"/>
        <v>0</v>
      </c>
      <c r="QM325" s="21">
        <f t="shared" si="1537"/>
        <v>0</v>
      </c>
      <c r="QN325" s="21">
        <f t="shared" si="1537"/>
        <v>0</v>
      </c>
      <c r="QO325" s="21">
        <f t="shared" si="1537"/>
        <v>0</v>
      </c>
      <c r="QP325" s="21">
        <f t="shared" ref="QP325:QW325" si="1538">IF($F$290, 0, IF($J$296, IF(AND(COLUMN($QP$325)-COLUMN($QH$319)=$Q$291,ROW($QP$325)-ROW($QH$319)=$K$291), U$290, QP325), QP325))</f>
        <v>0</v>
      </c>
      <c r="QQ325" s="21">
        <f t="shared" si="1538"/>
        <v>0</v>
      </c>
      <c r="QR325" s="21">
        <f t="shared" si="1538"/>
        <v>0</v>
      </c>
      <c r="QS325" s="21">
        <f t="shared" si="1538"/>
        <v>0</v>
      </c>
      <c r="QT325" s="21">
        <f t="shared" si="1538"/>
        <v>0</v>
      </c>
      <c r="QU325" s="21">
        <f t="shared" si="1538"/>
        <v>0</v>
      </c>
      <c r="QV325" s="21">
        <f t="shared" si="1538"/>
        <v>0</v>
      </c>
      <c r="QW325" s="21">
        <f t="shared" si="1538"/>
        <v>0</v>
      </c>
      <c r="QX325" s="21">
        <f t="shared" ref="QX325:RE325" si="1539">IF($F$290, 0, IF($J$296, IF(AND(COLUMN($QX$325)-COLUMN($QH$319)=$Q$291,ROW($QX$325)-ROW($QH$319)=$K$291), U$290, QX325), QX325))</f>
        <v>0</v>
      </c>
      <c r="QY325" s="21">
        <f t="shared" si="1539"/>
        <v>0</v>
      </c>
      <c r="QZ325" s="21">
        <f t="shared" si="1539"/>
        <v>0</v>
      </c>
      <c r="RA325" s="21">
        <f t="shared" si="1539"/>
        <v>0</v>
      </c>
      <c r="RB325" s="21">
        <f t="shared" si="1539"/>
        <v>0</v>
      </c>
      <c r="RC325" s="21">
        <f t="shared" si="1539"/>
        <v>0</v>
      </c>
      <c r="RD325" s="21">
        <f t="shared" si="1539"/>
        <v>0</v>
      </c>
      <c r="RE325" s="21">
        <f t="shared" si="1539"/>
        <v>0</v>
      </c>
      <c r="RF325" s="21">
        <f t="shared" ref="RF325:RM325" si="1540">IF($F$290, 0, IF($J$296, IF(AND(COLUMN($RF$325)-COLUMN($QH$319)=$Q$291,ROW($RF$325)-ROW($QH$319)=$K$291), U$290, RF325), RF325))</f>
        <v>0</v>
      </c>
      <c r="RG325" s="21">
        <f t="shared" si="1540"/>
        <v>0</v>
      </c>
      <c r="RH325" s="21">
        <f t="shared" si="1540"/>
        <v>0</v>
      </c>
      <c r="RI325" s="21">
        <f t="shared" si="1540"/>
        <v>0</v>
      </c>
      <c r="RJ325" s="21">
        <f t="shared" si="1540"/>
        <v>0</v>
      </c>
      <c r="RK325" s="21">
        <f t="shared" si="1540"/>
        <v>0</v>
      </c>
      <c r="RL325" s="21">
        <f t="shared" si="1540"/>
        <v>0</v>
      </c>
      <c r="RM325" s="21">
        <f t="shared" si="1540"/>
        <v>0</v>
      </c>
      <c r="RN325" s="21">
        <f t="shared" ref="RN325:RU325" si="1541">IF($F$290, 0, IF($J$296, IF(AND(COLUMN($RN$325)-COLUMN($QH$319)=$Q$291,ROW($RN$325)-ROW($QH$319)=$K$291), U$290, RN325), RN325))</f>
        <v>0</v>
      </c>
      <c r="RO325" s="21">
        <f t="shared" si="1541"/>
        <v>0</v>
      </c>
      <c r="RP325" s="21">
        <f t="shared" si="1541"/>
        <v>0</v>
      </c>
      <c r="RQ325" s="21">
        <f t="shared" si="1541"/>
        <v>0</v>
      </c>
      <c r="RR325" s="21">
        <f t="shared" si="1541"/>
        <v>0</v>
      </c>
      <c r="RS325" s="21">
        <f t="shared" si="1541"/>
        <v>0</v>
      </c>
      <c r="RT325" s="21">
        <f t="shared" si="1541"/>
        <v>0</v>
      </c>
      <c r="RU325" s="21">
        <f t="shared" si="1541"/>
        <v>0</v>
      </c>
      <c r="RV325" s="21">
        <f t="shared" ref="RV325:SC325" si="1542">IF($F$290, 0, IF($J$296, IF(AND(COLUMN($RV$325)-COLUMN($QH$319)=$Q$291,ROW($RV$325)-ROW($QH$319)=$K$291), U$290, RV325), RV325))</f>
        <v>0</v>
      </c>
      <c r="RW325" s="21">
        <f t="shared" si="1542"/>
        <v>0</v>
      </c>
      <c r="RX325" s="21">
        <f t="shared" si="1542"/>
        <v>0</v>
      </c>
      <c r="RY325" s="21">
        <f t="shared" si="1542"/>
        <v>0</v>
      </c>
      <c r="RZ325" s="21">
        <f t="shared" si="1542"/>
        <v>0</v>
      </c>
      <c r="SA325" s="21">
        <f t="shared" si="1542"/>
        <v>0</v>
      </c>
      <c r="SB325" s="21">
        <f t="shared" si="1542"/>
        <v>0</v>
      </c>
      <c r="SC325" s="21">
        <f t="shared" si="1542"/>
        <v>0</v>
      </c>
      <c r="SD325" s="21">
        <f t="shared" ref="SD325:SK325" si="1543">IF($F$290, 0, IF($J$296, IF(AND(COLUMN($SD$325)-COLUMN($QH$319)=$Q$291,ROW($SD$325)-ROW($QH$319)=$K$291), U$290, SD325), SD325))</f>
        <v>0</v>
      </c>
      <c r="SE325" s="21">
        <f t="shared" si="1543"/>
        <v>0</v>
      </c>
      <c r="SF325" s="21">
        <f t="shared" si="1543"/>
        <v>0</v>
      </c>
      <c r="SG325" s="21">
        <f t="shared" si="1543"/>
        <v>0</v>
      </c>
      <c r="SH325" s="21">
        <f t="shared" si="1543"/>
        <v>0</v>
      </c>
      <c r="SI325" s="21">
        <f t="shared" si="1543"/>
        <v>0</v>
      </c>
      <c r="SJ325" s="21">
        <f t="shared" si="1543"/>
        <v>0</v>
      </c>
      <c r="SK325" s="21">
        <f t="shared" si="1543"/>
        <v>0</v>
      </c>
      <c r="SL325" s="21">
        <f t="shared" ref="SL325:SS325" si="1544">IF($F$290, 0, IF($J$296, IF(AND(COLUMN($SL$325)-COLUMN($QH$319)=$Q$291,ROW($SL$325)-ROW($QH$319)=$K$291), U$290, SL325), SL325))</f>
        <v>0</v>
      </c>
      <c r="SM325" s="21">
        <f t="shared" si="1544"/>
        <v>0</v>
      </c>
      <c r="SN325" s="21">
        <f t="shared" si="1544"/>
        <v>0</v>
      </c>
      <c r="SO325" s="21">
        <f t="shared" si="1544"/>
        <v>0</v>
      </c>
      <c r="SP325" s="21">
        <f t="shared" si="1544"/>
        <v>0</v>
      </c>
      <c r="SQ325" s="21">
        <f t="shared" si="1544"/>
        <v>0</v>
      </c>
      <c r="SR325" s="21">
        <f t="shared" si="1544"/>
        <v>0</v>
      </c>
      <c r="SS325" s="21">
        <f t="shared" si="1544"/>
        <v>0</v>
      </c>
    </row>
    <row r="326" spans="2:513" ht="15" customHeight="1" x14ac:dyDescent="0.25">
      <c r="B326" s="21">
        <f t="shared" ref="B326:I326" si="1545">IF($F$290, 0, IF($C$296, IF(AND(COLUMN($B$326)-COLUMN($B$319)=$Q$291,ROW($B$326)-ROW($B$319)=$K$291), U$290, B326), B326))</f>
        <v>0</v>
      </c>
      <c r="C326" s="21">
        <f t="shared" si="1545"/>
        <v>0</v>
      </c>
      <c r="D326" s="21">
        <f t="shared" si="1545"/>
        <v>0</v>
      </c>
      <c r="E326" s="21">
        <f t="shared" si="1545"/>
        <v>0</v>
      </c>
      <c r="F326" s="21">
        <f t="shared" si="1545"/>
        <v>0</v>
      </c>
      <c r="G326" s="21">
        <f t="shared" si="1545"/>
        <v>0</v>
      </c>
      <c r="H326" s="21">
        <f t="shared" si="1545"/>
        <v>0</v>
      </c>
      <c r="I326" s="21">
        <f t="shared" si="1545"/>
        <v>0</v>
      </c>
      <c r="J326" s="21">
        <f t="shared" ref="J326:Q326" si="1546">IF($F$290, 0, IF($C$296, IF(AND(COLUMN($J$326)-COLUMN($B$319)=$Q$291,ROW($J$326)-ROW($B$319)=$K$291), U$290, J326), J326))</f>
        <v>0</v>
      </c>
      <c r="K326" s="21">
        <f t="shared" si="1546"/>
        <v>0</v>
      </c>
      <c r="L326" s="21">
        <f t="shared" si="1546"/>
        <v>0</v>
      </c>
      <c r="M326" s="21">
        <f t="shared" si="1546"/>
        <v>0</v>
      </c>
      <c r="N326" s="21">
        <f t="shared" si="1546"/>
        <v>0</v>
      </c>
      <c r="O326" s="21">
        <f t="shared" si="1546"/>
        <v>0</v>
      </c>
      <c r="P326" s="21">
        <f t="shared" si="1546"/>
        <v>0</v>
      </c>
      <c r="Q326" s="21">
        <f t="shared" si="1546"/>
        <v>0</v>
      </c>
      <c r="R326" s="21">
        <f>IF($F$290, 0, IF($C$296, IF(AND(COLUMN($R$326)-COLUMN($B$319)=$Q$291,ROW($R$326)-ROW($B$319)=$K$291), U$290, R326), R326))</f>
        <v>0</v>
      </c>
      <c r="S326" s="21">
        <f t="shared" ref="S326:Y326" si="1547">IF($F$290, 0, IF($C$296, IF(AND(COLUMN($R$326)-COLUMN($B$319)=$Q$291,ROW($R$326)-ROW($B$319)=$K$291), V$290, S326), S326))</f>
        <v>0</v>
      </c>
      <c r="T326" s="21">
        <f t="shared" si="1547"/>
        <v>0</v>
      </c>
      <c r="U326" s="21">
        <f t="shared" si="1547"/>
        <v>0</v>
      </c>
      <c r="V326" s="21">
        <f t="shared" si="1547"/>
        <v>0</v>
      </c>
      <c r="W326" s="21">
        <f t="shared" si="1547"/>
        <v>0</v>
      </c>
      <c r="X326" s="21">
        <f t="shared" si="1547"/>
        <v>0</v>
      </c>
      <c r="Y326" s="21">
        <f t="shared" si="1547"/>
        <v>0</v>
      </c>
      <c r="Z326" s="21">
        <f t="shared" ref="Z326:AG326" si="1548">IF($F$290, 0, IF($C$296, IF(AND(COLUMN($Z$326)-COLUMN($B$319)=$Q$291,ROW($Z$326)-ROW($B$319)=$K$291), U$290, Z326), Z326))</f>
        <v>0</v>
      </c>
      <c r="AA326" s="21">
        <f t="shared" si="1548"/>
        <v>0</v>
      </c>
      <c r="AB326" s="21">
        <f t="shared" si="1548"/>
        <v>0</v>
      </c>
      <c r="AC326" s="21">
        <f t="shared" si="1548"/>
        <v>0</v>
      </c>
      <c r="AD326" s="21">
        <f t="shared" si="1548"/>
        <v>0</v>
      </c>
      <c r="AE326" s="21">
        <f t="shared" si="1548"/>
        <v>0</v>
      </c>
      <c r="AF326" s="21">
        <f t="shared" si="1548"/>
        <v>0</v>
      </c>
      <c r="AG326" s="21">
        <f t="shared" si="1548"/>
        <v>0</v>
      </c>
      <c r="AH326" s="21">
        <f t="shared" ref="AH326:AO326" si="1549">IF($F$290, 0, IF($C$296, IF(AND(COLUMN($AH$326)-COLUMN($B$319)=$Q$291,ROW($AH$326)-ROW($B$319)=$K$291), U$290, AH326), AH326))</f>
        <v>0</v>
      </c>
      <c r="AI326" s="21">
        <f t="shared" si="1549"/>
        <v>0</v>
      </c>
      <c r="AJ326" s="21">
        <f t="shared" si="1549"/>
        <v>0</v>
      </c>
      <c r="AK326" s="21">
        <f t="shared" si="1549"/>
        <v>0</v>
      </c>
      <c r="AL326" s="21">
        <f t="shared" si="1549"/>
        <v>0</v>
      </c>
      <c r="AM326" s="21">
        <f t="shared" si="1549"/>
        <v>0</v>
      </c>
      <c r="AN326" s="21">
        <f t="shared" si="1549"/>
        <v>0</v>
      </c>
      <c r="AO326" s="21">
        <f t="shared" si="1549"/>
        <v>0</v>
      </c>
      <c r="AP326" s="21">
        <f t="shared" ref="AP326:AW326" si="1550">IF($F$290, 0, IF($C$296, IF(AND(COLUMN($AP$326)-COLUMN($B$319)=$Q$291,ROW($AP$326)-ROW($B$319)=$K$291), U$290, AP326), AP326))</f>
        <v>0</v>
      </c>
      <c r="AQ326" s="21">
        <f t="shared" si="1550"/>
        <v>0</v>
      </c>
      <c r="AR326" s="21">
        <f t="shared" si="1550"/>
        <v>0</v>
      </c>
      <c r="AS326" s="21">
        <f t="shared" si="1550"/>
        <v>0</v>
      </c>
      <c r="AT326" s="21">
        <f t="shared" si="1550"/>
        <v>0</v>
      </c>
      <c r="AU326" s="21">
        <f t="shared" si="1550"/>
        <v>0</v>
      </c>
      <c r="AV326" s="21">
        <f t="shared" si="1550"/>
        <v>0</v>
      </c>
      <c r="AW326" s="21">
        <f t="shared" si="1550"/>
        <v>0</v>
      </c>
      <c r="AX326" s="21">
        <f t="shared" ref="AX326:BE326" si="1551">IF($F$290, 0, IF($C$296, IF(AND(COLUMN($AX$326)-COLUMN($B$319)=$Q$291,ROW($AX$326)-ROW($B$319)=$K$291), U$290, AX326), AX326))</f>
        <v>0</v>
      </c>
      <c r="AY326" s="21">
        <f t="shared" si="1551"/>
        <v>0</v>
      </c>
      <c r="AZ326" s="21">
        <f t="shared" si="1551"/>
        <v>0</v>
      </c>
      <c r="BA326" s="21">
        <f t="shared" si="1551"/>
        <v>0</v>
      </c>
      <c r="BB326" s="21">
        <f t="shared" si="1551"/>
        <v>0</v>
      </c>
      <c r="BC326" s="21">
        <f t="shared" si="1551"/>
        <v>0</v>
      </c>
      <c r="BD326" s="21">
        <f t="shared" si="1551"/>
        <v>0</v>
      </c>
      <c r="BE326" s="21">
        <f t="shared" si="1551"/>
        <v>0</v>
      </c>
      <c r="BF326" s="21">
        <f t="shared" ref="BF326:BM326" si="1552">IF($F$290, 0, IF($C$296, IF(AND(COLUMN($BF$326)-COLUMN($B$319)=$Q$291,ROW($BF$326)-ROW($B$319)=$K$291), U$290, BF326), BF326))</f>
        <v>0</v>
      </c>
      <c r="BG326" s="21">
        <f t="shared" si="1552"/>
        <v>0</v>
      </c>
      <c r="BH326" s="21">
        <f t="shared" si="1552"/>
        <v>0</v>
      </c>
      <c r="BI326" s="21">
        <f t="shared" si="1552"/>
        <v>0</v>
      </c>
      <c r="BJ326" s="21">
        <f t="shared" si="1552"/>
        <v>0</v>
      </c>
      <c r="BK326" s="21">
        <f t="shared" si="1552"/>
        <v>0</v>
      </c>
      <c r="BL326" s="21">
        <f t="shared" si="1552"/>
        <v>0</v>
      </c>
      <c r="BM326" s="21">
        <f t="shared" si="1552"/>
        <v>0</v>
      </c>
      <c r="BN326" s="21">
        <f t="shared" ref="BN326:BU326" si="1553">IF($F$290, 0, IF($D$296, IF(AND(COLUMN($BN$326)-COLUMN($BN$319)=$Q$291,ROW($BN$326)-ROW($BN$319)=$K$291), U$290, BN326), BN326))</f>
        <v>0</v>
      </c>
      <c r="BO326" s="21">
        <f t="shared" si="1553"/>
        <v>0</v>
      </c>
      <c r="BP326" s="21">
        <f t="shared" si="1553"/>
        <v>0</v>
      </c>
      <c r="BQ326" s="21">
        <f t="shared" si="1553"/>
        <v>0</v>
      </c>
      <c r="BR326" s="21">
        <f t="shared" si="1553"/>
        <v>0</v>
      </c>
      <c r="BS326" s="21">
        <f t="shared" si="1553"/>
        <v>0</v>
      </c>
      <c r="BT326" s="21">
        <f t="shared" si="1553"/>
        <v>0</v>
      </c>
      <c r="BU326" s="21">
        <f t="shared" si="1553"/>
        <v>0</v>
      </c>
      <c r="BV326" s="21">
        <f t="shared" ref="BV326:CC326" si="1554">IF($F$290, 0, IF($D$296, IF(AND(COLUMN($BV$326)-COLUMN($BN$319)=$Q$291,ROW($BV$326)-ROW($BN$319)=$K$291), U$290, BV326), BV326))</f>
        <v>0</v>
      </c>
      <c r="BW326" s="21">
        <f t="shared" si="1554"/>
        <v>0</v>
      </c>
      <c r="BX326" s="21">
        <f t="shared" si="1554"/>
        <v>0</v>
      </c>
      <c r="BY326" s="21">
        <f t="shared" si="1554"/>
        <v>0</v>
      </c>
      <c r="BZ326" s="21">
        <f t="shared" si="1554"/>
        <v>0</v>
      </c>
      <c r="CA326" s="21">
        <f t="shared" si="1554"/>
        <v>0</v>
      </c>
      <c r="CB326" s="21">
        <f t="shared" si="1554"/>
        <v>0</v>
      </c>
      <c r="CC326" s="21">
        <f t="shared" si="1554"/>
        <v>0</v>
      </c>
      <c r="CD326" s="21">
        <f t="shared" ref="CD326:CK326" si="1555">IF($F$290, 0, IF($D$296, IF(AND(COLUMN($CD$326)-COLUMN($BN$319)=$Q$291,ROW($CD$326)-ROW($BN$319)=$K$291), U$290, CD326), CD326))</f>
        <v>0</v>
      </c>
      <c r="CE326" s="21">
        <f t="shared" si="1555"/>
        <v>0</v>
      </c>
      <c r="CF326" s="21">
        <f t="shared" si="1555"/>
        <v>0</v>
      </c>
      <c r="CG326" s="21">
        <f t="shared" si="1555"/>
        <v>0</v>
      </c>
      <c r="CH326" s="21">
        <f t="shared" si="1555"/>
        <v>0</v>
      </c>
      <c r="CI326" s="21">
        <f t="shared" si="1555"/>
        <v>0</v>
      </c>
      <c r="CJ326" s="21">
        <f t="shared" si="1555"/>
        <v>0</v>
      </c>
      <c r="CK326" s="21">
        <f t="shared" si="1555"/>
        <v>0</v>
      </c>
      <c r="CL326" s="21">
        <f t="shared" ref="CL326:CS326" si="1556">IF($F$290, 0, IF($D$296, IF(AND(COLUMN($CL$326)-COLUMN($BN$319)=$Q$291,ROW($CL$326)-ROW($BN$319)=$K$291), U$290, CL326), CL326))</f>
        <v>0</v>
      </c>
      <c r="CM326" s="21">
        <f t="shared" si="1556"/>
        <v>0</v>
      </c>
      <c r="CN326" s="21">
        <f t="shared" si="1556"/>
        <v>0</v>
      </c>
      <c r="CO326" s="21">
        <f t="shared" si="1556"/>
        <v>0</v>
      </c>
      <c r="CP326" s="21">
        <f t="shared" si="1556"/>
        <v>0</v>
      </c>
      <c r="CQ326" s="21">
        <f t="shared" si="1556"/>
        <v>0</v>
      </c>
      <c r="CR326" s="21">
        <f t="shared" si="1556"/>
        <v>0</v>
      </c>
      <c r="CS326" s="21">
        <f t="shared" si="1556"/>
        <v>0</v>
      </c>
      <c r="CT326" s="21">
        <f t="shared" ref="CT326:DA326" si="1557">IF($F$290, 0, IF($D$296, IF(AND(COLUMN($CT$326)-COLUMN($BN$319)=$Q$291,ROW($CT$326)-ROW($BN$319)=$K$291), U$290, CT326), CT326))</f>
        <v>0</v>
      </c>
      <c r="CU326" s="21">
        <f t="shared" si="1557"/>
        <v>0</v>
      </c>
      <c r="CV326" s="21">
        <f t="shared" si="1557"/>
        <v>0</v>
      </c>
      <c r="CW326" s="21">
        <f t="shared" si="1557"/>
        <v>0</v>
      </c>
      <c r="CX326" s="21">
        <f t="shared" si="1557"/>
        <v>0</v>
      </c>
      <c r="CY326" s="21">
        <f t="shared" si="1557"/>
        <v>0</v>
      </c>
      <c r="CZ326" s="21">
        <f t="shared" si="1557"/>
        <v>0</v>
      </c>
      <c r="DA326" s="21">
        <f t="shared" si="1557"/>
        <v>0</v>
      </c>
      <c r="DB326" s="21">
        <f t="shared" ref="DB326:DI326" si="1558">IF($F$290, 0, IF($D$296, IF(AND(COLUMN($DB$326)-COLUMN($BN$319)=$Q$291,ROW($DB$326)-ROW($BN$319)=$K$291), U$290, DB326), DB326))</f>
        <v>0</v>
      </c>
      <c r="DC326" s="21">
        <f t="shared" si="1558"/>
        <v>0</v>
      </c>
      <c r="DD326" s="21">
        <f t="shared" si="1558"/>
        <v>0</v>
      </c>
      <c r="DE326" s="21">
        <f t="shared" si="1558"/>
        <v>0</v>
      </c>
      <c r="DF326" s="21">
        <f t="shared" si="1558"/>
        <v>0</v>
      </c>
      <c r="DG326" s="21">
        <f t="shared" si="1558"/>
        <v>0</v>
      </c>
      <c r="DH326" s="21">
        <f t="shared" si="1558"/>
        <v>0</v>
      </c>
      <c r="DI326" s="21">
        <f t="shared" si="1558"/>
        <v>0</v>
      </c>
      <c r="DJ326" s="21">
        <f t="shared" ref="DJ326:DQ326" si="1559">IF($F$290, 0, IF($D$296, IF(AND(COLUMN($DJ$326)-COLUMN($BN$319)=$Q$291,ROW($DJ$326)-ROW($BN$319)=$K$291), U$290, DJ326), DJ326))</f>
        <v>0</v>
      </c>
      <c r="DK326" s="21">
        <f t="shared" si="1559"/>
        <v>0</v>
      </c>
      <c r="DL326" s="21">
        <f t="shared" si="1559"/>
        <v>0</v>
      </c>
      <c r="DM326" s="21">
        <f t="shared" si="1559"/>
        <v>0</v>
      </c>
      <c r="DN326" s="21">
        <f t="shared" si="1559"/>
        <v>0</v>
      </c>
      <c r="DO326" s="21">
        <f t="shared" si="1559"/>
        <v>0</v>
      </c>
      <c r="DP326" s="21">
        <f t="shared" si="1559"/>
        <v>0</v>
      </c>
      <c r="DQ326" s="21">
        <f t="shared" si="1559"/>
        <v>0</v>
      </c>
      <c r="DR326" s="21">
        <f t="shared" ref="DR326:DY326" si="1560">IF($F$290, 0, IF($D$296, IF(AND(COLUMN($DR$326)-COLUMN($BN$319)=$Q$291,ROW($DR$326)-ROW($BN$319)=$K$291), U$290, DR326), DR326))</f>
        <v>0</v>
      </c>
      <c r="DS326" s="21">
        <f t="shared" si="1560"/>
        <v>0</v>
      </c>
      <c r="DT326" s="21">
        <f t="shared" si="1560"/>
        <v>0</v>
      </c>
      <c r="DU326" s="21">
        <f t="shared" si="1560"/>
        <v>0</v>
      </c>
      <c r="DV326" s="21">
        <f t="shared" si="1560"/>
        <v>0</v>
      </c>
      <c r="DW326" s="21">
        <f t="shared" si="1560"/>
        <v>0</v>
      </c>
      <c r="DX326" s="21">
        <f t="shared" si="1560"/>
        <v>0</v>
      </c>
      <c r="DY326" s="21">
        <f t="shared" si="1560"/>
        <v>0</v>
      </c>
      <c r="DZ326" s="21">
        <f t="shared" ref="DZ326:EG326" si="1561">IF($F$290, 0, IF($E$296, IF(AND(COLUMN($DZ$326)-COLUMN($DZ$319)=$Q$291,ROW($DZ$326)-ROW($DZ$319)=$K$291), U$290, DZ326), DZ326))</f>
        <v>0</v>
      </c>
      <c r="EA326" s="21">
        <f t="shared" si="1561"/>
        <v>0</v>
      </c>
      <c r="EB326" s="21">
        <f t="shared" si="1561"/>
        <v>0</v>
      </c>
      <c r="EC326" s="21">
        <f t="shared" si="1561"/>
        <v>0</v>
      </c>
      <c r="ED326" s="21">
        <f t="shared" si="1561"/>
        <v>0</v>
      </c>
      <c r="EE326" s="21">
        <f t="shared" si="1561"/>
        <v>0</v>
      </c>
      <c r="EF326" s="21">
        <f t="shared" si="1561"/>
        <v>0</v>
      </c>
      <c r="EG326" s="21">
        <f t="shared" si="1561"/>
        <v>0</v>
      </c>
      <c r="EH326" s="21">
        <f t="shared" ref="EH326:EO326" si="1562">IF($F$290, 0, IF($E$296, IF(AND(COLUMN($EH$326)-COLUMN($DZ$319)=$Q$291,ROW($EH$326)-ROW($DZ$319)=$K$291), U$290, EH326), EH326))</f>
        <v>0</v>
      </c>
      <c r="EI326" s="21">
        <f t="shared" si="1562"/>
        <v>0</v>
      </c>
      <c r="EJ326" s="21">
        <f t="shared" si="1562"/>
        <v>0</v>
      </c>
      <c r="EK326" s="21">
        <f t="shared" si="1562"/>
        <v>0</v>
      </c>
      <c r="EL326" s="21">
        <f t="shared" si="1562"/>
        <v>0</v>
      </c>
      <c r="EM326" s="21">
        <f t="shared" si="1562"/>
        <v>0</v>
      </c>
      <c r="EN326" s="21">
        <f t="shared" si="1562"/>
        <v>0</v>
      </c>
      <c r="EO326" s="21">
        <f t="shared" si="1562"/>
        <v>0</v>
      </c>
      <c r="EP326" s="21">
        <f t="shared" ref="EP326:EW326" si="1563">IF($F$290, 0, IF($E$296, IF(AND(COLUMN($EP$326)-COLUMN($DZ$319)=$Q$291,ROW($EP$326)-ROW($DZ$319)=$K$291), U$290, EP326), EP326))</f>
        <v>0</v>
      </c>
      <c r="EQ326" s="21">
        <f t="shared" si="1563"/>
        <v>0</v>
      </c>
      <c r="ER326" s="21">
        <f t="shared" si="1563"/>
        <v>0</v>
      </c>
      <c r="ES326" s="21">
        <f t="shared" si="1563"/>
        <v>0</v>
      </c>
      <c r="ET326" s="21">
        <f t="shared" si="1563"/>
        <v>0</v>
      </c>
      <c r="EU326" s="21">
        <f t="shared" si="1563"/>
        <v>0</v>
      </c>
      <c r="EV326" s="21">
        <f t="shared" si="1563"/>
        <v>0</v>
      </c>
      <c r="EW326" s="21">
        <f t="shared" si="1563"/>
        <v>0</v>
      </c>
      <c r="EX326" s="21">
        <f t="shared" ref="EX326:FE326" si="1564">IF($F$290, 0, IF($E$296, IF(AND(COLUMN($EX$326)-COLUMN($DZ$319)=$Q$291,ROW($EX$326)-ROW($DZ$319)=$K$291), U$290, EX326), EX326))</f>
        <v>0</v>
      </c>
      <c r="EY326" s="21">
        <f t="shared" si="1564"/>
        <v>0</v>
      </c>
      <c r="EZ326" s="21">
        <f t="shared" si="1564"/>
        <v>0</v>
      </c>
      <c r="FA326" s="21">
        <f t="shared" si="1564"/>
        <v>0</v>
      </c>
      <c r="FB326" s="21">
        <f t="shared" si="1564"/>
        <v>0</v>
      </c>
      <c r="FC326" s="21">
        <f t="shared" si="1564"/>
        <v>0</v>
      </c>
      <c r="FD326" s="21">
        <f t="shared" si="1564"/>
        <v>0</v>
      </c>
      <c r="FE326" s="21">
        <f t="shared" si="1564"/>
        <v>0</v>
      </c>
      <c r="FF326" s="21">
        <f t="shared" ref="FF326:FM326" si="1565">IF($F$290, 0, IF($E$296, IF(AND(COLUMN($FF$326)-COLUMN($DZ$319)=$Q$291,ROW($FF$326)-ROW($DZ$319)=$K$291), U$290, FF326), FF326))</f>
        <v>0</v>
      </c>
      <c r="FG326" s="21">
        <f t="shared" si="1565"/>
        <v>0</v>
      </c>
      <c r="FH326" s="21">
        <f t="shared" si="1565"/>
        <v>0</v>
      </c>
      <c r="FI326" s="21">
        <f t="shared" si="1565"/>
        <v>0</v>
      </c>
      <c r="FJ326" s="21">
        <f t="shared" si="1565"/>
        <v>0</v>
      </c>
      <c r="FK326" s="21">
        <f t="shared" si="1565"/>
        <v>0</v>
      </c>
      <c r="FL326" s="21">
        <f t="shared" si="1565"/>
        <v>0</v>
      </c>
      <c r="FM326" s="21">
        <f t="shared" si="1565"/>
        <v>0</v>
      </c>
      <c r="FN326" s="21">
        <f t="shared" ref="FN326:FU326" si="1566">IF($F$290, 0, IF($E$296, IF(AND(COLUMN($FN$326)-COLUMN($DZ$319)=$Q$291,ROW($FN$326)-ROW($DZ$319)=$K$291), U$290, FN326), FN326))</f>
        <v>0</v>
      </c>
      <c r="FO326" s="21">
        <f t="shared" si="1566"/>
        <v>0</v>
      </c>
      <c r="FP326" s="21">
        <f t="shared" si="1566"/>
        <v>0</v>
      </c>
      <c r="FQ326" s="21">
        <f t="shared" si="1566"/>
        <v>0</v>
      </c>
      <c r="FR326" s="21">
        <f t="shared" si="1566"/>
        <v>0</v>
      </c>
      <c r="FS326" s="21">
        <f t="shared" si="1566"/>
        <v>0</v>
      </c>
      <c r="FT326" s="21">
        <f t="shared" si="1566"/>
        <v>0</v>
      </c>
      <c r="FU326" s="21">
        <f t="shared" si="1566"/>
        <v>0</v>
      </c>
      <c r="FV326" s="21">
        <f t="shared" ref="FV326:GC326" si="1567">IF($F$290, 0, IF($E$296, IF(AND(COLUMN($FV$326)-COLUMN($DZ$319)=$Q$291,ROW($FV$326)-ROW($DZ$319)=$K$291), U$290, FV326), FV326))</f>
        <v>0</v>
      </c>
      <c r="FW326" s="21">
        <f t="shared" si="1567"/>
        <v>0</v>
      </c>
      <c r="FX326" s="21">
        <f t="shared" si="1567"/>
        <v>0</v>
      </c>
      <c r="FY326" s="21">
        <f t="shared" si="1567"/>
        <v>0</v>
      </c>
      <c r="FZ326" s="21">
        <f t="shared" si="1567"/>
        <v>0</v>
      </c>
      <c r="GA326" s="21">
        <f t="shared" si="1567"/>
        <v>0</v>
      </c>
      <c r="GB326" s="21">
        <f t="shared" si="1567"/>
        <v>0</v>
      </c>
      <c r="GC326" s="21">
        <f t="shared" si="1567"/>
        <v>0</v>
      </c>
      <c r="GD326" s="21">
        <f t="shared" ref="GD326:GK326" si="1568">IF($F$290, 0, IF($E$296, IF(AND(COLUMN($GD$326)-COLUMN($DZ$319)=$Q$291,ROW($GD$326)-ROW($DZ$319)=$K$291), U$290, GD326), GD326))</f>
        <v>0</v>
      </c>
      <c r="GE326" s="21">
        <f t="shared" si="1568"/>
        <v>0</v>
      </c>
      <c r="GF326" s="21">
        <f t="shared" si="1568"/>
        <v>0</v>
      </c>
      <c r="GG326" s="21">
        <f t="shared" si="1568"/>
        <v>0</v>
      </c>
      <c r="GH326" s="21">
        <f t="shared" si="1568"/>
        <v>0</v>
      </c>
      <c r="GI326" s="21">
        <f t="shared" si="1568"/>
        <v>0</v>
      </c>
      <c r="GJ326" s="21">
        <f t="shared" si="1568"/>
        <v>0</v>
      </c>
      <c r="GK326" s="21">
        <f t="shared" si="1568"/>
        <v>0</v>
      </c>
      <c r="GL326" s="21">
        <f t="shared" ref="GL326:GS326" si="1569">IF($F$290, 0, IF($F$296, IF(AND(COLUMN($GL$326)-COLUMN($GL$319)=$Q$291,ROW($GL$326)-ROW($GL$319)=$K$291), U$290, GL326), GL326))</f>
        <v>0</v>
      </c>
      <c r="GM326" s="21">
        <f t="shared" si="1569"/>
        <v>0</v>
      </c>
      <c r="GN326" s="21">
        <f t="shared" si="1569"/>
        <v>0</v>
      </c>
      <c r="GO326" s="21">
        <f t="shared" si="1569"/>
        <v>0</v>
      </c>
      <c r="GP326" s="21">
        <f t="shared" si="1569"/>
        <v>0</v>
      </c>
      <c r="GQ326" s="21">
        <f t="shared" si="1569"/>
        <v>0</v>
      </c>
      <c r="GR326" s="21">
        <f t="shared" si="1569"/>
        <v>0</v>
      </c>
      <c r="GS326" s="21">
        <f t="shared" si="1569"/>
        <v>0</v>
      </c>
      <c r="GT326" s="21">
        <f t="shared" ref="GT326:HA326" si="1570">IF($F$290, 0, IF($F$296, IF(AND(COLUMN($GT$326)-COLUMN($GL$319)=$Q$291,ROW($GT$326)-ROW($GL$319)=$K$291), U$290, GT326), GT326))</f>
        <v>0</v>
      </c>
      <c r="GU326" s="21">
        <f t="shared" si="1570"/>
        <v>0</v>
      </c>
      <c r="GV326" s="21">
        <f t="shared" si="1570"/>
        <v>0</v>
      </c>
      <c r="GW326" s="21">
        <f t="shared" si="1570"/>
        <v>0</v>
      </c>
      <c r="GX326" s="21">
        <f t="shared" si="1570"/>
        <v>0</v>
      </c>
      <c r="GY326" s="21">
        <f t="shared" si="1570"/>
        <v>0</v>
      </c>
      <c r="GZ326" s="21">
        <f t="shared" si="1570"/>
        <v>0</v>
      </c>
      <c r="HA326" s="21">
        <f t="shared" si="1570"/>
        <v>0</v>
      </c>
      <c r="HB326" s="21">
        <f t="shared" ref="HB326:HI326" si="1571">IF($F$290, 0, IF($F$296, IF(AND(COLUMN($HB$326)-COLUMN($GL$319)=$Q$291,ROW($HB$326)-ROW($GL$319)=$K$291), U$290, HB326), HB326))</f>
        <v>0</v>
      </c>
      <c r="HC326" s="21">
        <f t="shared" si="1571"/>
        <v>0</v>
      </c>
      <c r="HD326" s="21">
        <f t="shared" si="1571"/>
        <v>0</v>
      </c>
      <c r="HE326" s="21">
        <f t="shared" si="1571"/>
        <v>0</v>
      </c>
      <c r="HF326" s="21">
        <f t="shared" si="1571"/>
        <v>0</v>
      </c>
      <c r="HG326" s="21">
        <f t="shared" si="1571"/>
        <v>0</v>
      </c>
      <c r="HH326" s="21">
        <f t="shared" si="1571"/>
        <v>0</v>
      </c>
      <c r="HI326" s="21">
        <f t="shared" si="1571"/>
        <v>0</v>
      </c>
      <c r="HJ326" s="21">
        <f t="shared" ref="HJ326:HQ326" si="1572">IF($F$290, 0, IF($F$296, IF(AND(COLUMN($HJ$326)-COLUMN($GL$319)=$Q$291,ROW($HJ$326)-ROW($GL$319)=$K$291), U$290, HJ326), HJ326))</f>
        <v>0</v>
      </c>
      <c r="HK326" s="21">
        <f t="shared" si="1572"/>
        <v>0</v>
      </c>
      <c r="HL326" s="21">
        <f t="shared" si="1572"/>
        <v>0</v>
      </c>
      <c r="HM326" s="21">
        <f t="shared" si="1572"/>
        <v>0</v>
      </c>
      <c r="HN326" s="21">
        <f t="shared" si="1572"/>
        <v>0</v>
      </c>
      <c r="HO326" s="21">
        <f t="shared" si="1572"/>
        <v>0</v>
      </c>
      <c r="HP326" s="21">
        <f t="shared" si="1572"/>
        <v>0</v>
      </c>
      <c r="HQ326" s="21">
        <f t="shared" si="1572"/>
        <v>0</v>
      </c>
      <c r="HR326" s="21">
        <f t="shared" ref="HR326:HY326" si="1573">IF($F$290, 0, IF($F$296, IF(AND(COLUMN($HR$326)-COLUMN($GL$319)=$Q$291,ROW($HR$326)-ROW($GL$319)=$K$291), U$290, HR326), HR326))</f>
        <v>0</v>
      </c>
      <c r="HS326" s="21">
        <f t="shared" si="1573"/>
        <v>0</v>
      </c>
      <c r="HT326" s="21">
        <f t="shared" si="1573"/>
        <v>0</v>
      </c>
      <c r="HU326" s="21">
        <f t="shared" si="1573"/>
        <v>0</v>
      </c>
      <c r="HV326" s="21">
        <f t="shared" si="1573"/>
        <v>0</v>
      </c>
      <c r="HW326" s="21">
        <f t="shared" si="1573"/>
        <v>0</v>
      </c>
      <c r="HX326" s="21">
        <f t="shared" si="1573"/>
        <v>0</v>
      </c>
      <c r="HY326" s="21">
        <f t="shared" si="1573"/>
        <v>0</v>
      </c>
      <c r="HZ326" s="21">
        <f t="shared" ref="HZ326:IG326" si="1574">IF($F$290, 0, IF($F$296, IF(AND(COLUMN($HZ$326)-COLUMN($GL$319)=$Q$291,ROW($HZ$326)-ROW($GL$319)=$K$291), U$290, HZ326), HZ326))</f>
        <v>0</v>
      </c>
      <c r="IA326" s="21">
        <f t="shared" si="1574"/>
        <v>0</v>
      </c>
      <c r="IB326" s="21">
        <f t="shared" si="1574"/>
        <v>0</v>
      </c>
      <c r="IC326" s="21">
        <f t="shared" si="1574"/>
        <v>0</v>
      </c>
      <c r="ID326" s="21">
        <f t="shared" si="1574"/>
        <v>0</v>
      </c>
      <c r="IE326" s="21">
        <f t="shared" si="1574"/>
        <v>0</v>
      </c>
      <c r="IF326" s="21">
        <f t="shared" si="1574"/>
        <v>0</v>
      </c>
      <c r="IG326" s="21">
        <f t="shared" si="1574"/>
        <v>0</v>
      </c>
      <c r="IH326" s="21">
        <f t="shared" ref="IH326:IO326" si="1575">IF($F$290, 0, IF($F$296, IF(AND(COLUMN($IH$326)-COLUMN($GL$319)=$Q$291,ROW($IH$326)-ROW($GL$319)=$K$291), U$290, IH326), IH326))</f>
        <v>0</v>
      </c>
      <c r="II326" s="21">
        <f t="shared" si="1575"/>
        <v>0</v>
      </c>
      <c r="IJ326" s="21">
        <f t="shared" si="1575"/>
        <v>0</v>
      </c>
      <c r="IK326" s="21">
        <f t="shared" si="1575"/>
        <v>0</v>
      </c>
      <c r="IL326" s="21">
        <f t="shared" si="1575"/>
        <v>0</v>
      </c>
      <c r="IM326" s="21">
        <f t="shared" si="1575"/>
        <v>0</v>
      </c>
      <c r="IN326" s="21">
        <f t="shared" si="1575"/>
        <v>0</v>
      </c>
      <c r="IO326" s="21">
        <f t="shared" si="1575"/>
        <v>0</v>
      </c>
      <c r="IP326" s="21">
        <f t="shared" ref="IP326:IW326" si="1576">IF($F$290, 0, IF($F$296, IF(AND(COLUMN($IP$326)-COLUMN($GL$319)=$Q$291,ROW($IP$326)-ROW($GL$319)=$K$291), U$290, IP326), IP326))</f>
        <v>0</v>
      </c>
      <c r="IQ326" s="21">
        <f t="shared" si="1576"/>
        <v>0</v>
      </c>
      <c r="IR326" s="21">
        <f t="shared" si="1576"/>
        <v>0</v>
      </c>
      <c r="IS326" s="21">
        <f t="shared" si="1576"/>
        <v>0</v>
      </c>
      <c r="IT326" s="21">
        <f t="shared" si="1576"/>
        <v>0</v>
      </c>
      <c r="IU326" s="21">
        <f t="shared" si="1576"/>
        <v>0</v>
      </c>
      <c r="IV326" s="21">
        <f t="shared" si="1576"/>
        <v>0</v>
      </c>
      <c r="IW326" s="21">
        <f t="shared" si="1576"/>
        <v>0</v>
      </c>
      <c r="IX326" s="21">
        <f t="shared" ref="IX326:JE326" si="1577">IF($F$290, 0, IF($G$296, IF(AND(COLUMN($IX$326)-COLUMN($IX$319)=$Q$291,ROW($IX$326)-ROW($IX$319)=$K$291), U$290, IX326), IX326))</f>
        <v>0</v>
      </c>
      <c r="IY326" s="21">
        <f t="shared" si="1577"/>
        <v>0</v>
      </c>
      <c r="IZ326" s="21">
        <f t="shared" si="1577"/>
        <v>0</v>
      </c>
      <c r="JA326" s="21">
        <f t="shared" si="1577"/>
        <v>0</v>
      </c>
      <c r="JB326" s="21">
        <f t="shared" si="1577"/>
        <v>0</v>
      </c>
      <c r="JC326" s="21">
        <f t="shared" si="1577"/>
        <v>0</v>
      </c>
      <c r="JD326" s="21">
        <f t="shared" si="1577"/>
        <v>0</v>
      </c>
      <c r="JE326" s="21">
        <f t="shared" si="1577"/>
        <v>0</v>
      </c>
      <c r="JF326" s="21">
        <f t="shared" ref="JF326:JM326" si="1578">IF($F$290, 0, IF($G$296, IF(AND(COLUMN($JF$326)-COLUMN($IX$319)=$Q$291,ROW($JF$326)-ROW($IX$319)=$K$291), U$290, JF326), JF326))</f>
        <v>0</v>
      </c>
      <c r="JG326" s="21">
        <f t="shared" si="1578"/>
        <v>0</v>
      </c>
      <c r="JH326" s="21">
        <f t="shared" si="1578"/>
        <v>0</v>
      </c>
      <c r="JI326" s="21">
        <f t="shared" si="1578"/>
        <v>0</v>
      </c>
      <c r="JJ326" s="21">
        <f t="shared" si="1578"/>
        <v>0</v>
      </c>
      <c r="JK326" s="21">
        <f t="shared" si="1578"/>
        <v>0</v>
      </c>
      <c r="JL326" s="21">
        <f t="shared" si="1578"/>
        <v>0</v>
      </c>
      <c r="JM326" s="21">
        <f t="shared" si="1578"/>
        <v>0</v>
      </c>
      <c r="JN326" s="21">
        <f t="shared" ref="JN326:JU326" si="1579">IF($F$290, 0, IF($G$296, IF(AND(COLUMN($JN$326)-COLUMN($IX$319)=$Q$291,ROW($JN$326)-ROW($IX$319)=$K$291), U$290, JN326), JN326))</f>
        <v>0</v>
      </c>
      <c r="JO326" s="21">
        <f t="shared" si="1579"/>
        <v>0</v>
      </c>
      <c r="JP326" s="21">
        <f t="shared" si="1579"/>
        <v>0</v>
      </c>
      <c r="JQ326" s="21">
        <f t="shared" si="1579"/>
        <v>0</v>
      </c>
      <c r="JR326" s="21">
        <f t="shared" si="1579"/>
        <v>0</v>
      </c>
      <c r="JS326" s="21">
        <f t="shared" si="1579"/>
        <v>0</v>
      </c>
      <c r="JT326" s="21">
        <f t="shared" si="1579"/>
        <v>0</v>
      </c>
      <c r="JU326" s="21">
        <f t="shared" si="1579"/>
        <v>0</v>
      </c>
      <c r="JV326" s="21">
        <f t="shared" ref="JV326:KC326" si="1580">IF($F$290, 0, IF($G$296, IF(AND(COLUMN($JV$326)-COLUMN($IX$319)=$Q$291,ROW($JV$326)-ROW($IX$319)=$K$291), U$290, JV326), JV326))</f>
        <v>0</v>
      </c>
      <c r="JW326" s="21">
        <f t="shared" si="1580"/>
        <v>0</v>
      </c>
      <c r="JX326" s="21">
        <f t="shared" si="1580"/>
        <v>0</v>
      </c>
      <c r="JY326" s="21">
        <f t="shared" si="1580"/>
        <v>0</v>
      </c>
      <c r="JZ326" s="21">
        <f t="shared" si="1580"/>
        <v>0</v>
      </c>
      <c r="KA326" s="21">
        <f t="shared" si="1580"/>
        <v>0</v>
      </c>
      <c r="KB326" s="21">
        <f t="shared" si="1580"/>
        <v>0</v>
      </c>
      <c r="KC326" s="21">
        <f t="shared" si="1580"/>
        <v>0</v>
      </c>
      <c r="KD326" s="21">
        <f t="shared" ref="KD326:KK326" si="1581">IF($F$290, 0, IF($G$296, IF(AND(COLUMN($KD$326)-COLUMN($IX$319)=$Q$291,ROW($KD$326)-ROW($IX$319)=$K$291), U$290, KD326), KD326))</f>
        <v>0</v>
      </c>
      <c r="KE326" s="21">
        <f t="shared" si="1581"/>
        <v>0</v>
      </c>
      <c r="KF326" s="21">
        <f t="shared" si="1581"/>
        <v>0</v>
      </c>
      <c r="KG326" s="21">
        <f t="shared" si="1581"/>
        <v>0</v>
      </c>
      <c r="KH326" s="21">
        <f t="shared" si="1581"/>
        <v>0</v>
      </c>
      <c r="KI326" s="21">
        <f t="shared" si="1581"/>
        <v>0</v>
      </c>
      <c r="KJ326" s="21">
        <f t="shared" si="1581"/>
        <v>0</v>
      </c>
      <c r="KK326" s="21">
        <f t="shared" si="1581"/>
        <v>0</v>
      </c>
      <c r="KL326" s="21">
        <f t="shared" ref="KL326:KS326" si="1582">IF($F$290, 0, IF($G$296, IF(AND(COLUMN($KL$326)-COLUMN($IX$319)=$Q$291,ROW($KL$326)-ROW($IX$319)=$K$291), U$290, KL326), KL326))</f>
        <v>0</v>
      </c>
      <c r="KM326" s="21">
        <f t="shared" si="1582"/>
        <v>0</v>
      </c>
      <c r="KN326" s="21">
        <f t="shared" si="1582"/>
        <v>0</v>
      </c>
      <c r="KO326" s="21">
        <f t="shared" si="1582"/>
        <v>0</v>
      </c>
      <c r="KP326" s="21">
        <f t="shared" si="1582"/>
        <v>0</v>
      </c>
      <c r="KQ326" s="21">
        <f t="shared" si="1582"/>
        <v>0</v>
      </c>
      <c r="KR326" s="21">
        <f t="shared" si="1582"/>
        <v>0</v>
      </c>
      <c r="KS326" s="21">
        <f t="shared" si="1582"/>
        <v>0</v>
      </c>
      <c r="KT326" s="21">
        <f t="shared" ref="KT326:LA326" si="1583">IF($F$290, 0, IF($G$296, IF(AND(COLUMN($KT$326)-COLUMN($IX$319)=$Q$291,ROW($KT$326)-ROW($IX$319)=$K$291), U$290, KT326), KT326))</f>
        <v>0</v>
      </c>
      <c r="KU326" s="21">
        <f t="shared" si="1583"/>
        <v>0</v>
      </c>
      <c r="KV326" s="21">
        <f t="shared" si="1583"/>
        <v>0</v>
      </c>
      <c r="KW326" s="21">
        <f t="shared" si="1583"/>
        <v>0</v>
      </c>
      <c r="KX326" s="21">
        <f t="shared" si="1583"/>
        <v>0</v>
      </c>
      <c r="KY326" s="21">
        <f t="shared" si="1583"/>
        <v>0</v>
      </c>
      <c r="KZ326" s="21">
        <f t="shared" si="1583"/>
        <v>0</v>
      </c>
      <c r="LA326" s="21">
        <f t="shared" si="1583"/>
        <v>0</v>
      </c>
      <c r="LB326" s="21">
        <f t="shared" ref="LB326:LI326" si="1584">IF($F$290, 0, IF($G$296, IF(AND(COLUMN($LB$326)-COLUMN($IX$319)=$Q$291,ROW($LB$326)-ROW($IX$319)=$K$291), U$290, LB326), LB326))</f>
        <v>0</v>
      </c>
      <c r="LC326" s="21">
        <f t="shared" si="1584"/>
        <v>0</v>
      </c>
      <c r="LD326" s="21">
        <f t="shared" si="1584"/>
        <v>0</v>
      </c>
      <c r="LE326" s="21">
        <f t="shared" si="1584"/>
        <v>0</v>
      </c>
      <c r="LF326" s="21">
        <f t="shared" si="1584"/>
        <v>0</v>
      </c>
      <c r="LG326" s="21">
        <f t="shared" si="1584"/>
        <v>0</v>
      </c>
      <c r="LH326" s="21">
        <f t="shared" si="1584"/>
        <v>0</v>
      </c>
      <c r="LI326" s="21">
        <f t="shared" si="1584"/>
        <v>0</v>
      </c>
      <c r="LJ326" s="21">
        <f t="shared" ref="LJ326:LQ326" si="1585">IF($F$290, 0, IF($H$296, IF(AND(COLUMN($LJ$326)-COLUMN($LJ$319)=$Q$291,ROW($LJ$326)-ROW($LJ$319)=$K$291), U$290, LJ326), LJ326))</f>
        <v>0</v>
      </c>
      <c r="LK326" s="21">
        <f t="shared" si="1585"/>
        <v>0</v>
      </c>
      <c r="LL326" s="21">
        <f t="shared" si="1585"/>
        <v>0</v>
      </c>
      <c r="LM326" s="21">
        <f t="shared" si="1585"/>
        <v>0</v>
      </c>
      <c r="LN326" s="21">
        <f t="shared" si="1585"/>
        <v>0</v>
      </c>
      <c r="LO326" s="21">
        <f t="shared" si="1585"/>
        <v>0</v>
      </c>
      <c r="LP326" s="21">
        <f t="shared" si="1585"/>
        <v>0</v>
      </c>
      <c r="LQ326" s="21">
        <f t="shared" si="1585"/>
        <v>0</v>
      </c>
      <c r="LR326" s="21">
        <f t="shared" ref="LR326:LY326" si="1586">IF($F$290, 0, IF($H$296, IF(AND(COLUMN($LR$326)-COLUMN($LJ$319)=$Q$291,ROW($LR$326)-ROW($LJ$319)=$K$291), U$290, LR326), LR326))</f>
        <v>0</v>
      </c>
      <c r="LS326" s="21">
        <f t="shared" si="1586"/>
        <v>0</v>
      </c>
      <c r="LT326" s="21">
        <f t="shared" si="1586"/>
        <v>0</v>
      </c>
      <c r="LU326" s="21">
        <f t="shared" si="1586"/>
        <v>0</v>
      </c>
      <c r="LV326" s="21">
        <f t="shared" si="1586"/>
        <v>0</v>
      </c>
      <c r="LW326" s="21">
        <f t="shared" si="1586"/>
        <v>0</v>
      </c>
      <c r="LX326" s="21">
        <f t="shared" si="1586"/>
        <v>0</v>
      </c>
      <c r="LY326" s="21">
        <f t="shared" si="1586"/>
        <v>0</v>
      </c>
      <c r="LZ326" s="21">
        <f t="shared" ref="LZ326:MG326" si="1587">IF($F$290, 0, IF($H$296, IF(AND(COLUMN($LZ$326)-COLUMN($LJ$319)=$Q$291,ROW($LZ$326)-ROW($LJ$319)=$K$291), U$290, LZ326), LZ326))</f>
        <v>0</v>
      </c>
      <c r="MA326" s="21">
        <f t="shared" si="1587"/>
        <v>0</v>
      </c>
      <c r="MB326" s="21">
        <f t="shared" si="1587"/>
        <v>0</v>
      </c>
      <c r="MC326" s="21">
        <f t="shared" si="1587"/>
        <v>0</v>
      </c>
      <c r="MD326" s="21">
        <f t="shared" si="1587"/>
        <v>0</v>
      </c>
      <c r="ME326" s="21">
        <f t="shared" si="1587"/>
        <v>0</v>
      </c>
      <c r="MF326" s="21">
        <f t="shared" si="1587"/>
        <v>0</v>
      </c>
      <c r="MG326" s="21">
        <f t="shared" si="1587"/>
        <v>0</v>
      </c>
      <c r="MH326" s="21">
        <f t="shared" ref="MH326:MO326" si="1588">IF($F$290, 0, IF($H$296, IF(AND(COLUMN($MH$326)-COLUMN($LJ$319)=$Q$291,ROW($MH$326)-ROW($LJ$319)=$K$291), U$290, MH326), MH326))</f>
        <v>0</v>
      </c>
      <c r="MI326" s="21">
        <f t="shared" si="1588"/>
        <v>0</v>
      </c>
      <c r="MJ326" s="21">
        <f t="shared" si="1588"/>
        <v>0</v>
      </c>
      <c r="MK326" s="21">
        <f t="shared" si="1588"/>
        <v>0</v>
      </c>
      <c r="ML326" s="21">
        <f t="shared" si="1588"/>
        <v>0</v>
      </c>
      <c r="MM326" s="21">
        <f t="shared" si="1588"/>
        <v>0</v>
      </c>
      <c r="MN326" s="21">
        <f t="shared" si="1588"/>
        <v>0</v>
      </c>
      <c r="MO326" s="21">
        <f t="shared" si="1588"/>
        <v>0</v>
      </c>
      <c r="MP326" s="21">
        <f t="shared" ref="MP326:MW326" si="1589">IF($F$290, 0, IF($H$296, IF(AND(COLUMN($MP$326)-COLUMN($LJ$319)=$Q$291,ROW($MP$326)-ROW($LJ$319)=$K$291), U$290, MP326), MP326))</f>
        <v>0</v>
      </c>
      <c r="MQ326" s="21">
        <f t="shared" si="1589"/>
        <v>0</v>
      </c>
      <c r="MR326" s="21">
        <f t="shared" si="1589"/>
        <v>0</v>
      </c>
      <c r="MS326" s="21">
        <f t="shared" si="1589"/>
        <v>0</v>
      </c>
      <c r="MT326" s="21">
        <f t="shared" si="1589"/>
        <v>0</v>
      </c>
      <c r="MU326" s="21">
        <f t="shared" si="1589"/>
        <v>0</v>
      </c>
      <c r="MV326" s="21">
        <f t="shared" si="1589"/>
        <v>0</v>
      </c>
      <c r="MW326" s="21">
        <f t="shared" si="1589"/>
        <v>0</v>
      </c>
      <c r="MX326" s="21">
        <f t="shared" ref="MX326:NE326" si="1590">IF($F$290, 0, IF($H$296, IF(AND(COLUMN($MX$326)-COLUMN($LJ$319)=$Q$291,ROW($MX$326)-ROW($LJ$319)=$K$291), U$290, MX326), MX326))</f>
        <v>0</v>
      </c>
      <c r="MY326" s="21">
        <f t="shared" si="1590"/>
        <v>0</v>
      </c>
      <c r="MZ326" s="21">
        <f t="shared" si="1590"/>
        <v>0</v>
      </c>
      <c r="NA326" s="21">
        <f t="shared" si="1590"/>
        <v>0</v>
      </c>
      <c r="NB326" s="21">
        <f t="shared" si="1590"/>
        <v>0</v>
      </c>
      <c r="NC326" s="21">
        <f t="shared" si="1590"/>
        <v>0</v>
      </c>
      <c r="ND326" s="21">
        <f t="shared" si="1590"/>
        <v>0</v>
      </c>
      <c r="NE326" s="21">
        <f t="shared" si="1590"/>
        <v>0</v>
      </c>
      <c r="NF326" s="21">
        <f t="shared" ref="NF326:NM326" si="1591">IF($F$290, 0, IF($H$296, IF(AND(COLUMN($NF$326)-COLUMN($LJ$319)=$Q$291,ROW($NF$326)-ROW($LJ$319)=$K$291), U$290, NF326), NF326))</f>
        <v>0</v>
      </c>
      <c r="NG326" s="21">
        <f t="shared" si="1591"/>
        <v>0</v>
      </c>
      <c r="NH326" s="21">
        <f t="shared" si="1591"/>
        <v>0</v>
      </c>
      <c r="NI326" s="21">
        <f t="shared" si="1591"/>
        <v>0</v>
      </c>
      <c r="NJ326" s="21">
        <f t="shared" si="1591"/>
        <v>0</v>
      </c>
      <c r="NK326" s="21">
        <f t="shared" si="1591"/>
        <v>0</v>
      </c>
      <c r="NL326" s="21">
        <f t="shared" si="1591"/>
        <v>0</v>
      </c>
      <c r="NM326" s="21">
        <f t="shared" si="1591"/>
        <v>0</v>
      </c>
      <c r="NN326" s="21">
        <f t="shared" ref="NN326:NU326" si="1592">IF($F$290, 0, IF($H$296, IF(AND(COLUMN($NN$326)-COLUMN($LJ$319)=$Q$291,ROW($NN$326)-ROW($LJ$319)=$K$291), U$290, NN326), NN326))</f>
        <v>0</v>
      </c>
      <c r="NO326" s="21">
        <f t="shared" si="1592"/>
        <v>0</v>
      </c>
      <c r="NP326" s="21">
        <f t="shared" si="1592"/>
        <v>0</v>
      </c>
      <c r="NQ326" s="21">
        <f t="shared" si="1592"/>
        <v>0</v>
      </c>
      <c r="NR326" s="21">
        <f t="shared" si="1592"/>
        <v>0</v>
      </c>
      <c r="NS326" s="21">
        <f t="shared" si="1592"/>
        <v>0</v>
      </c>
      <c r="NT326" s="21">
        <f t="shared" si="1592"/>
        <v>0</v>
      </c>
      <c r="NU326" s="21">
        <f t="shared" si="1592"/>
        <v>0</v>
      </c>
      <c r="NV326" s="21">
        <f t="shared" ref="NV326:OC326" si="1593">IF($F$290, 0, IF($I$296, IF(AND(COLUMN($NV$326)-COLUMN($NV$319)=$Q$291,ROW($NV$326)-ROW($NV$319)=$K$291), U$290, NV326), NV326))</f>
        <v>0</v>
      </c>
      <c r="NW326" s="21">
        <f t="shared" si="1593"/>
        <v>0</v>
      </c>
      <c r="NX326" s="21">
        <f t="shared" si="1593"/>
        <v>0</v>
      </c>
      <c r="NY326" s="21">
        <f t="shared" si="1593"/>
        <v>0</v>
      </c>
      <c r="NZ326" s="21">
        <f t="shared" si="1593"/>
        <v>0</v>
      </c>
      <c r="OA326" s="21">
        <f t="shared" si="1593"/>
        <v>0</v>
      </c>
      <c r="OB326" s="21">
        <f t="shared" si="1593"/>
        <v>0</v>
      </c>
      <c r="OC326" s="21">
        <f t="shared" si="1593"/>
        <v>0</v>
      </c>
      <c r="OD326" s="21">
        <f t="shared" ref="OD326:OK326" si="1594">IF($F$290, 0, IF($I$296, IF(AND(COLUMN($OD$326)-COLUMN($NV$319)=$Q$291,ROW($OD$326)-ROW($NV$319)=$K$291), U$290, OD326), OD326))</f>
        <v>0</v>
      </c>
      <c r="OE326" s="21">
        <f t="shared" si="1594"/>
        <v>0</v>
      </c>
      <c r="OF326" s="21">
        <f t="shared" si="1594"/>
        <v>0</v>
      </c>
      <c r="OG326" s="21">
        <f t="shared" si="1594"/>
        <v>0</v>
      </c>
      <c r="OH326" s="21">
        <f t="shared" si="1594"/>
        <v>0</v>
      </c>
      <c r="OI326" s="21">
        <f t="shared" si="1594"/>
        <v>0</v>
      </c>
      <c r="OJ326" s="21">
        <f t="shared" si="1594"/>
        <v>0</v>
      </c>
      <c r="OK326" s="21">
        <f t="shared" si="1594"/>
        <v>0</v>
      </c>
      <c r="OL326" s="21">
        <f t="shared" ref="OL326:OS326" si="1595">IF($F$290, 0, IF($I$296, IF(AND(COLUMN($OL$326)-COLUMN($NV$319)=$Q$291,ROW($OL$326)-ROW($NV$319)=$K$291), U$290, OL326), OL326))</f>
        <v>0</v>
      </c>
      <c r="OM326" s="21">
        <f t="shared" si="1595"/>
        <v>0</v>
      </c>
      <c r="ON326" s="21">
        <f t="shared" si="1595"/>
        <v>0</v>
      </c>
      <c r="OO326" s="21">
        <f t="shared" si="1595"/>
        <v>0</v>
      </c>
      <c r="OP326" s="21">
        <f t="shared" si="1595"/>
        <v>0</v>
      </c>
      <c r="OQ326" s="21">
        <f t="shared" si="1595"/>
        <v>0</v>
      </c>
      <c r="OR326" s="21">
        <f t="shared" si="1595"/>
        <v>0</v>
      </c>
      <c r="OS326" s="21">
        <f t="shared" si="1595"/>
        <v>0</v>
      </c>
      <c r="OT326" s="21">
        <f t="shared" ref="OT326:PA326" si="1596">IF($F$290, 0, IF($I$296, IF(AND(COLUMN($OT$326)-COLUMN($NV$319)=$Q$291,ROW($OT$326)-ROW($NV$319)=$K$291), U$290, OT326), OT326))</f>
        <v>0</v>
      </c>
      <c r="OU326" s="21">
        <f t="shared" si="1596"/>
        <v>0</v>
      </c>
      <c r="OV326" s="21">
        <f t="shared" si="1596"/>
        <v>0</v>
      </c>
      <c r="OW326" s="21">
        <f t="shared" si="1596"/>
        <v>0</v>
      </c>
      <c r="OX326" s="21">
        <f t="shared" si="1596"/>
        <v>0</v>
      </c>
      <c r="OY326" s="21">
        <f t="shared" si="1596"/>
        <v>0</v>
      </c>
      <c r="OZ326" s="21">
        <f t="shared" si="1596"/>
        <v>0</v>
      </c>
      <c r="PA326" s="21">
        <f t="shared" si="1596"/>
        <v>0</v>
      </c>
      <c r="PB326" s="21">
        <f t="shared" ref="PB326:PI326" si="1597">IF($F$290, 0, IF($I$296, IF(AND(COLUMN($PB$326)-COLUMN($NV$319)=$Q$291,ROW($PB$326)-ROW($NV$319)=$K$291), U$290, PB326), PB326))</f>
        <v>0</v>
      </c>
      <c r="PC326" s="21">
        <f t="shared" si="1597"/>
        <v>0</v>
      </c>
      <c r="PD326" s="21">
        <f t="shared" si="1597"/>
        <v>0</v>
      </c>
      <c r="PE326" s="21">
        <f t="shared" si="1597"/>
        <v>0</v>
      </c>
      <c r="PF326" s="21">
        <f t="shared" si="1597"/>
        <v>0</v>
      </c>
      <c r="PG326" s="21">
        <f t="shared" si="1597"/>
        <v>0</v>
      </c>
      <c r="PH326" s="21">
        <f t="shared" si="1597"/>
        <v>0</v>
      </c>
      <c r="PI326" s="21">
        <f t="shared" si="1597"/>
        <v>0</v>
      </c>
      <c r="PJ326" s="21">
        <f t="shared" ref="PJ326:PQ326" si="1598">IF($F$290, 0, IF($I$296, IF(AND(COLUMN($PJ$326)-COLUMN($NV$319)=$Q$291,ROW($PJ$326)-ROW($NV$319)=$K$291), U$290, PJ326), PJ326))</f>
        <v>0</v>
      </c>
      <c r="PK326" s="21">
        <f t="shared" si="1598"/>
        <v>0</v>
      </c>
      <c r="PL326" s="21">
        <f t="shared" si="1598"/>
        <v>0</v>
      </c>
      <c r="PM326" s="21">
        <f t="shared" si="1598"/>
        <v>0</v>
      </c>
      <c r="PN326" s="21">
        <f t="shared" si="1598"/>
        <v>0</v>
      </c>
      <c r="PO326" s="21">
        <f t="shared" si="1598"/>
        <v>0</v>
      </c>
      <c r="PP326" s="21">
        <f t="shared" si="1598"/>
        <v>0</v>
      </c>
      <c r="PQ326" s="21">
        <f t="shared" si="1598"/>
        <v>0</v>
      </c>
      <c r="PR326" s="21">
        <f t="shared" ref="PR326:PY326" si="1599">IF($F$290, 0, IF($I$296, IF(AND(COLUMN($PR$326)-COLUMN($NV$319)=$Q$291,ROW($PR$326)-ROW($NV$319)=$K$291), U$290, PR326), PR326))</f>
        <v>0</v>
      </c>
      <c r="PS326" s="21">
        <f t="shared" si="1599"/>
        <v>0</v>
      </c>
      <c r="PT326" s="21">
        <f t="shared" si="1599"/>
        <v>0</v>
      </c>
      <c r="PU326" s="21">
        <f t="shared" si="1599"/>
        <v>0</v>
      </c>
      <c r="PV326" s="21">
        <f t="shared" si="1599"/>
        <v>0</v>
      </c>
      <c r="PW326" s="21">
        <f t="shared" si="1599"/>
        <v>0</v>
      </c>
      <c r="PX326" s="21">
        <f t="shared" si="1599"/>
        <v>0</v>
      </c>
      <c r="PY326" s="21">
        <f t="shared" si="1599"/>
        <v>0</v>
      </c>
      <c r="PZ326" s="21">
        <f t="shared" ref="PZ326:QG326" si="1600">IF($F$290, 0, IF($I$296, IF(AND(COLUMN($PZ$326)-COLUMN($NV$319)=$Q$291,ROW($PZ$326)-ROW($NV$319)=$K$291), U$290, PZ326), PZ326))</f>
        <v>0</v>
      </c>
      <c r="QA326" s="21">
        <f t="shared" si="1600"/>
        <v>0</v>
      </c>
      <c r="QB326" s="21">
        <f t="shared" si="1600"/>
        <v>0</v>
      </c>
      <c r="QC326" s="21">
        <f t="shared" si="1600"/>
        <v>0</v>
      </c>
      <c r="QD326" s="21">
        <f t="shared" si="1600"/>
        <v>0</v>
      </c>
      <c r="QE326" s="21">
        <f t="shared" si="1600"/>
        <v>0</v>
      </c>
      <c r="QF326" s="21">
        <f t="shared" si="1600"/>
        <v>0</v>
      </c>
      <c r="QG326" s="21">
        <f t="shared" si="1600"/>
        <v>0</v>
      </c>
      <c r="QH326" s="21">
        <f t="shared" ref="QH326:QO326" si="1601">IF($F$290, 0, IF($J$296, IF(AND(COLUMN($QH$326)-COLUMN($QH$319)=$Q$291,ROW($QH$326)-ROW($QH$319)=$K$291), U$290, QH326), QH326))</f>
        <v>0</v>
      </c>
      <c r="QI326" s="21">
        <f t="shared" si="1601"/>
        <v>0</v>
      </c>
      <c r="QJ326" s="21">
        <f t="shared" si="1601"/>
        <v>0</v>
      </c>
      <c r="QK326" s="21">
        <f t="shared" si="1601"/>
        <v>0</v>
      </c>
      <c r="QL326" s="21">
        <f t="shared" si="1601"/>
        <v>0</v>
      </c>
      <c r="QM326" s="21">
        <f t="shared" si="1601"/>
        <v>0</v>
      </c>
      <c r="QN326" s="21">
        <f t="shared" si="1601"/>
        <v>0</v>
      </c>
      <c r="QO326" s="21">
        <f t="shared" si="1601"/>
        <v>0</v>
      </c>
      <c r="QP326" s="21">
        <f t="shared" ref="QP326:QW326" si="1602">IF($F$290, 0, IF($J$296, IF(AND(COLUMN($QP$326)-COLUMN($QH$319)=$Q$291,ROW($QP$326)-ROW($QH$319)=$K$291), U$290, QP326), QP326))</f>
        <v>0</v>
      </c>
      <c r="QQ326" s="21">
        <f t="shared" si="1602"/>
        <v>0</v>
      </c>
      <c r="QR326" s="21">
        <f t="shared" si="1602"/>
        <v>0</v>
      </c>
      <c r="QS326" s="21">
        <f t="shared" si="1602"/>
        <v>0</v>
      </c>
      <c r="QT326" s="21">
        <f t="shared" si="1602"/>
        <v>0</v>
      </c>
      <c r="QU326" s="21">
        <f t="shared" si="1602"/>
        <v>0</v>
      </c>
      <c r="QV326" s="21">
        <f t="shared" si="1602"/>
        <v>0</v>
      </c>
      <c r="QW326" s="21">
        <f t="shared" si="1602"/>
        <v>0</v>
      </c>
      <c r="QX326" s="21">
        <f t="shared" ref="QX326:RE326" si="1603">IF($F$290, 0, IF($J$296, IF(AND(COLUMN($QX$326)-COLUMN($QH$319)=$Q$291,ROW($QX$326)-ROW($QH$319)=$K$291), U$290, QX326), QX326))</f>
        <v>0</v>
      </c>
      <c r="QY326" s="21">
        <f t="shared" si="1603"/>
        <v>0</v>
      </c>
      <c r="QZ326" s="21">
        <f t="shared" si="1603"/>
        <v>0</v>
      </c>
      <c r="RA326" s="21">
        <f t="shared" si="1603"/>
        <v>0</v>
      </c>
      <c r="RB326" s="21">
        <f t="shared" si="1603"/>
        <v>0</v>
      </c>
      <c r="RC326" s="21">
        <f t="shared" si="1603"/>
        <v>0</v>
      </c>
      <c r="RD326" s="21">
        <f t="shared" si="1603"/>
        <v>0</v>
      </c>
      <c r="RE326" s="21">
        <f t="shared" si="1603"/>
        <v>0</v>
      </c>
      <c r="RF326" s="21">
        <f t="shared" ref="RF326:RM326" si="1604">IF($F$290, 0, IF($J$296, IF(AND(COLUMN($RF$326)-COLUMN($QH$319)=$Q$291,ROW($RF$326)-ROW($QH$319)=$K$291), U$290, RF326), RF326))</f>
        <v>0</v>
      </c>
      <c r="RG326" s="21">
        <f t="shared" si="1604"/>
        <v>0</v>
      </c>
      <c r="RH326" s="21">
        <f t="shared" si="1604"/>
        <v>0</v>
      </c>
      <c r="RI326" s="21">
        <f t="shared" si="1604"/>
        <v>0</v>
      </c>
      <c r="RJ326" s="21">
        <f t="shared" si="1604"/>
        <v>0</v>
      </c>
      <c r="RK326" s="21">
        <f t="shared" si="1604"/>
        <v>0</v>
      </c>
      <c r="RL326" s="21">
        <f t="shared" si="1604"/>
        <v>0</v>
      </c>
      <c r="RM326" s="21">
        <f t="shared" si="1604"/>
        <v>0</v>
      </c>
      <c r="RN326" s="21">
        <f t="shared" ref="RN326:RU326" si="1605">IF($F$290, 0, IF($J$296, IF(AND(COLUMN($RN$326)-COLUMN($QH$319)=$Q$291,ROW($RN$326)-ROW($QH$319)=$K$291), U$290, RN326), RN326))</f>
        <v>0</v>
      </c>
      <c r="RO326" s="21">
        <f t="shared" si="1605"/>
        <v>0</v>
      </c>
      <c r="RP326" s="21">
        <f t="shared" si="1605"/>
        <v>0</v>
      </c>
      <c r="RQ326" s="21">
        <f t="shared" si="1605"/>
        <v>0</v>
      </c>
      <c r="RR326" s="21">
        <f t="shared" si="1605"/>
        <v>0</v>
      </c>
      <c r="RS326" s="21">
        <f t="shared" si="1605"/>
        <v>0</v>
      </c>
      <c r="RT326" s="21">
        <f t="shared" si="1605"/>
        <v>0</v>
      </c>
      <c r="RU326" s="21">
        <f t="shared" si="1605"/>
        <v>0</v>
      </c>
      <c r="RV326" s="21">
        <f t="shared" ref="RV326:SC326" si="1606">IF($F$290, 0, IF($J$296, IF(AND(COLUMN($RV$326)-COLUMN($QH$319)=$Q$291,ROW($RV$326)-ROW($QH$319)=$K$291), U$290, RV326), RV326))</f>
        <v>0</v>
      </c>
      <c r="RW326" s="21">
        <f t="shared" si="1606"/>
        <v>0</v>
      </c>
      <c r="RX326" s="21">
        <f t="shared" si="1606"/>
        <v>0</v>
      </c>
      <c r="RY326" s="21">
        <f t="shared" si="1606"/>
        <v>0</v>
      </c>
      <c r="RZ326" s="21">
        <f t="shared" si="1606"/>
        <v>0</v>
      </c>
      <c r="SA326" s="21">
        <f t="shared" si="1606"/>
        <v>0</v>
      </c>
      <c r="SB326" s="21">
        <f t="shared" si="1606"/>
        <v>0</v>
      </c>
      <c r="SC326" s="21">
        <f t="shared" si="1606"/>
        <v>0</v>
      </c>
      <c r="SD326" s="21">
        <f t="shared" ref="SD326:SK326" si="1607">IF($F$290, 0, IF($J$296, IF(AND(COLUMN($SD$326)-COLUMN($QH$319)=$Q$291,ROW($SD$326)-ROW($QH$319)=$K$291), U$290, SD326), SD326))</f>
        <v>0</v>
      </c>
      <c r="SE326" s="21">
        <f t="shared" si="1607"/>
        <v>0</v>
      </c>
      <c r="SF326" s="21">
        <f t="shared" si="1607"/>
        <v>0</v>
      </c>
      <c r="SG326" s="21">
        <f t="shared" si="1607"/>
        <v>0</v>
      </c>
      <c r="SH326" s="21">
        <f t="shared" si="1607"/>
        <v>0</v>
      </c>
      <c r="SI326" s="21">
        <f t="shared" si="1607"/>
        <v>0</v>
      </c>
      <c r="SJ326" s="21">
        <f t="shared" si="1607"/>
        <v>0</v>
      </c>
      <c r="SK326" s="21">
        <f t="shared" si="1607"/>
        <v>0</v>
      </c>
      <c r="SL326" s="21">
        <f t="shared" ref="SL326:SS326" si="1608">IF($F$290, 0, IF($J$296, IF(AND(COLUMN($SL$326)-COLUMN($QH$319)=$Q$291,ROW($SL$326)-ROW($QH$319)=$K$291), U$290, SL326), SL326))</f>
        <v>0</v>
      </c>
      <c r="SM326" s="21">
        <f t="shared" si="1608"/>
        <v>0</v>
      </c>
      <c r="SN326" s="21">
        <f t="shared" si="1608"/>
        <v>0</v>
      </c>
      <c r="SO326" s="21">
        <f t="shared" si="1608"/>
        <v>0</v>
      </c>
      <c r="SP326" s="21">
        <f t="shared" si="1608"/>
        <v>0</v>
      </c>
      <c r="SQ326" s="21">
        <f t="shared" si="1608"/>
        <v>0</v>
      </c>
      <c r="SR326" s="21">
        <f t="shared" si="1608"/>
        <v>0</v>
      </c>
      <c r="SS326" s="21">
        <f t="shared" si="1608"/>
        <v>0</v>
      </c>
    </row>
    <row r="327" spans="2:513" ht="15" customHeight="1" x14ac:dyDescent="0.25">
      <c r="B327" s="21">
        <f t="shared" ref="B327:I327" si="1609">IF($F$290, 0, IF($C$297, IF(AND(COLUMN($B$327)-COLUMN($B$327)=$Q$291,ROW($B$327)-ROW($B$327)=$K$291), U$290, B327), B327))</f>
        <v>0</v>
      </c>
      <c r="C327" s="21">
        <f t="shared" si="1609"/>
        <v>0</v>
      </c>
      <c r="D327" s="21">
        <f t="shared" si="1609"/>
        <v>0</v>
      </c>
      <c r="E327" s="21">
        <f t="shared" si="1609"/>
        <v>0</v>
      </c>
      <c r="F327" s="21">
        <f t="shared" si="1609"/>
        <v>0</v>
      </c>
      <c r="G327" s="21">
        <f t="shared" si="1609"/>
        <v>0</v>
      </c>
      <c r="H327" s="21">
        <f t="shared" si="1609"/>
        <v>0</v>
      </c>
      <c r="I327" s="21">
        <f t="shared" si="1609"/>
        <v>0</v>
      </c>
      <c r="J327" s="21">
        <f t="shared" ref="J327:Q327" si="1610">IF($F$290, 0, IF($C$297, IF(AND(COLUMN($J$327)-COLUMN($B$327)=$Q$291,ROW($J$327)-ROW($B$327)=$K$291), U$290, J327), J327))</f>
        <v>0</v>
      </c>
      <c r="K327" s="21">
        <f t="shared" si="1610"/>
        <v>0</v>
      </c>
      <c r="L327" s="21">
        <f t="shared" si="1610"/>
        <v>0</v>
      </c>
      <c r="M327" s="21">
        <f t="shared" si="1610"/>
        <v>0</v>
      </c>
      <c r="N327" s="21">
        <f t="shared" si="1610"/>
        <v>0</v>
      </c>
      <c r="O327" s="21">
        <f t="shared" si="1610"/>
        <v>0</v>
      </c>
      <c r="P327" s="21">
        <f t="shared" si="1610"/>
        <v>0</v>
      </c>
      <c r="Q327" s="21">
        <f t="shared" si="1610"/>
        <v>0</v>
      </c>
      <c r="R327" s="21">
        <f>IF($F$290, 0, IF($C$297, IF(AND(COLUMN($R$327)-COLUMN($B$327)=$Q$291,ROW($R$327)-ROW($B$327)=$K$291), U$290, R327), R327))</f>
        <v>0</v>
      </c>
      <c r="S327" s="21">
        <f t="shared" ref="S327:Y327" si="1611">IF($F$290, 0, IF($C$297, IF(AND(COLUMN($R$327)-COLUMN($B$327)=$Q$291,ROW($R$327)-ROW($B$327)=$K$291), V$290, S327), S327))</f>
        <v>0</v>
      </c>
      <c r="T327" s="21">
        <f t="shared" si="1611"/>
        <v>0</v>
      </c>
      <c r="U327" s="21">
        <f t="shared" si="1611"/>
        <v>0</v>
      </c>
      <c r="V327" s="21">
        <f t="shared" si="1611"/>
        <v>0</v>
      </c>
      <c r="W327" s="21">
        <f t="shared" si="1611"/>
        <v>0</v>
      </c>
      <c r="X327" s="21">
        <f t="shared" si="1611"/>
        <v>0</v>
      </c>
      <c r="Y327" s="21">
        <f t="shared" si="1611"/>
        <v>0</v>
      </c>
      <c r="Z327" s="21">
        <f t="shared" ref="Z327:AG327" si="1612">IF($F$290, 0, IF($C$297, IF(AND(COLUMN($Z$327)-COLUMN($B$327)=$Q$291,ROW($Z$327)-ROW($B$327)=$K$291), U$290, Z327), Z327))</f>
        <v>0</v>
      </c>
      <c r="AA327" s="21">
        <f t="shared" si="1612"/>
        <v>0</v>
      </c>
      <c r="AB327" s="21">
        <f t="shared" si="1612"/>
        <v>0</v>
      </c>
      <c r="AC327" s="21">
        <f t="shared" si="1612"/>
        <v>0</v>
      </c>
      <c r="AD327" s="21">
        <f t="shared" si="1612"/>
        <v>0</v>
      </c>
      <c r="AE327" s="21">
        <f t="shared" si="1612"/>
        <v>0</v>
      </c>
      <c r="AF327" s="21">
        <f t="shared" si="1612"/>
        <v>0</v>
      </c>
      <c r="AG327" s="21">
        <f t="shared" si="1612"/>
        <v>0</v>
      </c>
      <c r="AH327" s="21">
        <f t="shared" ref="AH327:AO327" si="1613">IF($F$290, 0, IF($C$297, IF(AND(COLUMN($AH$327)-COLUMN($B$327)=$Q$291,ROW($AH$327)-ROW($B$327)=$K$291), U$290, AH327), AH327))</f>
        <v>0</v>
      </c>
      <c r="AI327" s="21">
        <f t="shared" si="1613"/>
        <v>0</v>
      </c>
      <c r="AJ327" s="21">
        <f t="shared" si="1613"/>
        <v>0</v>
      </c>
      <c r="AK327" s="21">
        <f t="shared" si="1613"/>
        <v>0</v>
      </c>
      <c r="AL327" s="21">
        <f t="shared" si="1613"/>
        <v>0</v>
      </c>
      <c r="AM327" s="21">
        <f t="shared" si="1613"/>
        <v>0</v>
      </c>
      <c r="AN327" s="21">
        <f t="shared" si="1613"/>
        <v>0</v>
      </c>
      <c r="AO327" s="21">
        <f t="shared" si="1613"/>
        <v>0</v>
      </c>
      <c r="AP327" s="21">
        <f t="shared" ref="AP327:AW327" si="1614">IF($F$290, 0, IF($C$297, IF(AND(COLUMN($AP$327)-COLUMN($B$327)=$Q$291,ROW($AP$327)-ROW($B$327)=$K$291), U$290, AP327), AP327))</f>
        <v>0</v>
      </c>
      <c r="AQ327" s="21">
        <f t="shared" si="1614"/>
        <v>0</v>
      </c>
      <c r="AR327" s="21">
        <f t="shared" si="1614"/>
        <v>0</v>
      </c>
      <c r="AS327" s="21">
        <f t="shared" si="1614"/>
        <v>0</v>
      </c>
      <c r="AT327" s="21">
        <f t="shared" si="1614"/>
        <v>0</v>
      </c>
      <c r="AU327" s="21">
        <f t="shared" si="1614"/>
        <v>0</v>
      </c>
      <c r="AV327" s="21">
        <f t="shared" si="1614"/>
        <v>0</v>
      </c>
      <c r="AW327" s="21">
        <f t="shared" si="1614"/>
        <v>0</v>
      </c>
      <c r="AX327" s="21">
        <f t="shared" ref="AX327:BE327" si="1615">IF($F$290, 0, IF($C$297, IF(AND(COLUMN($AX$327)-COLUMN($B$327)=$Q$291,ROW($AX$327)-ROW($B$327)=$K$291), U$290, AX327), AX327))</f>
        <v>0</v>
      </c>
      <c r="AY327" s="21">
        <f t="shared" si="1615"/>
        <v>0</v>
      </c>
      <c r="AZ327" s="21">
        <f t="shared" si="1615"/>
        <v>0</v>
      </c>
      <c r="BA327" s="21">
        <f t="shared" si="1615"/>
        <v>0</v>
      </c>
      <c r="BB327" s="21">
        <f t="shared" si="1615"/>
        <v>0</v>
      </c>
      <c r="BC327" s="21">
        <f t="shared" si="1615"/>
        <v>0</v>
      </c>
      <c r="BD327" s="21">
        <f t="shared" si="1615"/>
        <v>0</v>
      </c>
      <c r="BE327" s="21">
        <f t="shared" si="1615"/>
        <v>0</v>
      </c>
      <c r="BF327" s="21">
        <f t="shared" ref="BF327:BM327" si="1616">IF($F$290, 0, IF($C$297, IF(AND(COLUMN($BF$327)-COLUMN($B$327)=$Q$291,ROW($BF$327)-ROW($B$327)=$K$291), U$290, BF327), BF327))</f>
        <v>0</v>
      </c>
      <c r="BG327" s="21">
        <f t="shared" si="1616"/>
        <v>0</v>
      </c>
      <c r="BH327" s="21">
        <f t="shared" si="1616"/>
        <v>0</v>
      </c>
      <c r="BI327" s="21">
        <f t="shared" si="1616"/>
        <v>0</v>
      </c>
      <c r="BJ327" s="21">
        <f t="shared" si="1616"/>
        <v>0</v>
      </c>
      <c r="BK327" s="21">
        <f t="shared" si="1616"/>
        <v>0</v>
      </c>
      <c r="BL327" s="21">
        <f t="shared" si="1616"/>
        <v>0</v>
      </c>
      <c r="BM327" s="21">
        <f t="shared" si="1616"/>
        <v>0</v>
      </c>
      <c r="BN327" s="21">
        <f t="shared" ref="BN327:BU327" si="1617">IF($F$290, 0, IF($D$297, IF(AND(COLUMN($BN$327)-COLUMN($BN$327)=$Q$291,ROW($BN$327)-ROW($BN$327)=$K$291), U$290, BN327), BN327))</f>
        <v>0</v>
      </c>
      <c r="BO327" s="21">
        <f t="shared" si="1617"/>
        <v>0</v>
      </c>
      <c r="BP327" s="21">
        <f t="shared" si="1617"/>
        <v>0</v>
      </c>
      <c r="BQ327" s="21">
        <f t="shared" si="1617"/>
        <v>0</v>
      </c>
      <c r="BR327" s="21">
        <f t="shared" si="1617"/>
        <v>0</v>
      </c>
      <c r="BS327" s="21">
        <f t="shared" si="1617"/>
        <v>0</v>
      </c>
      <c r="BT327" s="21">
        <f t="shared" si="1617"/>
        <v>0</v>
      </c>
      <c r="BU327" s="21">
        <f t="shared" si="1617"/>
        <v>0</v>
      </c>
      <c r="BV327" s="21">
        <f t="shared" ref="BV327:CC327" si="1618">IF($F$290, 0, IF($D$297, IF(AND(COLUMN($BV$327)-COLUMN($BN$327)=$Q$291,ROW($BV$327)-ROW($BN$327)=$K$291), U$290, BV327), BV327))</f>
        <v>0</v>
      </c>
      <c r="BW327" s="21">
        <f t="shared" si="1618"/>
        <v>0</v>
      </c>
      <c r="BX327" s="21">
        <f t="shared" si="1618"/>
        <v>0</v>
      </c>
      <c r="BY327" s="21">
        <f t="shared" si="1618"/>
        <v>0</v>
      </c>
      <c r="BZ327" s="21">
        <f t="shared" si="1618"/>
        <v>0</v>
      </c>
      <c r="CA327" s="21">
        <f t="shared" si="1618"/>
        <v>0</v>
      </c>
      <c r="CB327" s="21">
        <f t="shared" si="1618"/>
        <v>0</v>
      </c>
      <c r="CC327" s="21">
        <f t="shared" si="1618"/>
        <v>0</v>
      </c>
      <c r="CD327" s="21">
        <f t="shared" ref="CD327:CK327" si="1619">IF($F$290, 0, IF($D$297, IF(AND(COLUMN($CD$327)-COLUMN($BN$327)=$Q$291,ROW($CD$327)-ROW($BN$327)=$K$291), U$290, CD327), CD327))</f>
        <v>0</v>
      </c>
      <c r="CE327" s="21">
        <f t="shared" si="1619"/>
        <v>0</v>
      </c>
      <c r="CF327" s="21">
        <f t="shared" si="1619"/>
        <v>0</v>
      </c>
      <c r="CG327" s="21">
        <f t="shared" si="1619"/>
        <v>0</v>
      </c>
      <c r="CH327" s="21">
        <f t="shared" si="1619"/>
        <v>0</v>
      </c>
      <c r="CI327" s="21">
        <f t="shared" si="1619"/>
        <v>0</v>
      </c>
      <c r="CJ327" s="21">
        <f t="shared" si="1619"/>
        <v>0</v>
      </c>
      <c r="CK327" s="21">
        <f t="shared" si="1619"/>
        <v>0</v>
      </c>
      <c r="CL327" s="21">
        <f t="shared" ref="CL327:CS327" si="1620">IF($F$290, 0, IF($D$297, IF(AND(COLUMN($CL$327)-COLUMN($BN$327)=$Q$291,ROW($CL$327)-ROW($BN$327)=$K$291), U$290, CL327), CL327))</f>
        <v>0</v>
      </c>
      <c r="CM327" s="21">
        <f t="shared" si="1620"/>
        <v>0</v>
      </c>
      <c r="CN327" s="21">
        <f t="shared" si="1620"/>
        <v>0</v>
      </c>
      <c r="CO327" s="21">
        <f t="shared" si="1620"/>
        <v>0</v>
      </c>
      <c r="CP327" s="21">
        <f t="shared" si="1620"/>
        <v>0</v>
      </c>
      <c r="CQ327" s="21">
        <f t="shared" si="1620"/>
        <v>0</v>
      </c>
      <c r="CR327" s="21">
        <f t="shared" si="1620"/>
        <v>0</v>
      </c>
      <c r="CS327" s="21">
        <f t="shared" si="1620"/>
        <v>0</v>
      </c>
      <c r="CT327" s="21">
        <f t="shared" ref="CT327:DA327" si="1621">IF($F$290, 0, IF($D$297, IF(AND(COLUMN($CT$327)-COLUMN($BN$327)=$Q$291,ROW($CT$327)-ROW($BN$327)=$K$291), U$290, CT327), CT327))</f>
        <v>0</v>
      </c>
      <c r="CU327" s="21">
        <f t="shared" si="1621"/>
        <v>0</v>
      </c>
      <c r="CV327" s="21">
        <f t="shared" si="1621"/>
        <v>0</v>
      </c>
      <c r="CW327" s="21">
        <f t="shared" si="1621"/>
        <v>0</v>
      </c>
      <c r="CX327" s="21">
        <f t="shared" si="1621"/>
        <v>0</v>
      </c>
      <c r="CY327" s="21">
        <f t="shared" si="1621"/>
        <v>0</v>
      </c>
      <c r="CZ327" s="21">
        <f t="shared" si="1621"/>
        <v>0</v>
      </c>
      <c r="DA327" s="21">
        <f t="shared" si="1621"/>
        <v>0</v>
      </c>
      <c r="DB327" s="21">
        <f t="shared" ref="DB327:DI327" si="1622">IF($F$290, 0, IF($D$297, IF(AND(COLUMN($DB$327)-COLUMN($BN$327)=$Q$291,ROW($DB$327)-ROW($BN$327)=$K$291), U$290, DB327), DB327))</f>
        <v>0</v>
      </c>
      <c r="DC327" s="21">
        <f t="shared" si="1622"/>
        <v>0</v>
      </c>
      <c r="DD327" s="21">
        <f t="shared" si="1622"/>
        <v>0</v>
      </c>
      <c r="DE327" s="21">
        <f t="shared" si="1622"/>
        <v>0</v>
      </c>
      <c r="DF327" s="21">
        <f t="shared" si="1622"/>
        <v>0</v>
      </c>
      <c r="DG327" s="21">
        <f t="shared" si="1622"/>
        <v>0</v>
      </c>
      <c r="DH327" s="21">
        <f t="shared" si="1622"/>
        <v>0</v>
      </c>
      <c r="DI327" s="21">
        <f t="shared" si="1622"/>
        <v>0</v>
      </c>
      <c r="DJ327" s="21">
        <f t="shared" ref="DJ327:DQ327" si="1623">IF($F$290, 0, IF($D$297, IF(AND(COLUMN($DJ$327)-COLUMN($BN$327)=$Q$291,ROW($DJ$327)-ROW($BN$327)=$K$291), U$290, DJ327), DJ327))</f>
        <v>0</v>
      </c>
      <c r="DK327" s="21">
        <f t="shared" si="1623"/>
        <v>0</v>
      </c>
      <c r="DL327" s="21">
        <f t="shared" si="1623"/>
        <v>0</v>
      </c>
      <c r="DM327" s="21">
        <f t="shared" si="1623"/>
        <v>0</v>
      </c>
      <c r="DN327" s="21">
        <f t="shared" si="1623"/>
        <v>0</v>
      </c>
      <c r="DO327" s="21">
        <f t="shared" si="1623"/>
        <v>0</v>
      </c>
      <c r="DP327" s="21">
        <f t="shared" si="1623"/>
        <v>0</v>
      </c>
      <c r="DQ327" s="21">
        <f t="shared" si="1623"/>
        <v>0</v>
      </c>
      <c r="DR327" s="21">
        <f t="shared" ref="DR327:DY327" si="1624">IF($F$290, 0, IF($D$297, IF(AND(COLUMN($DR$327)-COLUMN($BN$327)=$Q$291,ROW($DR$327)-ROW($BN$327)=$K$291), U$290, DR327), DR327))</f>
        <v>0</v>
      </c>
      <c r="DS327" s="21">
        <f t="shared" si="1624"/>
        <v>0</v>
      </c>
      <c r="DT327" s="21">
        <f t="shared" si="1624"/>
        <v>0</v>
      </c>
      <c r="DU327" s="21">
        <f t="shared" si="1624"/>
        <v>0</v>
      </c>
      <c r="DV327" s="21">
        <f t="shared" si="1624"/>
        <v>0</v>
      </c>
      <c r="DW327" s="21">
        <f t="shared" si="1624"/>
        <v>0</v>
      </c>
      <c r="DX327" s="21">
        <f t="shared" si="1624"/>
        <v>0</v>
      </c>
      <c r="DY327" s="21">
        <f t="shared" si="1624"/>
        <v>0</v>
      </c>
      <c r="DZ327" s="21">
        <f t="shared" ref="DZ327:EG327" si="1625">IF($F$290, 0, IF($E$297, IF(AND(COLUMN($DZ$327)-COLUMN($DZ$327)=$Q$291,ROW($DZ$327)-ROW($DZ$327)=$K$291), U$290, DZ327), DZ327))</f>
        <v>0</v>
      </c>
      <c r="EA327" s="21">
        <f t="shared" si="1625"/>
        <v>0</v>
      </c>
      <c r="EB327" s="21">
        <f t="shared" si="1625"/>
        <v>0</v>
      </c>
      <c r="EC327" s="21">
        <f t="shared" si="1625"/>
        <v>0</v>
      </c>
      <c r="ED327" s="21">
        <f t="shared" si="1625"/>
        <v>0</v>
      </c>
      <c r="EE327" s="21">
        <f t="shared" si="1625"/>
        <v>0</v>
      </c>
      <c r="EF327" s="21">
        <f t="shared" si="1625"/>
        <v>0</v>
      </c>
      <c r="EG327" s="21">
        <f t="shared" si="1625"/>
        <v>0</v>
      </c>
      <c r="EH327" s="21">
        <f t="shared" ref="EH327:EO327" si="1626">IF($F$290, 0, IF($E$297, IF(AND(COLUMN($EH$327)-COLUMN($DZ$327)=$Q$291,ROW($EH$327)-ROW($DZ$327)=$K$291), U$290, EH327), EH327))</f>
        <v>0</v>
      </c>
      <c r="EI327" s="21">
        <f t="shared" si="1626"/>
        <v>0</v>
      </c>
      <c r="EJ327" s="21">
        <f t="shared" si="1626"/>
        <v>0</v>
      </c>
      <c r="EK327" s="21">
        <f t="shared" si="1626"/>
        <v>0</v>
      </c>
      <c r="EL327" s="21">
        <f t="shared" si="1626"/>
        <v>0</v>
      </c>
      <c r="EM327" s="21">
        <f t="shared" si="1626"/>
        <v>0</v>
      </c>
      <c r="EN327" s="21">
        <f t="shared" si="1626"/>
        <v>0</v>
      </c>
      <c r="EO327" s="21">
        <f t="shared" si="1626"/>
        <v>0</v>
      </c>
      <c r="EP327" s="21">
        <f t="shared" ref="EP327:EW327" si="1627">IF($F$290, 0, IF($E$297, IF(AND(COLUMN($EP$327)-COLUMN($DZ$327)=$Q$291,ROW($EP$327)-ROW($DZ$327)=$K$291), U$290, EP327), EP327))</f>
        <v>0</v>
      </c>
      <c r="EQ327" s="21">
        <f t="shared" si="1627"/>
        <v>0</v>
      </c>
      <c r="ER327" s="21">
        <f t="shared" si="1627"/>
        <v>0</v>
      </c>
      <c r="ES327" s="21">
        <f t="shared" si="1627"/>
        <v>0</v>
      </c>
      <c r="ET327" s="21">
        <f t="shared" si="1627"/>
        <v>0</v>
      </c>
      <c r="EU327" s="21">
        <f t="shared" si="1627"/>
        <v>0</v>
      </c>
      <c r="EV327" s="21">
        <f t="shared" si="1627"/>
        <v>0</v>
      </c>
      <c r="EW327" s="21">
        <f t="shared" si="1627"/>
        <v>0</v>
      </c>
      <c r="EX327" s="21">
        <f t="shared" ref="EX327:FE327" si="1628">IF($F$290, 0, IF($E$297, IF(AND(COLUMN($EX$327)-COLUMN($DZ$327)=$Q$291,ROW($EX$327)-ROW($DZ$327)=$K$291), U$290, EX327), EX327))</f>
        <v>0</v>
      </c>
      <c r="EY327" s="21">
        <f t="shared" si="1628"/>
        <v>0</v>
      </c>
      <c r="EZ327" s="21">
        <f t="shared" si="1628"/>
        <v>0</v>
      </c>
      <c r="FA327" s="21">
        <f t="shared" si="1628"/>
        <v>0</v>
      </c>
      <c r="FB327" s="21">
        <f t="shared" si="1628"/>
        <v>0</v>
      </c>
      <c r="FC327" s="21">
        <f t="shared" si="1628"/>
        <v>0</v>
      </c>
      <c r="FD327" s="21">
        <f t="shared" si="1628"/>
        <v>0</v>
      </c>
      <c r="FE327" s="21">
        <f t="shared" si="1628"/>
        <v>0</v>
      </c>
      <c r="FF327" s="21">
        <f t="shared" ref="FF327:FM327" si="1629">IF($F$290, 0, IF($E$297, IF(AND(COLUMN($FF$327)-COLUMN($DZ$327)=$Q$291,ROW($FF$327)-ROW($DZ$327)=$K$291), U$290, FF327), FF327))</f>
        <v>0</v>
      </c>
      <c r="FG327" s="21">
        <f t="shared" si="1629"/>
        <v>0</v>
      </c>
      <c r="FH327" s="21">
        <f t="shared" si="1629"/>
        <v>0</v>
      </c>
      <c r="FI327" s="21">
        <f t="shared" si="1629"/>
        <v>0</v>
      </c>
      <c r="FJ327" s="21">
        <f t="shared" si="1629"/>
        <v>0</v>
      </c>
      <c r="FK327" s="21">
        <f t="shared" si="1629"/>
        <v>0</v>
      </c>
      <c r="FL327" s="21">
        <f t="shared" si="1629"/>
        <v>0</v>
      </c>
      <c r="FM327" s="21">
        <f t="shared" si="1629"/>
        <v>0</v>
      </c>
      <c r="FN327" s="21">
        <f t="shared" ref="FN327:FU327" si="1630">IF($F$290, 0, IF($E$297, IF(AND(COLUMN($FN$327)-COLUMN($DZ$327)=$Q$291,ROW($FN$327)-ROW($DZ$327)=$K$291), U$290, FN327), FN327))</f>
        <v>0</v>
      </c>
      <c r="FO327" s="21">
        <f t="shared" si="1630"/>
        <v>0</v>
      </c>
      <c r="FP327" s="21">
        <f t="shared" si="1630"/>
        <v>0</v>
      </c>
      <c r="FQ327" s="21">
        <f t="shared" si="1630"/>
        <v>0</v>
      </c>
      <c r="FR327" s="21">
        <f t="shared" si="1630"/>
        <v>0</v>
      </c>
      <c r="FS327" s="21">
        <f t="shared" si="1630"/>
        <v>0</v>
      </c>
      <c r="FT327" s="21">
        <f t="shared" si="1630"/>
        <v>0</v>
      </c>
      <c r="FU327" s="21">
        <f t="shared" si="1630"/>
        <v>0</v>
      </c>
      <c r="FV327" s="21">
        <f t="shared" ref="FV327:GC327" si="1631">IF($F$290, 0, IF($E$297, IF(AND(COLUMN($FV$327)-COLUMN($DZ$327)=$Q$291,ROW($FV$327)-ROW($DZ$327)=$K$291), U$290, FV327), FV327))</f>
        <v>0</v>
      </c>
      <c r="FW327" s="21">
        <f t="shared" si="1631"/>
        <v>0</v>
      </c>
      <c r="FX327" s="21">
        <f t="shared" si="1631"/>
        <v>0</v>
      </c>
      <c r="FY327" s="21">
        <f t="shared" si="1631"/>
        <v>0</v>
      </c>
      <c r="FZ327" s="21">
        <f t="shared" si="1631"/>
        <v>0</v>
      </c>
      <c r="GA327" s="21">
        <f t="shared" si="1631"/>
        <v>0</v>
      </c>
      <c r="GB327" s="21">
        <f t="shared" si="1631"/>
        <v>0</v>
      </c>
      <c r="GC327" s="21">
        <f t="shared" si="1631"/>
        <v>0</v>
      </c>
      <c r="GD327" s="21">
        <f t="shared" ref="GD327:GK327" si="1632">IF($F$290, 0, IF($E$297, IF(AND(COLUMN($GD$327)-COLUMN($DZ$327)=$Q$291,ROW($GD$327)-ROW($DZ$327)=$K$291), U$290, GD327), GD327))</f>
        <v>0</v>
      </c>
      <c r="GE327" s="21">
        <f t="shared" si="1632"/>
        <v>0</v>
      </c>
      <c r="GF327" s="21">
        <f t="shared" si="1632"/>
        <v>0</v>
      </c>
      <c r="GG327" s="21">
        <f t="shared" si="1632"/>
        <v>0</v>
      </c>
      <c r="GH327" s="21">
        <f t="shared" si="1632"/>
        <v>0</v>
      </c>
      <c r="GI327" s="21">
        <f t="shared" si="1632"/>
        <v>0</v>
      </c>
      <c r="GJ327" s="21">
        <f t="shared" si="1632"/>
        <v>0</v>
      </c>
      <c r="GK327" s="21">
        <f t="shared" si="1632"/>
        <v>0</v>
      </c>
      <c r="GL327" s="21">
        <f t="shared" ref="GL327:GS327" si="1633">IF($F$290, 0, IF($F$297, IF(AND(COLUMN($GL$327)-COLUMN($GL$327)=$Q$291,ROW($GL$327)-ROW($GL$327)=$K$291), U$290, GL327), GL327))</f>
        <v>0</v>
      </c>
      <c r="GM327" s="21">
        <f t="shared" si="1633"/>
        <v>0</v>
      </c>
      <c r="GN327" s="21">
        <f t="shared" si="1633"/>
        <v>0</v>
      </c>
      <c r="GO327" s="21">
        <f t="shared" si="1633"/>
        <v>0</v>
      </c>
      <c r="GP327" s="21">
        <f t="shared" si="1633"/>
        <v>0</v>
      </c>
      <c r="GQ327" s="21">
        <f t="shared" si="1633"/>
        <v>0</v>
      </c>
      <c r="GR327" s="21">
        <f t="shared" si="1633"/>
        <v>0</v>
      </c>
      <c r="GS327" s="21">
        <f t="shared" si="1633"/>
        <v>0</v>
      </c>
      <c r="GT327" s="21">
        <f t="shared" ref="GT327:HA327" si="1634">IF($F$290, 0, IF($F$297, IF(AND(COLUMN($GT$327)-COLUMN($GL$327)=$Q$291,ROW($GT$327)-ROW($GL$327)=$K$291), U$290, GT327), GT327))</f>
        <v>0</v>
      </c>
      <c r="GU327" s="21">
        <f t="shared" si="1634"/>
        <v>0</v>
      </c>
      <c r="GV327" s="21">
        <f t="shared" si="1634"/>
        <v>0</v>
      </c>
      <c r="GW327" s="21">
        <f t="shared" si="1634"/>
        <v>0</v>
      </c>
      <c r="GX327" s="21">
        <f t="shared" si="1634"/>
        <v>0</v>
      </c>
      <c r="GY327" s="21">
        <f t="shared" si="1634"/>
        <v>0</v>
      </c>
      <c r="GZ327" s="21">
        <f t="shared" si="1634"/>
        <v>0</v>
      </c>
      <c r="HA327" s="21">
        <f t="shared" si="1634"/>
        <v>0</v>
      </c>
      <c r="HB327" s="21">
        <f t="shared" ref="HB327:HI327" si="1635">IF($F$290, 0, IF($F$297, IF(AND(COLUMN($HB$327)-COLUMN($GL$327)=$Q$291,ROW($HB$327)-ROW($GL$327)=$K$291), U$290, HB327), HB327))</f>
        <v>0</v>
      </c>
      <c r="HC327" s="21">
        <f t="shared" si="1635"/>
        <v>0</v>
      </c>
      <c r="HD327" s="21">
        <f t="shared" si="1635"/>
        <v>0</v>
      </c>
      <c r="HE327" s="21">
        <f t="shared" si="1635"/>
        <v>0</v>
      </c>
      <c r="HF327" s="21">
        <f t="shared" si="1635"/>
        <v>0</v>
      </c>
      <c r="HG327" s="21">
        <f t="shared" si="1635"/>
        <v>0</v>
      </c>
      <c r="HH327" s="21">
        <f t="shared" si="1635"/>
        <v>0</v>
      </c>
      <c r="HI327" s="21">
        <f t="shared" si="1635"/>
        <v>0</v>
      </c>
      <c r="HJ327" s="21">
        <f t="shared" ref="HJ327:HQ327" si="1636">IF($F$290, 0, IF($F$297, IF(AND(COLUMN($HJ$327)-COLUMN($GL$327)=$Q$291,ROW($HJ$327)-ROW($GL$327)=$K$291), U$290, HJ327), HJ327))</f>
        <v>0</v>
      </c>
      <c r="HK327" s="21">
        <f t="shared" si="1636"/>
        <v>0</v>
      </c>
      <c r="HL327" s="21">
        <f t="shared" si="1636"/>
        <v>0</v>
      </c>
      <c r="HM327" s="21">
        <f t="shared" si="1636"/>
        <v>0</v>
      </c>
      <c r="HN327" s="21">
        <f t="shared" si="1636"/>
        <v>0</v>
      </c>
      <c r="HO327" s="21">
        <f t="shared" si="1636"/>
        <v>0</v>
      </c>
      <c r="HP327" s="21">
        <f t="shared" si="1636"/>
        <v>0</v>
      </c>
      <c r="HQ327" s="21">
        <f t="shared" si="1636"/>
        <v>0</v>
      </c>
      <c r="HR327" s="21">
        <f t="shared" ref="HR327:HY327" si="1637">IF($F$290, 0, IF($F$297, IF(AND(COLUMN($HR$327)-COLUMN($GL$327)=$Q$291,ROW($HR$327)-ROW($GL$327)=$K$291), U$290, HR327), HR327))</f>
        <v>0</v>
      </c>
      <c r="HS327" s="21">
        <f t="shared" si="1637"/>
        <v>0</v>
      </c>
      <c r="HT327" s="21">
        <f t="shared" si="1637"/>
        <v>0</v>
      </c>
      <c r="HU327" s="21">
        <f t="shared" si="1637"/>
        <v>0</v>
      </c>
      <c r="HV327" s="21">
        <f t="shared" si="1637"/>
        <v>0</v>
      </c>
      <c r="HW327" s="21">
        <f t="shared" si="1637"/>
        <v>0</v>
      </c>
      <c r="HX327" s="21">
        <f t="shared" si="1637"/>
        <v>0</v>
      </c>
      <c r="HY327" s="21">
        <f t="shared" si="1637"/>
        <v>0</v>
      </c>
      <c r="HZ327" s="21">
        <f t="shared" ref="HZ327:IG327" si="1638">IF($F$290, 0, IF($F$297, IF(AND(COLUMN($HZ$327)-COLUMN($GL$327)=$Q$291,ROW($HZ$327)-ROW($GL$327)=$K$291), U$290, HZ327), HZ327))</f>
        <v>0</v>
      </c>
      <c r="IA327" s="21">
        <f t="shared" si="1638"/>
        <v>0</v>
      </c>
      <c r="IB327" s="21">
        <f t="shared" si="1638"/>
        <v>0</v>
      </c>
      <c r="IC327" s="21">
        <f t="shared" si="1638"/>
        <v>0</v>
      </c>
      <c r="ID327" s="21">
        <f t="shared" si="1638"/>
        <v>0</v>
      </c>
      <c r="IE327" s="21">
        <f t="shared" si="1638"/>
        <v>0</v>
      </c>
      <c r="IF327" s="21">
        <f t="shared" si="1638"/>
        <v>0</v>
      </c>
      <c r="IG327" s="21">
        <f t="shared" si="1638"/>
        <v>0</v>
      </c>
      <c r="IH327" s="21">
        <f t="shared" ref="IH327:IO327" si="1639">IF($F$290, 0, IF($F$297, IF(AND(COLUMN($IH$327)-COLUMN($GL$327)=$Q$291,ROW($IH$327)-ROW($GL$327)=$K$291), U$290, IH327), IH327))</f>
        <v>0</v>
      </c>
      <c r="II327" s="21">
        <f t="shared" si="1639"/>
        <v>0</v>
      </c>
      <c r="IJ327" s="21">
        <f t="shared" si="1639"/>
        <v>0</v>
      </c>
      <c r="IK327" s="21">
        <f t="shared" si="1639"/>
        <v>0</v>
      </c>
      <c r="IL327" s="21">
        <f t="shared" si="1639"/>
        <v>0</v>
      </c>
      <c r="IM327" s="21">
        <f t="shared" si="1639"/>
        <v>0</v>
      </c>
      <c r="IN327" s="21">
        <f t="shared" si="1639"/>
        <v>0</v>
      </c>
      <c r="IO327" s="21">
        <f t="shared" si="1639"/>
        <v>0</v>
      </c>
      <c r="IP327" s="21">
        <f t="shared" ref="IP327:IW327" si="1640">IF($F$290, 0, IF($F$297, IF(AND(COLUMN($IP$327)-COLUMN($GL$327)=$Q$291,ROW($IP$327)-ROW($GL$327)=$K$291), U$290, IP327), IP327))</f>
        <v>0</v>
      </c>
      <c r="IQ327" s="21">
        <f t="shared" si="1640"/>
        <v>0</v>
      </c>
      <c r="IR327" s="21">
        <f t="shared" si="1640"/>
        <v>0</v>
      </c>
      <c r="IS327" s="21">
        <f t="shared" si="1640"/>
        <v>0</v>
      </c>
      <c r="IT327" s="21">
        <f t="shared" si="1640"/>
        <v>0</v>
      </c>
      <c r="IU327" s="21">
        <f t="shared" si="1640"/>
        <v>0</v>
      </c>
      <c r="IV327" s="21">
        <f t="shared" si="1640"/>
        <v>0</v>
      </c>
      <c r="IW327" s="21">
        <f t="shared" si="1640"/>
        <v>0</v>
      </c>
      <c r="IX327" s="21">
        <f t="shared" ref="IX327:JE327" si="1641">IF($F$290, 0, IF($G$297, IF(AND(COLUMN($IX$327)-COLUMN($IX$327)=$Q$291,ROW($IX$327)-ROW($IX$327)=$K$291), U$290, IX327), IX327))</f>
        <v>0</v>
      </c>
      <c r="IY327" s="21">
        <f t="shared" si="1641"/>
        <v>0</v>
      </c>
      <c r="IZ327" s="21">
        <f t="shared" si="1641"/>
        <v>0</v>
      </c>
      <c r="JA327" s="21">
        <f t="shared" si="1641"/>
        <v>0</v>
      </c>
      <c r="JB327" s="21">
        <f t="shared" si="1641"/>
        <v>0</v>
      </c>
      <c r="JC327" s="21">
        <f t="shared" si="1641"/>
        <v>0</v>
      </c>
      <c r="JD327" s="21">
        <f t="shared" si="1641"/>
        <v>0</v>
      </c>
      <c r="JE327" s="21">
        <f t="shared" si="1641"/>
        <v>0</v>
      </c>
      <c r="JF327" s="21">
        <f t="shared" ref="JF327:JM327" si="1642">IF($F$290, 0, IF($G$297, IF(AND(COLUMN($JF$327)-COLUMN($IX$327)=$Q$291,ROW($JF$327)-ROW($IX$327)=$K$291), U$290, JF327), JF327))</f>
        <v>0</v>
      </c>
      <c r="JG327" s="21">
        <f t="shared" si="1642"/>
        <v>0</v>
      </c>
      <c r="JH327" s="21">
        <f t="shared" si="1642"/>
        <v>0</v>
      </c>
      <c r="JI327" s="21">
        <f t="shared" si="1642"/>
        <v>0</v>
      </c>
      <c r="JJ327" s="21">
        <f t="shared" si="1642"/>
        <v>0</v>
      </c>
      <c r="JK327" s="21">
        <f t="shared" si="1642"/>
        <v>0</v>
      </c>
      <c r="JL327" s="21">
        <f t="shared" si="1642"/>
        <v>0</v>
      </c>
      <c r="JM327" s="21">
        <f t="shared" si="1642"/>
        <v>0</v>
      </c>
      <c r="JN327" s="21">
        <f t="shared" ref="JN327:JU327" si="1643">IF($F$290, 0, IF($G$297, IF(AND(COLUMN($JN$327)-COLUMN($IX$327)=$Q$291,ROW($JN$327)-ROW($IX$327)=$K$291), U$290, JN327), JN327))</f>
        <v>0</v>
      </c>
      <c r="JO327" s="21">
        <f t="shared" si="1643"/>
        <v>0</v>
      </c>
      <c r="JP327" s="21">
        <f t="shared" si="1643"/>
        <v>0</v>
      </c>
      <c r="JQ327" s="21">
        <f t="shared" si="1643"/>
        <v>0</v>
      </c>
      <c r="JR327" s="21">
        <f t="shared" si="1643"/>
        <v>0</v>
      </c>
      <c r="JS327" s="21">
        <f t="shared" si="1643"/>
        <v>0</v>
      </c>
      <c r="JT327" s="21">
        <f t="shared" si="1643"/>
        <v>0</v>
      </c>
      <c r="JU327" s="21">
        <f t="shared" si="1643"/>
        <v>0</v>
      </c>
      <c r="JV327" s="21">
        <f t="shared" ref="JV327:KC327" si="1644">IF($F$290, 0, IF($G$297, IF(AND(COLUMN($JV$327)-COLUMN($IX$327)=$Q$291,ROW($JV$327)-ROW($IX$327)=$K$291), U$290, JV327), JV327))</f>
        <v>0</v>
      </c>
      <c r="JW327" s="21">
        <f t="shared" si="1644"/>
        <v>0</v>
      </c>
      <c r="JX327" s="21">
        <f t="shared" si="1644"/>
        <v>0</v>
      </c>
      <c r="JY327" s="21">
        <f t="shared" si="1644"/>
        <v>0</v>
      </c>
      <c r="JZ327" s="21">
        <f t="shared" si="1644"/>
        <v>0</v>
      </c>
      <c r="KA327" s="21">
        <f t="shared" si="1644"/>
        <v>0</v>
      </c>
      <c r="KB327" s="21">
        <f t="shared" si="1644"/>
        <v>0</v>
      </c>
      <c r="KC327" s="21">
        <f t="shared" si="1644"/>
        <v>0</v>
      </c>
      <c r="KD327" s="21">
        <f t="shared" ref="KD327:KK327" si="1645">IF($F$290, 0, IF($G$297, IF(AND(COLUMN($KD$327)-COLUMN($IX$327)=$Q$291,ROW($KD$327)-ROW($IX$327)=$K$291), U$290, KD327), KD327))</f>
        <v>0</v>
      </c>
      <c r="KE327" s="21">
        <f t="shared" si="1645"/>
        <v>0</v>
      </c>
      <c r="KF327" s="21">
        <f t="shared" si="1645"/>
        <v>0</v>
      </c>
      <c r="KG327" s="21">
        <f t="shared" si="1645"/>
        <v>0</v>
      </c>
      <c r="KH327" s="21">
        <f t="shared" si="1645"/>
        <v>0</v>
      </c>
      <c r="KI327" s="21">
        <f t="shared" si="1645"/>
        <v>0</v>
      </c>
      <c r="KJ327" s="21">
        <f t="shared" si="1645"/>
        <v>0</v>
      </c>
      <c r="KK327" s="21">
        <f t="shared" si="1645"/>
        <v>0</v>
      </c>
      <c r="KL327" s="21">
        <f t="shared" ref="KL327:KS327" si="1646">IF($F$290, 0, IF($G$297, IF(AND(COLUMN($KL$327)-COLUMN($IX$327)=$Q$291,ROW($KL$327)-ROW($IX$327)=$K$291), U$290, KL327), KL327))</f>
        <v>0</v>
      </c>
      <c r="KM327" s="21">
        <f t="shared" si="1646"/>
        <v>0</v>
      </c>
      <c r="KN327" s="21">
        <f t="shared" si="1646"/>
        <v>0</v>
      </c>
      <c r="KO327" s="21">
        <f t="shared" si="1646"/>
        <v>0</v>
      </c>
      <c r="KP327" s="21">
        <f t="shared" si="1646"/>
        <v>0</v>
      </c>
      <c r="KQ327" s="21">
        <f t="shared" si="1646"/>
        <v>0</v>
      </c>
      <c r="KR327" s="21">
        <f t="shared" si="1646"/>
        <v>0</v>
      </c>
      <c r="KS327" s="21">
        <f t="shared" si="1646"/>
        <v>0</v>
      </c>
      <c r="KT327" s="21">
        <f t="shared" ref="KT327:LA327" si="1647">IF($F$290, 0, IF($G$297, IF(AND(COLUMN($KT$327)-COLUMN($IX$327)=$Q$291,ROW($KT$327)-ROW($IX$327)=$K$291), U$290, KT327), KT327))</f>
        <v>0</v>
      </c>
      <c r="KU327" s="21">
        <f t="shared" si="1647"/>
        <v>0</v>
      </c>
      <c r="KV327" s="21">
        <f t="shared" si="1647"/>
        <v>0</v>
      </c>
      <c r="KW327" s="21">
        <f t="shared" si="1647"/>
        <v>0</v>
      </c>
      <c r="KX327" s="21">
        <f t="shared" si="1647"/>
        <v>0</v>
      </c>
      <c r="KY327" s="21">
        <f t="shared" si="1647"/>
        <v>0</v>
      </c>
      <c r="KZ327" s="21">
        <f t="shared" si="1647"/>
        <v>0</v>
      </c>
      <c r="LA327" s="21">
        <f t="shared" si="1647"/>
        <v>0</v>
      </c>
      <c r="LB327" s="21">
        <f t="shared" ref="LB327:LI327" si="1648">IF($F$290, 0, IF($G$297, IF(AND(COLUMN($LB$327)-COLUMN($IX$327)=$Q$291,ROW($LB$327)-ROW($IX$327)=$K$291), U$290, LB327), LB327))</f>
        <v>0</v>
      </c>
      <c r="LC327" s="21">
        <f t="shared" si="1648"/>
        <v>0</v>
      </c>
      <c r="LD327" s="21">
        <f t="shared" si="1648"/>
        <v>0</v>
      </c>
      <c r="LE327" s="21">
        <f t="shared" si="1648"/>
        <v>0</v>
      </c>
      <c r="LF327" s="21">
        <f t="shared" si="1648"/>
        <v>0</v>
      </c>
      <c r="LG327" s="21">
        <f t="shared" si="1648"/>
        <v>0</v>
      </c>
      <c r="LH327" s="21">
        <f t="shared" si="1648"/>
        <v>0</v>
      </c>
      <c r="LI327" s="21">
        <f t="shared" si="1648"/>
        <v>0</v>
      </c>
      <c r="LJ327" s="21">
        <f t="shared" ref="LJ327:LQ327" si="1649">IF($F$290, 0, IF($H$297, IF(AND(COLUMN($LJ$327)-COLUMN($LJ$327)=$Q$291,ROW($LJ$327)-ROW($LJ$327)=$K$291), U$290, LJ327), LJ327))</f>
        <v>0</v>
      </c>
      <c r="LK327" s="21">
        <f t="shared" si="1649"/>
        <v>0</v>
      </c>
      <c r="LL327" s="21">
        <f t="shared" si="1649"/>
        <v>0</v>
      </c>
      <c r="LM327" s="21">
        <f t="shared" si="1649"/>
        <v>0</v>
      </c>
      <c r="LN327" s="21">
        <f t="shared" si="1649"/>
        <v>0</v>
      </c>
      <c r="LO327" s="21">
        <f t="shared" si="1649"/>
        <v>0</v>
      </c>
      <c r="LP327" s="21">
        <f t="shared" si="1649"/>
        <v>0</v>
      </c>
      <c r="LQ327" s="21">
        <f t="shared" si="1649"/>
        <v>0</v>
      </c>
      <c r="LR327" s="21">
        <f t="shared" ref="LR327:LY327" si="1650">IF($F$290, 0, IF($H$297, IF(AND(COLUMN($LR$327)-COLUMN($LJ$327)=$Q$291,ROW($LR$327)-ROW($LJ$327)=$K$291), U$290, LR327), LR327))</f>
        <v>0</v>
      </c>
      <c r="LS327" s="21">
        <f t="shared" si="1650"/>
        <v>0</v>
      </c>
      <c r="LT327" s="21">
        <f t="shared" si="1650"/>
        <v>0</v>
      </c>
      <c r="LU327" s="21">
        <f t="shared" si="1650"/>
        <v>0</v>
      </c>
      <c r="LV327" s="21">
        <f t="shared" si="1650"/>
        <v>0</v>
      </c>
      <c r="LW327" s="21">
        <f t="shared" si="1650"/>
        <v>0</v>
      </c>
      <c r="LX327" s="21">
        <f t="shared" si="1650"/>
        <v>0</v>
      </c>
      <c r="LY327" s="21">
        <f t="shared" si="1650"/>
        <v>0</v>
      </c>
      <c r="LZ327" s="21">
        <f t="shared" ref="LZ327:MG327" si="1651">IF($F$290, 0, IF($H$297, IF(AND(COLUMN($LZ$327)-COLUMN($LJ$327)=$Q$291,ROW($LZ$327)-ROW($LJ$327)=$K$291), U$290, LZ327), LZ327))</f>
        <v>0</v>
      </c>
      <c r="MA327" s="21">
        <f t="shared" si="1651"/>
        <v>0</v>
      </c>
      <c r="MB327" s="21">
        <f t="shared" si="1651"/>
        <v>0</v>
      </c>
      <c r="MC327" s="21">
        <f t="shared" si="1651"/>
        <v>0</v>
      </c>
      <c r="MD327" s="21">
        <f t="shared" si="1651"/>
        <v>0</v>
      </c>
      <c r="ME327" s="21">
        <f t="shared" si="1651"/>
        <v>0</v>
      </c>
      <c r="MF327" s="21">
        <f t="shared" si="1651"/>
        <v>0</v>
      </c>
      <c r="MG327" s="21">
        <f t="shared" si="1651"/>
        <v>0</v>
      </c>
      <c r="MH327" s="21">
        <f t="shared" ref="MH327:MO327" si="1652">IF($F$290, 0, IF($H$297, IF(AND(COLUMN($MH$327)-COLUMN($LJ$327)=$Q$291,ROW($MH$327)-ROW($LJ$327)=$K$291), U$290, MH327), MH327))</f>
        <v>0</v>
      </c>
      <c r="MI327" s="21">
        <f t="shared" si="1652"/>
        <v>0</v>
      </c>
      <c r="MJ327" s="21">
        <f t="shared" si="1652"/>
        <v>0</v>
      </c>
      <c r="MK327" s="21">
        <f t="shared" si="1652"/>
        <v>0</v>
      </c>
      <c r="ML327" s="21">
        <f t="shared" si="1652"/>
        <v>0</v>
      </c>
      <c r="MM327" s="21">
        <f t="shared" si="1652"/>
        <v>0</v>
      </c>
      <c r="MN327" s="21">
        <f t="shared" si="1652"/>
        <v>0</v>
      </c>
      <c r="MO327" s="21">
        <f t="shared" si="1652"/>
        <v>0</v>
      </c>
      <c r="MP327" s="21">
        <f t="shared" ref="MP327:MW327" si="1653">IF($F$290, 0, IF($H$297, IF(AND(COLUMN($MP$327)-COLUMN($LJ$327)=$Q$291,ROW($MP$327)-ROW($LJ$327)=$K$291), U$290, MP327), MP327))</f>
        <v>0</v>
      </c>
      <c r="MQ327" s="21">
        <f t="shared" si="1653"/>
        <v>0</v>
      </c>
      <c r="MR327" s="21">
        <f t="shared" si="1653"/>
        <v>0</v>
      </c>
      <c r="MS327" s="21">
        <f t="shared" si="1653"/>
        <v>0</v>
      </c>
      <c r="MT327" s="21">
        <f t="shared" si="1653"/>
        <v>0</v>
      </c>
      <c r="MU327" s="21">
        <f t="shared" si="1653"/>
        <v>0</v>
      </c>
      <c r="MV327" s="21">
        <f t="shared" si="1653"/>
        <v>0</v>
      </c>
      <c r="MW327" s="21">
        <f t="shared" si="1653"/>
        <v>0</v>
      </c>
      <c r="MX327" s="21">
        <f t="shared" ref="MX327:NE327" si="1654">IF($F$290, 0, IF($H$297, IF(AND(COLUMN($MX$327)-COLUMN($LJ$327)=$Q$291,ROW($MX$327)-ROW($LJ$327)=$K$291), U$290, MX327), MX327))</f>
        <v>0</v>
      </c>
      <c r="MY327" s="21">
        <f t="shared" si="1654"/>
        <v>0</v>
      </c>
      <c r="MZ327" s="21">
        <f t="shared" si="1654"/>
        <v>0</v>
      </c>
      <c r="NA327" s="21">
        <f t="shared" si="1654"/>
        <v>0</v>
      </c>
      <c r="NB327" s="21">
        <f t="shared" si="1654"/>
        <v>0</v>
      </c>
      <c r="NC327" s="21">
        <f t="shared" si="1654"/>
        <v>0</v>
      </c>
      <c r="ND327" s="21">
        <f t="shared" si="1654"/>
        <v>0</v>
      </c>
      <c r="NE327" s="21">
        <f t="shared" si="1654"/>
        <v>0</v>
      </c>
      <c r="NF327" s="21">
        <f t="shared" ref="NF327:NM327" si="1655">IF($F$290, 0, IF($H$297, IF(AND(COLUMN($NF$327)-COLUMN($LJ$327)=$Q$291,ROW($NF$327)-ROW($LJ$327)=$K$291), U$290, NF327), NF327))</f>
        <v>0</v>
      </c>
      <c r="NG327" s="21">
        <f t="shared" si="1655"/>
        <v>0</v>
      </c>
      <c r="NH327" s="21">
        <f t="shared" si="1655"/>
        <v>0</v>
      </c>
      <c r="NI327" s="21">
        <f t="shared" si="1655"/>
        <v>0</v>
      </c>
      <c r="NJ327" s="21">
        <f t="shared" si="1655"/>
        <v>0</v>
      </c>
      <c r="NK327" s="21">
        <f t="shared" si="1655"/>
        <v>0</v>
      </c>
      <c r="NL327" s="21">
        <f t="shared" si="1655"/>
        <v>0</v>
      </c>
      <c r="NM327" s="21">
        <f t="shared" si="1655"/>
        <v>0</v>
      </c>
      <c r="NN327" s="21">
        <f t="shared" ref="NN327:NU327" si="1656">IF($F$290, 0, IF($H$297, IF(AND(COLUMN($NN$327)-COLUMN($LJ$327)=$Q$291,ROW($NN$327)-ROW($LJ$327)=$K$291), U$290, NN327), NN327))</f>
        <v>0</v>
      </c>
      <c r="NO327" s="21">
        <f t="shared" si="1656"/>
        <v>0</v>
      </c>
      <c r="NP327" s="21">
        <f t="shared" si="1656"/>
        <v>0</v>
      </c>
      <c r="NQ327" s="21">
        <f t="shared" si="1656"/>
        <v>0</v>
      </c>
      <c r="NR327" s="21">
        <f t="shared" si="1656"/>
        <v>0</v>
      </c>
      <c r="NS327" s="21">
        <f t="shared" si="1656"/>
        <v>0</v>
      </c>
      <c r="NT327" s="21">
        <f t="shared" si="1656"/>
        <v>0</v>
      </c>
      <c r="NU327" s="21">
        <f t="shared" si="1656"/>
        <v>0</v>
      </c>
      <c r="NV327" s="21">
        <f t="shared" ref="NV327:OC327" si="1657">IF($F$290, 0, IF($I$297, IF(AND(COLUMN($NV$327)-COLUMN($NV$327)=$Q$291,ROW($NV$327)-ROW($NV$327)=$K$291), U$290, NV327), NV327))</f>
        <v>0</v>
      </c>
      <c r="NW327" s="21">
        <f t="shared" si="1657"/>
        <v>0</v>
      </c>
      <c r="NX327" s="21">
        <f t="shared" si="1657"/>
        <v>0</v>
      </c>
      <c r="NY327" s="21">
        <f t="shared" si="1657"/>
        <v>0</v>
      </c>
      <c r="NZ327" s="21">
        <f t="shared" si="1657"/>
        <v>0</v>
      </c>
      <c r="OA327" s="21">
        <f t="shared" si="1657"/>
        <v>0</v>
      </c>
      <c r="OB327" s="21">
        <f t="shared" si="1657"/>
        <v>0</v>
      </c>
      <c r="OC327" s="21">
        <f t="shared" si="1657"/>
        <v>0</v>
      </c>
      <c r="OD327" s="21">
        <f t="shared" ref="OD327:OK327" si="1658">IF($F$290, 0, IF($I$297, IF(AND(COLUMN($OD$327)-COLUMN($NV$327)=$Q$291,ROW($OD$327)-ROW($NV$327)=$K$291), U$290, OD327), OD327))</f>
        <v>0</v>
      </c>
      <c r="OE327" s="21">
        <f t="shared" si="1658"/>
        <v>0</v>
      </c>
      <c r="OF327" s="21">
        <f t="shared" si="1658"/>
        <v>0</v>
      </c>
      <c r="OG327" s="21">
        <f t="shared" si="1658"/>
        <v>0</v>
      </c>
      <c r="OH327" s="21">
        <f t="shared" si="1658"/>
        <v>0</v>
      </c>
      <c r="OI327" s="21">
        <f t="shared" si="1658"/>
        <v>0</v>
      </c>
      <c r="OJ327" s="21">
        <f t="shared" si="1658"/>
        <v>0</v>
      </c>
      <c r="OK327" s="21">
        <f t="shared" si="1658"/>
        <v>0</v>
      </c>
      <c r="OL327" s="21">
        <f t="shared" ref="OL327:OS327" si="1659">IF($F$290, 0, IF($I$297, IF(AND(COLUMN($OL$327)-COLUMN($NV$327)=$Q$291,ROW($OL$327)-ROW($NV$327)=$K$291), U$290, OL327), OL327))</f>
        <v>0</v>
      </c>
      <c r="OM327" s="21">
        <f t="shared" si="1659"/>
        <v>0</v>
      </c>
      <c r="ON327" s="21">
        <f t="shared" si="1659"/>
        <v>0</v>
      </c>
      <c r="OO327" s="21">
        <f t="shared" si="1659"/>
        <v>0</v>
      </c>
      <c r="OP327" s="21">
        <f t="shared" si="1659"/>
        <v>0</v>
      </c>
      <c r="OQ327" s="21">
        <f t="shared" si="1659"/>
        <v>0</v>
      </c>
      <c r="OR327" s="21">
        <f t="shared" si="1659"/>
        <v>0</v>
      </c>
      <c r="OS327" s="21">
        <f t="shared" si="1659"/>
        <v>0</v>
      </c>
      <c r="OT327" s="21">
        <f t="shared" ref="OT327:PA327" si="1660">IF($F$290, 0, IF($I$297, IF(AND(COLUMN($OT$327)-COLUMN($NV$327)=$Q$291,ROW($OT$327)-ROW($NV$327)=$K$291), U$290, OT327), OT327))</f>
        <v>0</v>
      </c>
      <c r="OU327" s="21">
        <f t="shared" si="1660"/>
        <v>0</v>
      </c>
      <c r="OV327" s="21">
        <f t="shared" si="1660"/>
        <v>0</v>
      </c>
      <c r="OW327" s="21">
        <f t="shared" si="1660"/>
        <v>0</v>
      </c>
      <c r="OX327" s="21">
        <f t="shared" si="1660"/>
        <v>0</v>
      </c>
      <c r="OY327" s="21">
        <f t="shared" si="1660"/>
        <v>0</v>
      </c>
      <c r="OZ327" s="21">
        <f t="shared" si="1660"/>
        <v>0</v>
      </c>
      <c r="PA327" s="21">
        <f t="shared" si="1660"/>
        <v>0</v>
      </c>
      <c r="PB327" s="21">
        <f t="shared" ref="PB327:PI327" si="1661">IF($F$290, 0, IF($I$297, IF(AND(COLUMN($PB$327)-COLUMN($NV$327)=$Q$291,ROW($PB$327)-ROW($NV$327)=$K$291), U$290, PB327), PB327))</f>
        <v>0</v>
      </c>
      <c r="PC327" s="21">
        <f t="shared" si="1661"/>
        <v>0</v>
      </c>
      <c r="PD327" s="21">
        <f t="shared" si="1661"/>
        <v>0</v>
      </c>
      <c r="PE327" s="21">
        <f t="shared" si="1661"/>
        <v>0</v>
      </c>
      <c r="PF327" s="21">
        <f t="shared" si="1661"/>
        <v>0</v>
      </c>
      <c r="PG327" s="21">
        <f t="shared" si="1661"/>
        <v>0</v>
      </c>
      <c r="PH327" s="21">
        <f t="shared" si="1661"/>
        <v>0</v>
      </c>
      <c r="PI327" s="21">
        <f t="shared" si="1661"/>
        <v>0</v>
      </c>
      <c r="PJ327" s="21">
        <f t="shared" ref="PJ327:PQ327" si="1662">IF($F$290, 0, IF($I$297, IF(AND(COLUMN($PJ$327)-COLUMN($NV$327)=$Q$291,ROW($PJ$327)-ROW($NV$327)=$K$291), U$290, PJ327), PJ327))</f>
        <v>0</v>
      </c>
      <c r="PK327" s="21">
        <f t="shared" si="1662"/>
        <v>0</v>
      </c>
      <c r="PL327" s="21">
        <f t="shared" si="1662"/>
        <v>0</v>
      </c>
      <c r="PM327" s="21">
        <f t="shared" si="1662"/>
        <v>0</v>
      </c>
      <c r="PN327" s="21">
        <f t="shared" si="1662"/>
        <v>0</v>
      </c>
      <c r="PO327" s="21">
        <f t="shared" si="1662"/>
        <v>0</v>
      </c>
      <c r="PP327" s="21">
        <f t="shared" si="1662"/>
        <v>0</v>
      </c>
      <c r="PQ327" s="21">
        <f t="shared" si="1662"/>
        <v>0</v>
      </c>
      <c r="PR327" s="21">
        <f t="shared" ref="PR327:PY327" si="1663">IF($F$290, 0, IF($I$297, IF(AND(COLUMN($PR$327)-COLUMN($NV$327)=$Q$291,ROW($PR$327)-ROW($NV$327)=$K$291), U$290, PR327), PR327))</f>
        <v>0</v>
      </c>
      <c r="PS327" s="21">
        <f t="shared" si="1663"/>
        <v>0</v>
      </c>
      <c r="PT327" s="21">
        <f t="shared" si="1663"/>
        <v>0</v>
      </c>
      <c r="PU327" s="21">
        <f t="shared" si="1663"/>
        <v>0</v>
      </c>
      <c r="PV327" s="21">
        <f t="shared" si="1663"/>
        <v>0</v>
      </c>
      <c r="PW327" s="21">
        <f t="shared" si="1663"/>
        <v>0</v>
      </c>
      <c r="PX327" s="21">
        <f t="shared" si="1663"/>
        <v>0</v>
      </c>
      <c r="PY327" s="21">
        <f t="shared" si="1663"/>
        <v>0</v>
      </c>
      <c r="PZ327" s="21">
        <f t="shared" ref="PZ327:QG327" si="1664">IF($F$290, 0, IF($I$297, IF(AND(COLUMN($PZ$327)-COLUMN($NV$327)=$Q$291,ROW($PZ$327)-ROW($NV$327)=$K$291), U$290, PZ327), PZ327))</f>
        <v>0</v>
      </c>
      <c r="QA327" s="21">
        <f t="shared" si="1664"/>
        <v>0</v>
      </c>
      <c r="QB327" s="21">
        <f t="shared" si="1664"/>
        <v>0</v>
      </c>
      <c r="QC327" s="21">
        <f t="shared" si="1664"/>
        <v>0</v>
      </c>
      <c r="QD327" s="21">
        <f t="shared" si="1664"/>
        <v>0</v>
      </c>
      <c r="QE327" s="21">
        <f t="shared" si="1664"/>
        <v>0</v>
      </c>
      <c r="QF327" s="21">
        <f t="shared" si="1664"/>
        <v>0</v>
      </c>
      <c r="QG327" s="21">
        <f t="shared" si="1664"/>
        <v>0</v>
      </c>
      <c r="QH327" s="21">
        <f t="shared" ref="QH327:QO327" si="1665">IF($F$290, 0, IF($J$297, IF(AND(COLUMN($QH$327)-COLUMN($QH$327)=$Q$291,ROW($QH$327)-ROW($QH$327)=$K$291), U$290, QH327), QH327))</f>
        <v>0</v>
      </c>
      <c r="QI327" s="21">
        <f t="shared" si="1665"/>
        <v>0</v>
      </c>
      <c r="QJ327" s="21">
        <f t="shared" si="1665"/>
        <v>0</v>
      </c>
      <c r="QK327" s="21">
        <f t="shared" si="1665"/>
        <v>0</v>
      </c>
      <c r="QL327" s="21">
        <f t="shared" si="1665"/>
        <v>0</v>
      </c>
      <c r="QM327" s="21">
        <f t="shared" si="1665"/>
        <v>0</v>
      </c>
      <c r="QN327" s="21">
        <f t="shared" si="1665"/>
        <v>0</v>
      </c>
      <c r="QO327" s="21">
        <f t="shared" si="1665"/>
        <v>0</v>
      </c>
      <c r="QP327" s="21">
        <f t="shared" ref="QP327:QW327" si="1666">IF($F$290, 0, IF($J$297, IF(AND(COLUMN($QP$327)-COLUMN($QH$327)=$Q$291,ROW($QP$327)-ROW($QH$327)=$K$291), U$290, QP327), QP327))</f>
        <v>0</v>
      </c>
      <c r="QQ327" s="21">
        <f t="shared" si="1666"/>
        <v>0</v>
      </c>
      <c r="QR327" s="21">
        <f t="shared" si="1666"/>
        <v>0</v>
      </c>
      <c r="QS327" s="21">
        <f t="shared" si="1666"/>
        <v>0</v>
      </c>
      <c r="QT327" s="21">
        <f t="shared" si="1666"/>
        <v>0</v>
      </c>
      <c r="QU327" s="21">
        <f t="shared" si="1666"/>
        <v>0</v>
      </c>
      <c r="QV327" s="21">
        <f t="shared" si="1666"/>
        <v>0</v>
      </c>
      <c r="QW327" s="21">
        <f t="shared" si="1666"/>
        <v>0</v>
      </c>
      <c r="QX327" s="21">
        <f t="shared" ref="QX327:RE327" si="1667">IF($F$290, 0, IF($J$297, IF(AND(COLUMN($QX$327)-COLUMN($QH$327)=$Q$291,ROW($QX$327)-ROW($QH$327)=$K$291), U$290, QX327), QX327))</f>
        <v>0</v>
      </c>
      <c r="QY327" s="21">
        <f t="shared" si="1667"/>
        <v>0</v>
      </c>
      <c r="QZ327" s="21">
        <f t="shared" si="1667"/>
        <v>0</v>
      </c>
      <c r="RA327" s="21">
        <f t="shared" si="1667"/>
        <v>0</v>
      </c>
      <c r="RB327" s="21">
        <f t="shared" si="1667"/>
        <v>0</v>
      </c>
      <c r="RC327" s="21">
        <f t="shared" si="1667"/>
        <v>0</v>
      </c>
      <c r="RD327" s="21">
        <f t="shared" si="1667"/>
        <v>0</v>
      </c>
      <c r="RE327" s="21">
        <f t="shared" si="1667"/>
        <v>0</v>
      </c>
      <c r="RF327" s="21">
        <f t="shared" ref="RF327:RM327" si="1668">IF($F$290, 0, IF($J$297, IF(AND(COLUMN($RF$327)-COLUMN($QH$327)=$Q$291,ROW($RF$327)-ROW($QH$327)=$K$291), U$290, RF327), RF327))</f>
        <v>0</v>
      </c>
      <c r="RG327" s="21">
        <f t="shared" si="1668"/>
        <v>0</v>
      </c>
      <c r="RH327" s="21">
        <f t="shared" si="1668"/>
        <v>0</v>
      </c>
      <c r="RI327" s="21">
        <f t="shared" si="1668"/>
        <v>0</v>
      </c>
      <c r="RJ327" s="21">
        <f t="shared" si="1668"/>
        <v>0</v>
      </c>
      <c r="RK327" s="21">
        <f t="shared" si="1668"/>
        <v>0</v>
      </c>
      <c r="RL327" s="21">
        <f t="shared" si="1668"/>
        <v>0</v>
      </c>
      <c r="RM327" s="21">
        <f t="shared" si="1668"/>
        <v>0</v>
      </c>
      <c r="RN327" s="21">
        <f t="shared" ref="RN327:RU327" si="1669">IF($F$290, 0, IF($J$297, IF(AND(COLUMN($RN$327)-COLUMN($QH$327)=$Q$291,ROW($RN$327)-ROW($QH$327)=$K$291), U$290, RN327), RN327))</f>
        <v>0</v>
      </c>
      <c r="RO327" s="21">
        <f t="shared" si="1669"/>
        <v>0</v>
      </c>
      <c r="RP327" s="21">
        <f t="shared" si="1669"/>
        <v>0</v>
      </c>
      <c r="RQ327" s="21">
        <f t="shared" si="1669"/>
        <v>0</v>
      </c>
      <c r="RR327" s="21">
        <f t="shared" si="1669"/>
        <v>0</v>
      </c>
      <c r="RS327" s="21">
        <f t="shared" si="1669"/>
        <v>0</v>
      </c>
      <c r="RT327" s="21">
        <f t="shared" si="1669"/>
        <v>0</v>
      </c>
      <c r="RU327" s="21">
        <f t="shared" si="1669"/>
        <v>0</v>
      </c>
      <c r="RV327" s="21">
        <f t="shared" ref="RV327:SC327" si="1670">IF($F$290, 0, IF($J$297, IF(AND(COLUMN($RV$327)-COLUMN($QH$327)=$Q$291,ROW($RV$327)-ROW($QH$327)=$K$291), U$290, RV327), RV327))</f>
        <v>0</v>
      </c>
      <c r="RW327" s="21">
        <f t="shared" si="1670"/>
        <v>0</v>
      </c>
      <c r="RX327" s="21">
        <f t="shared" si="1670"/>
        <v>0</v>
      </c>
      <c r="RY327" s="21">
        <f t="shared" si="1670"/>
        <v>0</v>
      </c>
      <c r="RZ327" s="21">
        <f t="shared" si="1670"/>
        <v>0</v>
      </c>
      <c r="SA327" s="21">
        <f t="shared" si="1670"/>
        <v>0</v>
      </c>
      <c r="SB327" s="21">
        <f t="shared" si="1670"/>
        <v>0</v>
      </c>
      <c r="SC327" s="21">
        <f t="shared" si="1670"/>
        <v>0</v>
      </c>
      <c r="SD327" s="21">
        <f t="shared" ref="SD327:SK327" si="1671">IF($F$290, 0, IF($J$297, IF(AND(COLUMN($SD$327)-COLUMN($QH$327)=$Q$291,ROW($SD$327)-ROW($QH$327)=$K$291), U$290, SD327), SD327))</f>
        <v>0</v>
      </c>
      <c r="SE327" s="21">
        <f t="shared" si="1671"/>
        <v>0</v>
      </c>
      <c r="SF327" s="21">
        <f t="shared" si="1671"/>
        <v>0</v>
      </c>
      <c r="SG327" s="21">
        <f t="shared" si="1671"/>
        <v>0</v>
      </c>
      <c r="SH327" s="21">
        <f t="shared" si="1671"/>
        <v>0</v>
      </c>
      <c r="SI327" s="21">
        <f t="shared" si="1671"/>
        <v>0</v>
      </c>
      <c r="SJ327" s="21">
        <f t="shared" si="1671"/>
        <v>0</v>
      </c>
      <c r="SK327" s="21">
        <f t="shared" si="1671"/>
        <v>0</v>
      </c>
      <c r="SL327" s="21">
        <f t="shared" ref="SL327:SS327" si="1672">IF($F$290, 0, IF($J$297, IF(AND(COLUMN($SL$327)-COLUMN($QH$327)=$Q$291,ROW($SL$327)-ROW($QH$327)=$K$291), U$290, SL327), SL327))</f>
        <v>0</v>
      </c>
      <c r="SM327" s="21">
        <f t="shared" si="1672"/>
        <v>0</v>
      </c>
      <c r="SN327" s="21">
        <f t="shared" si="1672"/>
        <v>0</v>
      </c>
      <c r="SO327" s="21">
        <f t="shared" si="1672"/>
        <v>0</v>
      </c>
      <c r="SP327" s="21">
        <f t="shared" si="1672"/>
        <v>0</v>
      </c>
      <c r="SQ327" s="21">
        <f t="shared" si="1672"/>
        <v>0</v>
      </c>
      <c r="SR327" s="21">
        <f t="shared" si="1672"/>
        <v>0</v>
      </c>
      <c r="SS327" s="21">
        <f t="shared" si="1672"/>
        <v>0</v>
      </c>
    </row>
    <row r="328" spans="2:513" ht="15" customHeight="1" x14ac:dyDescent="0.25">
      <c r="B328" s="21">
        <f t="shared" ref="B328:I328" si="1673">IF($F$290, 0, IF($C$297, IF(AND(COLUMN($B$328)-COLUMN($B$327)=$Q$291,ROW($B$328)-ROW($B$327)=$K$291), U$290, B328), B328))</f>
        <v>0</v>
      </c>
      <c r="C328" s="21">
        <f t="shared" si="1673"/>
        <v>0</v>
      </c>
      <c r="D328" s="21">
        <f t="shared" si="1673"/>
        <v>0</v>
      </c>
      <c r="E328" s="21">
        <f t="shared" si="1673"/>
        <v>0</v>
      </c>
      <c r="F328" s="21">
        <f t="shared" si="1673"/>
        <v>0</v>
      </c>
      <c r="G328" s="21">
        <f t="shared" si="1673"/>
        <v>0</v>
      </c>
      <c r="H328" s="21">
        <f t="shared" si="1673"/>
        <v>0</v>
      </c>
      <c r="I328" s="21">
        <f t="shared" si="1673"/>
        <v>0</v>
      </c>
      <c r="J328" s="21">
        <f t="shared" ref="J328:Q328" si="1674">IF($F$290, 0, IF($C$297, IF(AND(COLUMN($J$328)-COLUMN($B$327)=$Q$291,ROW($J$328)-ROW($B$327)=$K$291), U$290, J328), J328))</f>
        <v>0</v>
      </c>
      <c r="K328" s="21">
        <f t="shared" si="1674"/>
        <v>0</v>
      </c>
      <c r="L328" s="21">
        <f t="shared" si="1674"/>
        <v>0</v>
      </c>
      <c r="M328" s="21">
        <f t="shared" si="1674"/>
        <v>0</v>
      </c>
      <c r="N328" s="21">
        <f t="shared" si="1674"/>
        <v>0</v>
      </c>
      <c r="O328" s="21">
        <f t="shared" si="1674"/>
        <v>0</v>
      </c>
      <c r="P328" s="21">
        <f t="shared" si="1674"/>
        <v>0</v>
      </c>
      <c r="Q328" s="21">
        <f t="shared" si="1674"/>
        <v>0</v>
      </c>
      <c r="R328" s="21">
        <f>IF($F$290, 0, IF($C$297, IF(AND(COLUMN($R$328)-COLUMN($B$327)=$Q$291,ROW($R$328)-ROW($B$327)=$K$291), U$290, R328), R328))</f>
        <v>0</v>
      </c>
      <c r="S328" s="21">
        <f t="shared" ref="S328:Y328" si="1675">IF($F$290, 0, IF($C$297, IF(AND(COLUMN($R$328)-COLUMN($B$327)=$Q$291,ROW($R$328)-ROW($B$327)=$K$291), V$290, S328), S328))</f>
        <v>0</v>
      </c>
      <c r="T328" s="21">
        <f t="shared" si="1675"/>
        <v>0</v>
      </c>
      <c r="U328" s="21">
        <f t="shared" si="1675"/>
        <v>0</v>
      </c>
      <c r="V328" s="21">
        <f t="shared" si="1675"/>
        <v>0</v>
      </c>
      <c r="W328" s="21">
        <f t="shared" si="1675"/>
        <v>0</v>
      </c>
      <c r="X328" s="21">
        <f t="shared" si="1675"/>
        <v>0</v>
      </c>
      <c r="Y328" s="21">
        <f t="shared" si="1675"/>
        <v>0</v>
      </c>
      <c r="Z328" s="21">
        <f t="shared" ref="Z328:AG328" si="1676">IF($F$290, 0, IF($C$297, IF(AND(COLUMN($Z$328)-COLUMN($B$327)=$Q$291,ROW($Z$328)-ROW($B$327)=$K$291), U$290, Z328), Z328))</f>
        <v>0</v>
      </c>
      <c r="AA328" s="21">
        <f t="shared" si="1676"/>
        <v>0</v>
      </c>
      <c r="AB328" s="21">
        <f t="shared" si="1676"/>
        <v>0</v>
      </c>
      <c r="AC328" s="21">
        <f t="shared" si="1676"/>
        <v>0</v>
      </c>
      <c r="AD328" s="21">
        <f t="shared" si="1676"/>
        <v>0</v>
      </c>
      <c r="AE328" s="21">
        <f t="shared" si="1676"/>
        <v>0</v>
      </c>
      <c r="AF328" s="21">
        <f t="shared" si="1676"/>
        <v>0</v>
      </c>
      <c r="AG328" s="21">
        <f t="shared" si="1676"/>
        <v>0</v>
      </c>
      <c r="AH328" s="21">
        <f t="shared" ref="AH328:AO328" si="1677">IF($F$290, 0, IF($C$297, IF(AND(COLUMN($AH$328)-COLUMN($B$327)=$Q$291,ROW($AH$328)-ROW($B$327)=$K$291), U$290, AH328), AH328))</f>
        <v>0</v>
      </c>
      <c r="AI328" s="21">
        <f t="shared" si="1677"/>
        <v>0</v>
      </c>
      <c r="AJ328" s="21">
        <f t="shared" si="1677"/>
        <v>0</v>
      </c>
      <c r="AK328" s="21">
        <f t="shared" si="1677"/>
        <v>0</v>
      </c>
      <c r="AL328" s="21">
        <f t="shared" si="1677"/>
        <v>0</v>
      </c>
      <c r="AM328" s="21">
        <f t="shared" si="1677"/>
        <v>0</v>
      </c>
      <c r="AN328" s="21">
        <f t="shared" si="1677"/>
        <v>0</v>
      </c>
      <c r="AO328" s="21">
        <f t="shared" si="1677"/>
        <v>0</v>
      </c>
      <c r="AP328" s="21">
        <f t="shared" ref="AP328:AW328" si="1678">IF($F$290, 0, IF($C$297, IF(AND(COLUMN($AP$328)-COLUMN($B$327)=$Q$291,ROW($AP$328)-ROW($B$327)=$K$291), U$290, AP328), AP328))</f>
        <v>0</v>
      </c>
      <c r="AQ328" s="21">
        <f t="shared" si="1678"/>
        <v>0</v>
      </c>
      <c r="AR328" s="21">
        <f t="shared" si="1678"/>
        <v>0</v>
      </c>
      <c r="AS328" s="21">
        <f t="shared" si="1678"/>
        <v>0</v>
      </c>
      <c r="AT328" s="21">
        <f t="shared" si="1678"/>
        <v>0</v>
      </c>
      <c r="AU328" s="21">
        <f t="shared" si="1678"/>
        <v>0</v>
      </c>
      <c r="AV328" s="21">
        <f t="shared" si="1678"/>
        <v>0</v>
      </c>
      <c r="AW328" s="21">
        <f t="shared" si="1678"/>
        <v>0</v>
      </c>
      <c r="AX328" s="21">
        <f t="shared" ref="AX328:BE328" si="1679">IF($F$290, 0, IF($C$297, IF(AND(COLUMN($AX$328)-COLUMN($B$327)=$Q$291,ROW($AX$328)-ROW($B$327)=$K$291), U$290, AX328), AX328))</f>
        <v>0</v>
      </c>
      <c r="AY328" s="21">
        <f t="shared" si="1679"/>
        <v>0</v>
      </c>
      <c r="AZ328" s="21">
        <f t="shared" si="1679"/>
        <v>0</v>
      </c>
      <c r="BA328" s="21">
        <f t="shared" si="1679"/>
        <v>0</v>
      </c>
      <c r="BB328" s="21">
        <f t="shared" si="1679"/>
        <v>0</v>
      </c>
      <c r="BC328" s="21">
        <f t="shared" si="1679"/>
        <v>0</v>
      </c>
      <c r="BD328" s="21">
        <f t="shared" si="1679"/>
        <v>0</v>
      </c>
      <c r="BE328" s="21">
        <f t="shared" si="1679"/>
        <v>0</v>
      </c>
      <c r="BF328" s="21">
        <f t="shared" ref="BF328:BM328" si="1680">IF($F$290, 0, IF($C$297, IF(AND(COLUMN($BF$328)-COLUMN($B$327)=$Q$291,ROW($BF$328)-ROW($B$327)=$K$291), U$290, BF328), BF328))</f>
        <v>0</v>
      </c>
      <c r="BG328" s="21">
        <f t="shared" si="1680"/>
        <v>0</v>
      </c>
      <c r="BH328" s="21">
        <f t="shared" si="1680"/>
        <v>0</v>
      </c>
      <c r="BI328" s="21">
        <f t="shared" si="1680"/>
        <v>0</v>
      </c>
      <c r="BJ328" s="21">
        <f t="shared" si="1680"/>
        <v>0</v>
      </c>
      <c r="BK328" s="21">
        <f t="shared" si="1680"/>
        <v>0</v>
      </c>
      <c r="BL328" s="21">
        <f t="shared" si="1680"/>
        <v>0</v>
      </c>
      <c r="BM328" s="21">
        <f t="shared" si="1680"/>
        <v>0</v>
      </c>
      <c r="BN328" s="21">
        <f t="shared" ref="BN328:BU328" si="1681">IF($F$290, 0, IF($D$297, IF(AND(COLUMN($BN$328)-COLUMN($BN$327)=$Q$291,ROW($BN$328)-ROW($BN$327)=$K$291), U$290, BN328), BN328))</f>
        <v>0</v>
      </c>
      <c r="BO328" s="21">
        <f t="shared" si="1681"/>
        <v>0</v>
      </c>
      <c r="BP328" s="21">
        <f t="shared" si="1681"/>
        <v>0</v>
      </c>
      <c r="BQ328" s="21">
        <f t="shared" si="1681"/>
        <v>0</v>
      </c>
      <c r="BR328" s="21">
        <f t="shared" si="1681"/>
        <v>0</v>
      </c>
      <c r="BS328" s="21">
        <f t="shared" si="1681"/>
        <v>0</v>
      </c>
      <c r="BT328" s="21">
        <f t="shared" si="1681"/>
        <v>0</v>
      </c>
      <c r="BU328" s="21">
        <f t="shared" si="1681"/>
        <v>0</v>
      </c>
      <c r="BV328" s="21">
        <f t="shared" ref="BV328:CC328" si="1682">IF($F$290, 0, IF($D$297, IF(AND(COLUMN($BV$328)-COLUMN($BN$327)=$Q$291,ROW($BV$328)-ROW($BN$327)=$K$291), U$290, BV328), BV328))</f>
        <v>0</v>
      </c>
      <c r="BW328" s="21">
        <f t="shared" si="1682"/>
        <v>0</v>
      </c>
      <c r="BX328" s="21">
        <f t="shared" si="1682"/>
        <v>0</v>
      </c>
      <c r="BY328" s="21">
        <f t="shared" si="1682"/>
        <v>0</v>
      </c>
      <c r="BZ328" s="21">
        <f t="shared" si="1682"/>
        <v>0</v>
      </c>
      <c r="CA328" s="21">
        <f t="shared" si="1682"/>
        <v>0</v>
      </c>
      <c r="CB328" s="21">
        <f t="shared" si="1682"/>
        <v>0</v>
      </c>
      <c r="CC328" s="21">
        <f t="shared" si="1682"/>
        <v>0</v>
      </c>
      <c r="CD328" s="21">
        <f t="shared" ref="CD328:CK328" si="1683">IF($F$290, 0, IF($D$297, IF(AND(COLUMN($CD$328)-COLUMN($BN$327)=$Q$291,ROW($CD$328)-ROW($BN$327)=$K$291), U$290, CD328), CD328))</f>
        <v>0</v>
      </c>
      <c r="CE328" s="21">
        <f t="shared" si="1683"/>
        <v>0</v>
      </c>
      <c r="CF328" s="21">
        <f t="shared" si="1683"/>
        <v>0</v>
      </c>
      <c r="CG328" s="21">
        <f t="shared" si="1683"/>
        <v>0</v>
      </c>
      <c r="CH328" s="21">
        <f t="shared" si="1683"/>
        <v>0</v>
      </c>
      <c r="CI328" s="21">
        <f t="shared" si="1683"/>
        <v>0</v>
      </c>
      <c r="CJ328" s="21">
        <f t="shared" si="1683"/>
        <v>0</v>
      </c>
      <c r="CK328" s="21">
        <f t="shared" si="1683"/>
        <v>0</v>
      </c>
      <c r="CL328" s="21">
        <f t="shared" ref="CL328:CS328" si="1684">IF($F$290, 0, IF($D$297, IF(AND(COLUMN($CL$328)-COLUMN($BN$327)=$Q$291,ROW($CL$328)-ROW($BN$327)=$K$291), U$290, CL328), CL328))</f>
        <v>0</v>
      </c>
      <c r="CM328" s="21">
        <f t="shared" si="1684"/>
        <v>0</v>
      </c>
      <c r="CN328" s="21">
        <f t="shared" si="1684"/>
        <v>0</v>
      </c>
      <c r="CO328" s="21">
        <f t="shared" si="1684"/>
        <v>0</v>
      </c>
      <c r="CP328" s="21">
        <f t="shared" si="1684"/>
        <v>0</v>
      </c>
      <c r="CQ328" s="21">
        <f t="shared" si="1684"/>
        <v>0</v>
      </c>
      <c r="CR328" s="21">
        <f t="shared" si="1684"/>
        <v>0</v>
      </c>
      <c r="CS328" s="21">
        <f t="shared" si="1684"/>
        <v>0</v>
      </c>
      <c r="CT328" s="21">
        <f t="shared" ref="CT328:DA328" si="1685">IF($F$290, 0, IF($D$297, IF(AND(COLUMN($CT$328)-COLUMN($BN$327)=$Q$291,ROW($CT$328)-ROW($BN$327)=$K$291), U$290, CT328), CT328))</f>
        <v>0</v>
      </c>
      <c r="CU328" s="21">
        <f t="shared" si="1685"/>
        <v>0</v>
      </c>
      <c r="CV328" s="21">
        <f t="shared" si="1685"/>
        <v>0</v>
      </c>
      <c r="CW328" s="21">
        <f t="shared" si="1685"/>
        <v>0</v>
      </c>
      <c r="CX328" s="21">
        <f t="shared" si="1685"/>
        <v>0</v>
      </c>
      <c r="CY328" s="21">
        <f t="shared" si="1685"/>
        <v>0</v>
      </c>
      <c r="CZ328" s="21">
        <f t="shared" si="1685"/>
        <v>0</v>
      </c>
      <c r="DA328" s="21">
        <f t="shared" si="1685"/>
        <v>0</v>
      </c>
      <c r="DB328" s="21">
        <f t="shared" ref="DB328:DI328" si="1686">IF($F$290, 0, IF($D$297, IF(AND(COLUMN($DB$328)-COLUMN($BN$327)=$Q$291,ROW($DB$328)-ROW($BN$327)=$K$291), U$290, DB328), DB328))</f>
        <v>0</v>
      </c>
      <c r="DC328" s="21">
        <f t="shared" si="1686"/>
        <v>0</v>
      </c>
      <c r="DD328" s="21">
        <f t="shared" si="1686"/>
        <v>0</v>
      </c>
      <c r="DE328" s="21">
        <f t="shared" si="1686"/>
        <v>0</v>
      </c>
      <c r="DF328" s="21">
        <f t="shared" si="1686"/>
        <v>0</v>
      </c>
      <c r="DG328" s="21">
        <f t="shared" si="1686"/>
        <v>0</v>
      </c>
      <c r="DH328" s="21">
        <f t="shared" si="1686"/>
        <v>0</v>
      </c>
      <c r="DI328" s="21">
        <f t="shared" si="1686"/>
        <v>0</v>
      </c>
      <c r="DJ328" s="21">
        <f t="shared" ref="DJ328:DQ328" si="1687">IF($F$290, 0, IF($D$297, IF(AND(COLUMN($DJ$328)-COLUMN($BN$327)=$Q$291,ROW($DJ$328)-ROW($BN$327)=$K$291), U$290, DJ328), DJ328))</f>
        <v>0</v>
      </c>
      <c r="DK328" s="21">
        <f t="shared" si="1687"/>
        <v>0</v>
      </c>
      <c r="DL328" s="21">
        <f t="shared" si="1687"/>
        <v>0</v>
      </c>
      <c r="DM328" s="21">
        <f t="shared" si="1687"/>
        <v>0</v>
      </c>
      <c r="DN328" s="21">
        <f t="shared" si="1687"/>
        <v>0</v>
      </c>
      <c r="DO328" s="21">
        <f t="shared" si="1687"/>
        <v>0</v>
      </c>
      <c r="DP328" s="21">
        <f t="shared" si="1687"/>
        <v>0</v>
      </c>
      <c r="DQ328" s="21">
        <f t="shared" si="1687"/>
        <v>0</v>
      </c>
      <c r="DR328" s="21">
        <f t="shared" ref="DR328:DY328" si="1688">IF($F$290, 0, IF($D$297, IF(AND(COLUMN($DR$328)-COLUMN($BN$327)=$Q$291,ROW($DR$328)-ROW($BN$327)=$K$291), U$290, DR328), DR328))</f>
        <v>0</v>
      </c>
      <c r="DS328" s="21">
        <f t="shared" si="1688"/>
        <v>0</v>
      </c>
      <c r="DT328" s="21">
        <f t="shared" si="1688"/>
        <v>0</v>
      </c>
      <c r="DU328" s="21">
        <f t="shared" si="1688"/>
        <v>0</v>
      </c>
      <c r="DV328" s="21">
        <f t="shared" si="1688"/>
        <v>0</v>
      </c>
      <c r="DW328" s="21">
        <f t="shared" si="1688"/>
        <v>0</v>
      </c>
      <c r="DX328" s="21">
        <f t="shared" si="1688"/>
        <v>0</v>
      </c>
      <c r="DY328" s="21">
        <f t="shared" si="1688"/>
        <v>0</v>
      </c>
      <c r="DZ328" s="21">
        <f t="shared" ref="DZ328:EG328" si="1689">IF($F$290, 0, IF($E$297, IF(AND(COLUMN($DZ$328)-COLUMN($DZ$327)=$Q$291,ROW($DZ$328)-ROW($DZ$327)=$K$291), U$290, DZ328), DZ328))</f>
        <v>0</v>
      </c>
      <c r="EA328" s="21">
        <f t="shared" si="1689"/>
        <v>0</v>
      </c>
      <c r="EB328" s="21">
        <f t="shared" si="1689"/>
        <v>0</v>
      </c>
      <c r="EC328" s="21">
        <f t="shared" si="1689"/>
        <v>0</v>
      </c>
      <c r="ED328" s="21">
        <f t="shared" si="1689"/>
        <v>0</v>
      </c>
      <c r="EE328" s="21">
        <f t="shared" si="1689"/>
        <v>0</v>
      </c>
      <c r="EF328" s="21">
        <f t="shared" si="1689"/>
        <v>0</v>
      </c>
      <c r="EG328" s="21">
        <f t="shared" si="1689"/>
        <v>0</v>
      </c>
      <c r="EH328" s="21">
        <f t="shared" ref="EH328:EO328" si="1690">IF($F$290, 0, IF($E$297, IF(AND(COLUMN($EH$328)-COLUMN($DZ$327)=$Q$291,ROW($EH$328)-ROW($DZ$327)=$K$291), U$290, EH328), EH328))</f>
        <v>0</v>
      </c>
      <c r="EI328" s="21">
        <f t="shared" si="1690"/>
        <v>0</v>
      </c>
      <c r="EJ328" s="21">
        <f t="shared" si="1690"/>
        <v>0</v>
      </c>
      <c r="EK328" s="21">
        <f t="shared" si="1690"/>
        <v>0</v>
      </c>
      <c r="EL328" s="21">
        <f t="shared" si="1690"/>
        <v>0</v>
      </c>
      <c r="EM328" s="21">
        <f t="shared" si="1690"/>
        <v>0</v>
      </c>
      <c r="EN328" s="21">
        <f t="shared" si="1690"/>
        <v>0</v>
      </c>
      <c r="EO328" s="21">
        <f t="shared" si="1690"/>
        <v>0</v>
      </c>
      <c r="EP328" s="21">
        <f t="shared" ref="EP328:EW328" si="1691">IF($F$290, 0, IF($E$297, IF(AND(COLUMN($EP$328)-COLUMN($DZ$327)=$Q$291,ROW($EP$328)-ROW($DZ$327)=$K$291), U$290, EP328), EP328))</f>
        <v>0</v>
      </c>
      <c r="EQ328" s="21">
        <f t="shared" si="1691"/>
        <v>0</v>
      </c>
      <c r="ER328" s="21">
        <f t="shared" si="1691"/>
        <v>0</v>
      </c>
      <c r="ES328" s="21">
        <f t="shared" si="1691"/>
        <v>0</v>
      </c>
      <c r="ET328" s="21">
        <f t="shared" si="1691"/>
        <v>0</v>
      </c>
      <c r="EU328" s="21">
        <f t="shared" si="1691"/>
        <v>0</v>
      </c>
      <c r="EV328" s="21">
        <f t="shared" si="1691"/>
        <v>0</v>
      </c>
      <c r="EW328" s="21">
        <f t="shared" si="1691"/>
        <v>0</v>
      </c>
      <c r="EX328" s="21">
        <f t="shared" ref="EX328:FE328" si="1692">IF($F$290, 0, IF($E$297, IF(AND(COLUMN($EX$328)-COLUMN($DZ$327)=$Q$291,ROW($EX$328)-ROW($DZ$327)=$K$291), U$290, EX328), EX328))</f>
        <v>0</v>
      </c>
      <c r="EY328" s="21">
        <f t="shared" si="1692"/>
        <v>0</v>
      </c>
      <c r="EZ328" s="21">
        <f t="shared" si="1692"/>
        <v>0</v>
      </c>
      <c r="FA328" s="21">
        <f t="shared" si="1692"/>
        <v>0</v>
      </c>
      <c r="FB328" s="21">
        <f t="shared" si="1692"/>
        <v>0</v>
      </c>
      <c r="FC328" s="21">
        <f t="shared" si="1692"/>
        <v>0</v>
      </c>
      <c r="FD328" s="21">
        <f t="shared" si="1692"/>
        <v>0</v>
      </c>
      <c r="FE328" s="21">
        <f t="shared" si="1692"/>
        <v>0</v>
      </c>
      <c r="FF328" s="21">
        <f t="shared" ref="FF328:FM328" si="1693">IF($F$290, 0, IF($E$297, IF(AND(COLUMN($FF$328)-COLUMN($DZ$327)=$Q$291,ROW($FF$328)-ROW($DZ$327)=$K$291), U$290, FF328), FF328))</f>
        <v>0</v>
      </c>
      <c r="FG328" s="21">
        <f t="shared" si="1693"/>
        <v>0</v>
      </c>
      <c r="FH328" s="21">
        <f t="shared" si="1693"/>
        <v>0</v>
      </c>
      <c r="FI328" s="21">
        <f t="shared" si="1693"/>
        <v>0</v>
      </c>
      <c r="FJ328" s="21">
        <f t="shared" si="1693"/>
        <v>0</v>
      </c>
      <c r="FK328" s="21">
        <f t="shared" si="1693"/>
        <v>0</v>
      </c>
      <c r="FL328" s="21">
        <f t="shared" si="1693"/>
        <v>0</v>
      </c>
      <c r="FM328" s="21">
        <f t="shared" si="1693"/>
        <v>0</v>
      </c>
      <c r="FN328" s="21">
        <f t="shared" ref="FN328:FU328" si="1694">IF($F$290, 0, IF($E$297, IF(AND(COLUMN($FN$328)-COLUMN($DZ$327)=$Q$291,ROW($FN$328)-ROW($DZ$327)=$K$291), U$290, FN328), FN328))</f>
        <v>0</v>
      </c>
      <c r="FO328" s="21">
        <f t="shared" si="1694"/>
        <v>0</v>
      </c>
      <c r="FP328" s="21">
        <f t="shared" si="1694"/>
        <v>0</v>
      </c>
      <c r="FQ328" s="21">
        <f t="shared" si="1694"/>
        <v>0</v>
      </c>
      <c r="FR328" s="21">
        <f t="shared" si="1694"/>
        <v>0</v>
      </c>
      <c r="FS328" s="21">
        <f t="shared" si="1694"/>
        <v>0</v>
      </c>
      <c r="FT328" s="21">
        <f t="shared" si="1694"/>
        <v>0</v>
      </c>
      <c r="FU328" s="21">
        <f t="shared" si="1694"/>
        <v>0</v>
      </c>
      <c r="FV328" s="21">
        <f t="shared" ref="FV328:GC328" si="1695">IF($F$290, 0, IF($E$297, IF(AND(COLUMN($FV$328)-COLUMN($DZ$327)=$Q$291,ROW($FV$328)-ROW($DZ$327)=$K$291), U$290, FV328), FV328))</f>
        <v>0</v>
      </c>
      <c r="FW328" s="21">
        <f t="shared" si="1695"/>
        <v>0</v>
      </c>
      <c r="FX328" s="21">
        <f t="shared" si="1695"/>
        <v>0</v>
      </c>
      <c r="FY328" s="21">
        <f t="shared" si="1695"/>
        <v>0</v>
      </c>
      <c r="FZ328" s="21">
        <f t="shared" si="1695"/>
        <v>0</v>
      </c>
      <c r="GA328" s="21">
        <f t="shared" si="1695"/>
        <v>0</v>
      </c>
      <c r="GB328" s="21">
        <f t="shared" si="1695"/>
        <v>0</v>
      </c>
      <c r="GC328" s="21">
        <f t="shared" si="1695"/>
        <v>0</v>
      </c>
      <c r="GD328" s="21">
        <f t="shared" ref="GD328:GK328" si="1696">IF($F$290, 0, IF($E$297, IF(AND(COLUMN($GD$328)-COLUMN($DZ$327)=$Q$291,ROW($GD$328)-ROW($DZ$327)=$K$291), U$290, GD328), GD328))</f>
        <v>0</v>
      </c>
      <c r="GE328" s="21">
        <f t="shared" si="1696"/>
        <v>0</v>
      </c>
      <c r="GF328" s="21">
        <f t="shared" si="1696"/>
        <v>0</v>
      </c>
      <c r="GG328" s="21">
        <f t="shared" si="1696"/>
        <v>0</v>
      </c>
      <c r="GH328" s="21">
        <f t="shared" si="1696"/>
        <v>0</v>
      </c>
      <c r="GI328" s="21">
        <f t="shared" si="1696"/>
        <v>0</v>
      </c>
      <c r="GJ328" s="21">
        <f t="shared" si="1696"/>
        <v>0</v>
      </c>
      <c r="GK328" s="21">
        <f t="shared" si="1696"/>
        <v>0</v>
      </c>
      <c r="GL328" s="21">
        <f t="shared" ref="GL328:GS328" si="1697">IF($F$290, 0, IF($F$297, IF(AND(COLUMN($GL$328)-COLUMN($GL$327)=$Q$291,ROW($GL$328)-ROW($GL$327)=$K$291), U$290, GL328), GL328))</f>
        <v>0</v>
      </c>
      <c r="GM328" s="21">
        <f t="shared" si="1697"/>
        <v>0</v>
      </c>
      <c r="GN328" s="21">
        <f t="shared" si="1697"/>
        <v>0</v>
      </c>
      <c r="GO328" s="21">
        <f t="shared" si="1697"/>
        <v>0</v>
      </c>
      <c r="GP328" s="21">
        <f t="shared" si="1697"/>
        <v>0</v>
      </c>
      <c r="GQ328" s="21">
        <f t="shared" si="1697"/>
        <v>0</v>
      </c>
      <c r="GR328" s="21">
        <f t="shared" si="1697"/>
        <v>0</v>
      </c>
      <c r="GS328" s="21">
        <f t="shared" si="1697"/>
        <v>0</v>
      </c>
      <c r="GT328" s="21">
        <f t="shared" ref="GT328:HA328" si="1698">IF($F$290, 0, IF($F$297, IF(AND(COLUMN($GT$328)-COLUMN($GL$327)=$Q$291,ROW($GT$328)-ROW($GL$327)=$K$291), U$290, GT328), GT328))</f>
        <v>0</v>
      </c>
      <c r="GU328" s="21">
        <f t="shared" si="1698"/>
        <v>0</v>
      </c>
      <c r="GV328" s="21">
        <f t="shared" si="1698"/>
        <v>0</v>
      </c>
      <c r="GW328" s="21">
        <f t="shared" si="1698"/>
        <v>0</v>
      </c>
      <c r="GX328" s="21">
        <f t="shared" si="1698"/>
        <v>0</v>
      </c>
      <c r="GY328" s="21">
        <f t="shared" si="1698"/>
        <v>0</v>
      </c>
      <c r="GZ328" s="21">
        <f t="shared" si="1698"/>
        <v>0</v>
      </c>
      <c r="HA328" s="21">
        <f t="shared" si="1698"/>
        <v>0</v>
      </c>
      <c r="HB328" s="21">
        <f t="shared" ref="HB328:HI328" si="1699">IF($F$290, 0, IF($F$297, IF(AND(COLUMN($HB$328)-COLUMN($GL$327)=$Q$291,ROW($HB$328)-ROW($GL$327)=$K$291), U$290, HB328), HB328))</f>
        <v>0</v>
      </c>
      <c r="HC328" s="21">
        <f t="shared" si="1699"/>
        <v>0</v>
      </c>
      <c r="HD328" s="21">
        <f t="shared" si="1699"/>
        <v>0</v>
      </c>
      <c r="HE328" s="21">
        <f t="shared" si="1699"/>
        <v>0</v>
      </c>
      <c r="HF328" s="21">
        <f t="shared" si="1699"/>
        <v>0</v>
      </c>
      <c r="HG328" s="21">
        <f t="shared" si="1699"/>
        <v>0</v>
      </c>
      <c r="HH328" s="21">
        <f t="shared" si="1699"/>
        <v>0</v>
      </c>
      <c r="HI328" s="21">
        <f t="shared" si="1699"/>
        <v>0</v>
      </c>
      <c r="HJ328" s="21">
        <f t="shared" ref="HJ328:HQ328" si="1700">IF($F$290, 0, IF($F$297, IF(AND(COLUMN($HJ$328)-COLUMN($GL$327)=$Q$291,ROW($HJ$328)-ROW($GL$327)=$K$291), U$290, HJ328), HJ328))</f>
        <v>0</v>
      </c>
      <c r="HK328" s="21">
        <f t="shared" si="1700"/>
        <v>0</v>
      </c>
      <c r="HL328" s="21">
        <f t="shared" si="1700"/>
        <v>0</v>
      </c>
      <c r="HM328" s="21">
        <f t="shared" si="1700"/>
        <v>0</v>
      </c>
      <c r="HN328" s="21">
        <f t="shared" si="1700"/>
        <v>0</v>
      </c>
      <c r="HO328" s="21">
        <f t="shared" si="1700"/>
        <v>0</v>
      </c>
      <c r="HP328" s="21">
        <f t="shared" si="1700"/>
        <v>0</v>
      </c>
      <c r="HQ328" s="21">
        <f t="shared" si="1700"/>
        <v>0</v>
      </c>
      <c r="HR328" s="21">
        <f t="shared" ref="HR328:HY328" si="1701">IF($F$290, 0, IF($F$297, IF(AND(COLUMN($HR$328)-COLUMN($GL$327)=$Q$291,ROW($HR$328)-ROW($GL$327)=$K$291), U$290, HR328), HR328))</f>
        <v>0</v>
      </c>
      <c r="HS328" s="21">
        <f t="shared" si="1701"/>
        <v>0</v>
      </c>
      <c r="HT328" s="21">
        <f t="shared" si="1701"/>
        <v>0</v>
      </c>
      <c r="HU328" s="21">
        <f t="shared" si="1701"/>
        <v>0</v>
      </c>
      <c r="HV328" s="21">
        <f t="shared" si="1701"/>
        <v>0</v>
      </c>
      <c r="HW328" s="21">
        <f t="shared" si="1701"/>
        <v>0</v>
      </c>
      <c r="HX328" s="21">
        <f t="shared" si="1701"/>
        <v>0</v>
      </c>
      <c r="HY328" s="21">
        <f t="shared" si="1701"/>
        <v>0</v>
      </c>
      <c r="HZ328" s="21">
        <f t="shared" ref="HZ328:IG328" si="1702">IF($F$290, 0, IF($F$297, IF(AND(COLUMN($HZ$328)-COLUMN($GL$327)=$Q$291,ROW($HZ$328)-ROW($GL$327)=$K$291), U$290, HZ328), HZ328))</f>
        <v>0</v>
      </c>
      <c r="IA328" s="21">
        <f t="shared" si="1702"/>
        <v>0</v>
      </c>
      <c r="IB328" s="21">
        <f t="shared" si="1702"/>
        <v>0</v>
      </c>
      <c r="IC328" s="21">
        <f t="shared" si="1702"/>
        <v>0</v>
      </c>
      <c r="ID328" s="21">
        <f t="shared" si="1702"/>
        <v>0</v>
      </c>
      <c r="IE328" s="21">
        <f t="shared" si="1702"/>
        <v>0</v>
      </c>
      <c r="IF328" s="21">
        <f t="shared" si="1702"/>
        <v>0</v>
      </c>
      <c r="IG328" s="21">
        <f t="shared" si="1702"/>
        <v>0</v>
      </c>
      <c r="IH328" s="21">
        <f t="shared" ref="IH328:IO328" si="1703">IF($F$290, 0, IF($F$297, IF(AND(COLUMN($IH$328)-COLUMN($GL$327)=$Q$291,ROW($IH$328)-ROW($GL$327)=$K$291), U$290, IH328), IH328))</f>
        <v>0</v>
      </c>
      <c r="II328" s="21">
        <f t="shared" si="1703"/>
        <v>0</v>
      </c>
      <c r="IJ328" s="21">
        <f t="shared" si="1703"/>
        <v>0</v>
      </c>
      <c r="IK328" s="21">
        <f t="shared" si="1703"/>
        <v>0</v>
      </c>
      <c r="IL328" s="21">
        <f t="shared" si="1703"/>
        <v>0</v>
      </c>
      <c r="IM328" s="21">
        <f t="shared" si="1703"/>
        <v>0</v>
      </c>
      <c r="IN328" s="21">
        <f t="shared" si="1703"/>
        <v>0</v>
      </c>
      <c r="IO328" s="21">
        <f t="shared" si="1703"/>
        <v>0</v>
      </c>
      <c r="IP328" s="21">
        <f t="shared" ref="IP328:IW328" si="1704">IF($F$290, 0, IF($F$297, IF(AND(COLUMN($IP$328)-COLUMN($GL$327)=$Q$291,ROW($IP$328)-ROW($GL$327)=$K$291), U$290, IP328), IP328))</f>
        <v>0</v>
      </c>
      <c r="IQ328" s="21">
        <f t="shared" si="1704"/>
        <v>0</v>
      </c>
      <c r="IR328" s="21">
        <f t="shared" si="1704"/>
        <v>0</v>
      </c>
      <c r="IS328" s="21">
        <f t="shared" si="1704"/>
        <v>0</v>
      </c>
      <c r="IT328" s="21">
        <f t="shared" si="1704"/>
        <v>0</v>
      </c>
      <c r="IU328" s="21">
        <f t="shared" si="1704"/>
        <v>0</v>
      </c>
      <c r="IV328" s="21">
        <f t="shared" si="1704"/>
        <v>0</v>
      </c>
      <c r="IW328" s="21">
        <f t="shared" si="1704"/>
        <v>0</v>
      </c>
      <c r="IX328" s="21">
        <f t="shared" ref="IX328:JE328" si="1705">IF($F$290, 0, IF($G$297, IF(AND(COLUMN($IX$328)-COLUMN($IX$327)=$Q$291,ROW($IX$328)-ROW($IX$327)=$K$291), U$290, IX328), IX328))</f>
        <v>0</v>
      </c>
      <c r="IY328" s="21">
        <f t="shared" si="1705"/>
        <v>0</v>
      </c>
      <c r="IZ328" s="21">
        <f t="shared" si="1705"/>
        <v>0</v>
      </c>
      <c r="JA328" s="21">
        <f t="shared" si="1705"/>
        <v>0</v>
      </c>
      <c r="JB328" s="21">
        <f t="shared" si="1705"/>
        <v>0</v>
      </c>
      <c r="JC328" s="21">
        <f t="shared" si="1705"/>
        <v>0</v>
      </c>
      <c r="JD328" s="21">
        <f t="shared" si="1705"/>
        <v>0</v>
      </c>
      <c r="JE328" s="21">
        <f t="shared" si="1705"/>
        <v>0</v>
      </c>
      <c r="JF328" s="21">
        <f t="shared" ref="JF328:JM328" si="1706">IF($F$290, 0, IF($G$297, IF(AND(COLUMN($JF$328)-COLUMN($IX$327)=$Q$291,ROW($JF$328)-ROW($IX$327)=$K$291), U$290, JF328), JF328))</f>
        <v>0</v>
      </c>
      <c r="JG328" s="21">
        <f t="shared" si="1706"/>
        <v>0</v>
      </c>
      <c r="JH328" s="21">
        <f t="shared" si="1706"/>
        <v>0</v>
      </c>
      <c r="JI328" s="21">
        <f t="shared" si="1706"/>
        <v>0</v>
      </c>
      <c r="JJ328" s="21">
        <f t="shared" si="1706"/>
        <v>0</v>
      </c>
      <c r="JK328" s="21">
        <f t="shared" si="1706"/>
        <v>0</v>
      </c>
      <c r="JL328" s="21">
        <f t="shared" si="1706"/>
        <v>0</v>
      </c>
      <c r="JM328" s="21">
        <f t="shared" si="1706"/>
        <v>0</v>
      </c>
      <c r="JN328" s="21">
        <f t="shared" ref="JN328:JU328" si="1707">IF($F$290, 0, IF($G$297, IF(AND(COLUMN($JN$328)-COLUMN($IX$327)=$Q$291,ROW($JN$328)-ROW($IX$327)=$K$291), U$290, JN328), JN328))</f>
        <v>0</v>
      </c>
      <c r="JO328" s="21">
        <f t="shared" si="1707"/>
        <v>0</v>
      </c>
      <c r="JP328" s="21">
        <f t="shared" si="1707"/>
        <v>0</v>
      </c>
      <c r="JQ328" s="21">
        <f t="shared" si="1707"/>
        <v>0</v>
      </c>
      <c r="JR328" s="21">
        <f t="shared" si="1707"/>
        <v>0</v>
      </c>
      <c r="JS328" s="21">
        <f t="shared" si="1707"/>
        <v>0</v>
      </c>
      <c r="JT328" s="21">
        <f t="shared" si="1707"/>
        <v>0</v>
      </c>
      <c r="JU328" s="21">
        <f t="shared" si="1707"/>
        <v>0</v>
      </c>
      <c r="JV328" s="21">
        <f t="shared" ref="JV328:KC328" si="1708">IF($F$290, 0, IF($G$297, IF(AND(COLUMN($JV$328)-COLUMN($IX$327)=$Q$291,ROW($JV$328)-ROW($IX$327)=$K$291), U$290, JV328), JV328))</f>
        <v>0</v>
      </c>
      <c r="JW328" s="21">
        <f t="shared" si="1708"/>
        <v>0</v>
      </c>
      <c r="JX328" s="21">
        <f t="shared" si="1708"/>
        <v>0</v>
      </c>
      <c r="JY328" s="21">
        <f t="shared" si="1708"/>
        <v>0</v>
      </c>
      <c r="JZ328" s="21">
        <f t="shared" si="1708"/>
        <v>0</v>
      </c>
      <c r="KA328" s="21">
        <f t="shared" si="1708"/>
        <v>0</v>
      </c>
      <c r="KB328" s="21">
        <f t="shared" si="1708"/>
        <v>0</v>
      </c>
      <c r="KC328" s="21">
        <f t="shared" si="1708"/>
        <v>0</v>
      </c>
      <c r="KD328" s="21">
        <f t="shared" ref="KD328:KK328" si="1709">IF($F$290, 0, IF($G$297, IF(AND(COLUMN($KD$328)-COLUMN($IX$327)=$Q$291,ROW($KD$328)-ROW($IX$327)=$K$291), U$290, KD328), KD328))</f>
        <v>0</v>
      </c>
      <c r="KE328" s="21">
        <f t="shared" si="1709"/>
        <v>0</v>
      </c>
      <c r="KF328" s="21">
        <f t="shared" si="1709"/>
        <v>0</v>
      </c>
      <c r="KG328" s="21">
        <f t="shared" si="1709"/>
        <v>0</v>
      </c>
      <c r="KH328" s="21">
        <f t="shared" si="1709"/>
        <v>0</v>
      </c>
      <c r="KI328" s="21">
        <f t="shared" si="1709"/>
        <v>0</v>
      </c>
      <c r="KJ328" s="21">
        <f t="shared" si="1709"/>
        <v>0</v>
      </c>
      <c r="KK328" s="21">
        <f t="shared" si="1709"/>
        <v>0</v>
      </c>
      <c r="KL328" s="21">
        <f t="shared" ref="KL328:KS328" si="1710">IF($F$290, 0, IF($G$297, IF(AND(COLUMN($KL$328)-COLUMN($IX$327)=$Q$291,ROW($KL$328)-ROW($IX$327)=$K$291), U$290, KL328), KL328))</f>
        <v>0</v>
      </c>
      <c r="KM328" s="21">
        <f t="shared" si="1710"/>
        <v>0</v>
      </c>
      <c r="KN328" s="21">
        <f t="shared" si="1710"/>
        <v>0</v>
      </c>
      <c r="KO328" s="21">
        <f t="shared" si="1710"/>
        <v>0</v>
      </c>
      <c r="KP328" s="21">
        <f t="shared" si="1710"/>
        <v>0</v>
      </c>
      <c r="KQ328" s="21">
        <f t="shared" si="1710"/>
        <v>0</v>
      </c>
      <c r="KR328" s="21">
        <f t="shared" si="1710"/>
        <v>0</v>
      </c>
      <c r="KS328" s="21">
        <f t="shared" si="1710"/>
        <v>0</v>
      </c>
      <c r="KT328" s="21">
        <f t="shared" ref="KT328:LA328" si="1711">IF($F$290, 0, IF($G$297, IF(AND(COLUMN($KT$328)-COLUMN($IX$327)=$Q$291,ROW($KT$328)-ROW($IX$327)=$K$291), U$290, KT328), KT328))</f>
        <v>0</v>
      </c>
      <c r="KU328" s="21">
        <f t="shared" si="1711"/>
        <v>0</v>
      </c>
      <c r="KV328" s="21">
        <f t="shared" si="1711"/>
        <v>0</v>
      </c>
      <c r="KW328" s="21">
        <f t="shared" si="1711"/>
        <v>0</v>
      </c>
      <c r="KX328" s="21">
        <f t="shared" si="1711"/>
        <v>0</v>
      </c>
      <c r="KY328" s="21">
        <f t="shared" si="1711"/>
        <v>0</v>
      </c>
      <c r="KZ328" s="21">
        <f t="shared" si="1711"/>
        <v>0</v>
      </c>
      <c r="LA328" s="21">
        <f t="shared" si="1711"/>
        <v>0</v>
      </c>
      <c r="LB328" s="21">
        <f t="shared" ref="LB328:LI328" si="1712">IF($F$290, 0, IF($G$297, IF(AND(COLUMN($LB$328)-COLUMN($IX$327)=$Q$291,ROW($LB$328)-ROW($IX$327)=$K$291), U$290, LB328), LB328))</f>
        <v>0</v>
      </c>
      <c r="LC328" s="21">
        <f t="shared" si="1712"/>
        <v>0</v>
      </c>
      <c r="LD328" s="21">
        <f t="shared" si="1712"/>
        <v>0</v>
      </c>
      <c r="LE328" s="21">
        <f t="shared" si="1712"/>
        <v>0</v>
      </c>
      <c r="LF328" s="21">
        <f t="shared" si="1712"/>
        <v>0</v>
      </c>
      <c r="LG328" s="21">
        <f t="shared" si="1712"/>
        <v>0</v>
      </c>
      <c r="LH328" s="21">
        <f t="shared" si="1712"/>
        <v>0</v>
      </c>
      <c r="LI328" s="21">
        <f t="shared" si="1712"/>
        <v>0</v>
      </c>
      <c r="LJ328" s="21">
        <f t="shared" ref="LJ328:LQ328" si="1713">IF($F$290, 0, IF($H$297, IF(AND(COLUMN($LJ$328)-COLUMN($LJ$327)=$Q$291,ROW($LJ$328)-ROW($LJ$327)=$K$291), U$290, LJ328), LJ328))</f>
        <v>0</v>
      </c>
      <c r="LK328" s="21">
        <f t="shared" si="1713"/>
        <v>0</v>
      </c>
      <c r="LL328" s="21">
        <f t="shared" si="1713"/>
        <v>0</v>
      </c>
      <c r="LM328" s="21">
        <f t="shared" si="1713"/>
        <v>0</v>
      </c>
      <c r="LN328" s="21">
        <f t="shared" si="1713"/>
        <v>0</v>
      </c>
      <c r="LO328" s="21">
        <f t="shared" si="1713"/>
        <v>0</v>
      </c>
      <c r="LP328" s="21">
        <f t="shared" si="1713"/>
        <v>0</v>
      </c>
      <c r="LQ328" s="21">
        <f t="shared" si="1713"/>
        <v>0</v>
      </c>
      <c r="LR328" s="21">
        <f t="shared" ref="LR328:LY328" si="1714">IF($F$290, 0, IF($H$297, IF(AND(COLUMN($LR$328)-COLUMN($LJ$327)=$Q$291,ROW($LR$328)-ROW($LJ$327)=$K$291), U$290, LR328), LR328))</f>
        <v>0</v>
      </c>
      <c r="LS328" s="21">
        <f t="shared" si="1714"/>
        <v>0</v>
      </c>
      <c r="LT328" s="21">
        <f t="shared" si="1714"/>
        <v>0</v>
      </c>
      <c r="LU328" s="21">
        <f t="shared" si="1714"/>
        <v>0</v>
      </c>
      <c r="LV328" s="21">
        <f t="shared" si="1714"/>
        <v>0</v>
      </c>
      <c r="LW328" s="21">
        <f t="shared" si="1714"/>
        <v>0</v>
      </c>
      <c r="LX328" s="21">
        <f t="shared" si="1714"/>
        <v>0</v>
      </c>
      <c r="LY328" s="21">
        <f t="shared" si="1714"/>
        <v>0</v>
      </c>
      <c r="LZ328" s="21">
        <f t="shared" ref="LZ328:MG328" si="1715">IF($F$290, 0, IF($H$297, IF(AND(COLUMN($LZ$328)-COLUMN($LJ$327)=$Q$291,ROW($LZ$328)-ROW($LJ$327)=$K$291), U$290, LZ328), LZ328))</f>
        <v>0</v>
      </c>
      <c r="MA328" s="21">
        <f t="shared" si="1715"/>
        <v>0</v>
      </c>
      <c r="MB328" s="21">
        <f t="shared" si="1715"/>
        <v>0</v>
      </c>
      <c r="MC328" s="21">
        <f t="shared" si="1715"/>
        <v>0</v>
      </c>
      <c r="MD328" s="21">
        <f t="shared" si="1715"/>
        <v>0</v>
      </c>
      <c r="ME328" s="21">
        <f t="shared" si="1715"/>
        <v>0</v>
      </c>
      <c r="MF328" s="21">
        <f t="shared" si="1715"/>
        <v>0</v>
      </c>
      <c r="MG328" s="21">
        <f t="shared" si="1715"/>
        <v>0</v>
      </c>
      <c r="MH328" s="21">
        <f t="shared" ref="MH328:MO328" si="1716">IF($F$290, 0, IF($H$297, IF(AND(COLUMN($MH$328)-COLUMN($LJ$327)=$Q$291,ROW($MH$328)-ROW($LJ$327)=$K$291), U$290, MH328), MH328))</f>
        <v>0</v>
      </c>
      <c r="MI328" s="21">
        <f t="shared" si="1716"/>
        <v>0</v>
      </c>
      <c r="MJ328" s="21">
        <f t="shared" si="1716"/>
        <v>0</v>
      </c>
      <c r="MK328" s="21">
        <f t="shared" si="1716"/>
        <v>0</v>
      </c>
      <c r="ML328" s="21">
        <f t="shared" si="1716"/>
        <v>0</v>
      </c>
      <c r="MM328" s="21">
        <f t="shared" si="1716"/>
        <v>0</v>
      </c>
      <c r="MN328" s="21">
        <f t="shared" si="1716"/>
        <v>0</v>
      </c>
      <c r="MO328" s="21">
        <f t="shared" si="1716"/>
        <v>0</v>
      </c>
      <c r="MP328" s="21">
        <f t="shared" ref="MP328:MW328" si="1717">IF($F$290, 0, IF($H$297, IF(AND(COLUMN($MP$328)-COLUMN($LJ$327)=$Q$291,ROW($MP$328)-ROW($LJ$327)=$K$291), U$290, MP328), MP328))</f>
        <v>0</v>
      </c>
      <c r="MQ328" s="21">
        <f t="shared" si="1717"/>
        <v>0</v>
      </c>
      <c r="MR328" s="21">
        <f t="shared" si="1717"/>
        <v>0</v>
      </c>
      <c r="MS328" s="21">
        <f t="shared" si="1717"/>
        <v>0</v>
      </c>
      <c r="MT328" s="21">
        <f t="shared" si="1717"/>
        <v>0</v>
      </c>
      <c r="MU328" s="21">
        <f t="shared" si="1717"/>
        <v>0</v>
      </c>
      <c r="MV328" s="21">
        <f t="shared" si="1717"/>
        <v>0</v>
      </c>
      <c r="MW328" s="21">
        <f t="shared" si="1717"/>
        <v>0</v>
      </c>
      <c r="MX328" s="21">
        <f t="shared" ref="MX328:NE328" si="1718">IF($F$290, 0, IF($H$297, IF(AND(COLUMN($MX$328)-COLUMN($LJ$327)=$Q$291,ROW($MX$328)-ROW($LJ$327)=$K$291), U$290, MX328), MX328))</f>
        <v>0</v>
      </c>
      <c r="MY328" s="21">
        <f t="shared" si="1718"/>
        <v>0</v>
      </c>
      <c r="MZ328" s="21">
        <f t="shared" si="1718"/>
        <v>0</v>
      </c>
      <c r="NA328" s="21">
        <f t="shared" si="1718"/>
        <v>0</v>
      </c>
      <c r="NB328" s="21">
        <f t="shared" si="1718"/>
        <v>0</v>
      </c>
      <c r="NC328" s="21">
        <f t="shared" si="1718"/>
        <v>0</v>
      </c>
      <c r="ND328" s="21">
        <f t="shared" si="1718"/>
        <v>0</v>
      </c>
      <c r="NE328" s="21">
        <f t="shared" si="1718"/>
        <v>0</v>
      </c>
      <c r="NF328" s="21">
        <f t="shared" ref="NF328:NM328" si="1719">IF($F$290, 0, IF($H$297, IF(AND(COLUMN($NF$328)-COLUMN($LJ$327)=$Q$291,ROW($NF$328)-ROW($LJ$327)=$K$291), U$290, NF328), NF328))</f>
        <v>0</v>
      </c>
      <c r="NG328" s="21">
        <f t="shared" si="1719"/>
        <v>0</v>
      </c>
      <c r="NH328" s="21">
        <f t="shared" si="1719"/>
        <v>0</v>
      </c>
      <c r="NI328" s="21">
        <f t="shared" si="1719"/>
        <v>0</v>
      </c>
      <c r="NJ328" s="21">
        <f t="shared" si="1719"/>
        <v>0</v>
      </c>
      <c r="NK328" s="21">
        <f t="shared" si="1719"/>
        <v>0</v>
      </c>
      <c r="NL328" s="21">
        <f t="shared" si="1719"/>
        <v>0</v>
      </c>
      <c r="NM328" s="21">
        <f t="shared" si="1719"/>
        <v>0</v>
      </c>
      <c r="NN328" s="21">
        <f t="shared" ref="NN328:NU328" si="1720">IF($F$290, 0, IF($H$297, IF(AND(COLUMN($NN$328)-COLUMN($LJ$327)=$Q$291,ROW($NN$328)-ROW($LJ$327)=$K$291), U$290, NN328), NN328))</f>
        <v>0</v>
      </c>
      <c r="NO328" s="21">
        <f t="shared" si="1720"/>
        <v>0</v>
      </c>
      <c r="NP328" s="21">
        <f t="shared" si="1720"/>
        <v>0</v>
      </c>
      <c r="NQ328" s="21">
        <f t="shared" si="1720"/>
        <v>0</v>
      </c>
      <c r="NR328" s="21">
        <f t="shared" si="1720"/>
        <v>0</v>
      </c>
      <c r="NS328" s="21">
        <f t="shared" si="1720"/>
        <v>0</v>
      </c>
      <c r="NT328" s="21">
        <f t="shared" si="1720"/>
        <v>0</v>
      </c>
      <c r="NU328" s="21">
        <f t="shared" si="1720"/>
        <v>0</v>
      </c>
      <c r="NV328" s="21">
        <f t="shared" ref="NV328:OC328" si="1721">IF($F$290, 0, IF($I$297, IF(AND(COLUMN($NV$328)-COLUMN($NV$327)=$Q$291,ROW($NV$328)-ROW($NV$327)=$K$291), U$290, NV328), NV328))</f>
        <v>0</v>
      </c>
      <c r="NW328" s="21">
        <f t="shared" si="1721"/>
        <v>0</v>
      </c>
      <c r="NX328" s="21">
        <f t="shared" si="1721"/>
        <v>0</v>
      </c>
      <c r="NY328" s="21">
        <f t="shared" si="1721"/>
        <v>0</v>
      </c>
      <c r="NZ328" s="21">
        <f t="shared" si="1721"/>
        <v>0</v>
      </c>
      <c r="OA328" s="21">
        <f t="shared" si="1721"/>
        <v>0</v>
      </c>
      <c r="OB328" s="21">
        <f t="shared" si="1721"/>
        <v>0</v>
      </c>
      <c r="OC328" s="21">
        <f t="shared" si="1721"/>
        <v>0</v>
      </c>
      <c r="OD328" s="21">
        <f t="shared" ref="OD328:OK328" si="1722">IF($F$290, 0, IF($I$297, IF(AND(COLUMN($OD$328)-COLUMN($NV$327)=$Q$291,ROW($OD$328)-ROW($NV$327)=$K$291), U$290, OD328), OD328))</f>
        <v>0</v>
      </c>
      <c r="OE328" s="21">
        <f t="shared" si="1722"/>
        <v>0</v>
      </c>
      <c r="OF328" s="21">
        <f t="shared" si="1722"/>
        <v>0</v>
      </c>
      <c r="OG328" s="21">
        <f t="shared" si="1722"/>
        <v>0</v>
      </c>
      <c r="OH328" s="21">
        <f t="shared" si="1722"/>
        <v>0</v>
      </c>
      <c r="OI328" s="21">
        <f t="shared" si="1722"/>
        <v>0</v>
      </c>
      <c r="OJ328" s="21">
        <f t="shared" si="1722"/>
        <v>0</v>
      </c>
      <c r="OK328" s="21">
        <f t="shared" si="1722"/>
        <v>0</v>
      </c>
      <c r="OL328" s="21">
        <f t="shared" ref="OL328:OS328" si="1723">IF($F$290, 0, IF($I$297, IF(AND(COLUMN($OL$328)-COLUMN($NV$327)=$Q$291,ROW($OL$328)-ROW($NV$327)=$K$291), U$290, OL328), OL328))</f>
        <v>0</v>
      </c>
      <c r="OM328" s="21">
        <f t="shared" si="1723"/>
        <v>0</v>
      </c>
      <c r="ON328" s="21">
        <f t="shared" si="1723"/>
        <v>0</v>
      </c>
      <c r="OO328" s="21">
        <f t="shared" si="1723"/>
        <v>0</v>
      </c>
      <c r="OP328" s="21">
        <f t="shared" si="1723"/>
        <v>0</v>
      </c>
      <c r="OQ328" s="21">
        <f t="shared" si="1723"/>
        <v>0</v>
      </c>
      <c r="OR328" s="21">
        <f t="shared" si="1723"/>
        <v>0</v>
      </c>
      <c r="OS328" s="21">
        <f t="shared" si="1723"/>
        <v>0</v>
      </c>
      <c r="OT328" s="21">
        <f t="shared" ref="OT328:PA328" si="1724">IF($F$290, 0, IF($I$297, IF(AND(COLUMN($OT$328)-COLUMN($NV$327)=$Q$291,ROW($OT$328)-ROW($NV$327)=$K$291), U$290, OT328), OT328))</f>
        <v>0</v>
      </c>
      <c r="OU328" s="21">
        <f t="shared" si="1724"/>
        <v>0</v>
      </c>
      <c r="OV328" s="21">
        <f t="shared" si="1724"/>
        <v>0</v>
      </c>
      <c r="OW328" s="21">
        <f t="shared" si="1724"/>
        <v>0</v>
      </c>
      <c r="OX328" s="21">
        <f t="shared" si="1724"/>
        <v>0</v>
      </c>
      <c r="OY328" s="21">
        <f t="shared" si="1724"/>
        <v>0</v>
      </c>
      <c r="OZ328" s="21">
        <f t="shared" si="1724"/>
        <v>0</v>
      </c>
      <c r="PA328" s="21">
        <f t="shared" si="1724"/>
        <v>0</v>
      </c>
      <c r="PB328" s="21">
        <f t="shared" ref="PB328:PI328" si="1725">IF($F$290, 0, IF($I$297, IF(AND(COLUMN($PB$328)-COLUMN($NV$327)=$Q$291,ROW($PB$328)-ROW($NV$327)=$K$291), U$290, PB328), PB328))</f>
        <v>0</v>
      </c>
      <c r="PC328" s="21">
        <f t="shared" si="1725"/>
        <v>0</v>
      </c>
      <c r="PD328" s="21">
        <f t="shared" si="1725"/>
        <v>0</v>
      </c>
      <c r="PE328" s="21">
        <f t="shared" si="1725"/>
        <v>0</v>
      </c>
      <c r="PF328" s="21">
        <f t="shared" si="1725"/>
        <v>0</v>
      </c>
      <c r="PG328" s="21">
        <f t="shared" si="1725"/>
        <v>0</v>
      </c>
      <c r="PH328" s="21">
        <f t="shared" si="1725"/>
        <v>0</v>
      </c>
      <c r="PI328" s="21">
        <f t="shared" si="1725"/>
        <v>0</v>
      </c>
      <c r="PJ328" s="21">
        <f t="shared" ref="PJ328:PQ328" si="1726">IF($F$290, 0, IF($I$297, IF(AND(COLUMN($PJ$328)-COLUMN($NV$327)=$Q$291,ROW($PJ$328)-ROW($NV$327)=$K$291), U$290, PJ328), PJ328))</f>
        <v>0</v>
      </c>
      <c r="PK328" s="21">
        <f t="shared" si="1726"/>
        <v>0</v>
      </c>
      <c r="PL328" s="21">
        <f t="shared" si="1726"/>
        <v>0</v>
      </c>
      <c r="PM328" s="21">
        <f t="shared" si="1726"/>
        <v>0</v>
      </c>
      <c r="PN328" s="21">
        <f t="shared" si="1726"/>
        <v>0</v>
      </c>
      <c r="PO328" s="21">
        <f t="shared" si="1726"/>
        <v>0</v>
      </c>
      <c r="PP328" s="21">
        <f t="shared" si="1726"/>
        <v>0</v>
      </c>
      <c r="PQ328" s="21">
        <f t="shared" si="1726"/>
        <v>0</v>
      </c>
      <c r="PR328" s="21">
        <f t="shared" ref="PR328:PY328" si="1727">IF($F$290, 0, IF($I$297, IF(AND(COLUMN($PR$328)-COLUMN($NV$327)=$Q$291,ROW($PR$328)-ROW($NV$327)=$K$291), U$290, PR328), PR328))</f>
        <v>0</v>
      </c>
      <c r="PS328" s="21">
        <f t="shared" si="1727"/>
        <v>0</v>
      </c>
      <c r="PT328" s="21">
        <f t="shared" si="1727"/>
        <v>0</v>
      </c>
      <c r="PU328" s="21">
        <f t="shared" si="1727"/>
        <v>0</v>
      </c>
      <c r="PV328" s="21">
        <f t="shared" si="1727"/>
        <v>0</v>
      </c>
      <c r="PW328" s="21">
        <f t="shared" si="1727"/>
        <v>0</v>
      </c>
      <c r="PX328" s="21">
        <f t="shared" si="1727"/>
        <v>0</v>
      </c>
      <c r="PY328" s="21">
        <f t="shared" si="1727"/>
        <v>0</v>
      </c>
      <c r="PZ328" s="21">
        <f t="shared" ref="PZ328:QG328" si="1728">IF($F$290, 0, IF($I$297, IF(AND(COLUMN($PZ$328)-COLUMN($NV$327)=$Q$291,ROW($PZ$328)-ROW($NV$327)=$K$291), U$290, PZ328), PZ328))</f>
        <v>0</v>
      </c>
      <c r="QA328" s="21">
        <f t="shared" si="1728"/>
        <v>0</v>
      </c>
      <c r="QB328" s="21">
        <f t="shared" si="1728"/>
        <v>0</v>
      </c>
      <c r="QC328" s="21">
        <f t="shared" si="1728"/>
        <v>0</v>
      </c>
      <c r="QD328" s="21">
        <f t="shared" si="1728"/>
        <v>0</v>
      </c>
      <c r="QE328" s="21">
        <f t="shared" si="1728"/>
        <v>0</v>
      </c>
      <c r="QF328" s="21">
        <f t="shared" si="1728"/>
        <v>0</v>
      </c>
      <c r="QG328" s="21">
        <f t="shared" si="1728"/>
        <v>0</v>
      </c>
      <c r="QH328" s="21">
        <f t="shared" ref="QH328:QO328" si="1729">IF($F$290, 0, IF($J$297, IF(AND(COLUMN($QH$328)-COLUMN($QH$327)=$Q$291,ROW($QH$328)-ROW($QH$327)=$K$291), U$290, QH328), QH328))</f>
        <v>0</v>
      </c>
      <c r="QI328" s="21">
        <f t="shared" si="1729"/>
        <v>0</v>
      </c>
      <c r="QJ328" s="21">
        <f t="shared" si="1729"/>
        <v>0</v>
      </c>
      <c r="QK328" s="21">
        <f t="shared" si="1729"/>
        <v>0</v>
      </c>
      <c r="QL328" s="21">
        <f t="shared" si="1729"/>
        <v>0</v>
      </c>
      <c r="QM328" s="21">
        <f t="shared" si="1729"/>
        <v>0</v>
      </c>
      <c r="QN328" s="21">
        <f t="shared" si="1729"/>
        <v>0</v>
      </c>
      <c r="QO328" s="21">
        <f t="shared" si="1729"/>
        <v>0</v>
      </c>
      <c r="QP328" s="21">
        <f t="shared" ref="QP328:QW328" si="1730">IF($F$290, 0, IF($J$297, IF(AND(COLUMN($QP$328)-COLUMN($QH$327)=$Q$291,ROW($QP$328)-ROW($QH$327)=$K$291), U$290, QP328), QP328))</f>
        <v>0</v>
      </c>
      <c r="QQ328" s="21">
        <f t="shared" si="1730"/>
        <v>0</v>
      </c>
      <c r="QR328" s="21">
        <f t="shared" si="1730"/>
        <v>0</v>
      </c>
      <c r="QS328" s="21">
        <f t="shared" si="1730"/>
        <v>0</v>
      </c>
      <c r="QT328" s="21">
        <f t="shared" si="1730"/>
        <v>0</v>
      </c>
      <c r="QU328" s="21">
        <f t="shared" si="1730"/>
        <v>0</v>
      </c>
      <c r="QV328" s="21">
        <f t="shared" si="1730"/>
        <v>0</v>
      </c>
      <c r="QW328" s="21">
        <f t="shared" si="1730"/>
        <v>0</v>
      </c>
      <c r="QX328" s="21">
        <f t="shared" ref="QX328:RE328" si="1731">IF($F$290, 0, IF($J$297, IF(AND(COLUMN($QX$328)-COLUMN($QH$327)=$Q$291,ROW($QX$328)-ROW($QH$327)=$K$291), U$290, QX328), QX328))</f>
        <v>0</v>
      </c>
      <c r="QY328" s="21">
        <f t="shared" si="1731"/>
        <v>0</v>
      </c>
      <c r="QZ328" s="21">
        <f t="shared" si="1731"/>
        <v>0</v>
      </c>
      <c r="RA328" s="21">
        <f t="shared" si="1731"/>
        <v>0</v>
      </c>
      <c r="RB328" s="21">
        <f t="shared" si="1731"/>
        <v>0</v>
      </c>
      <c r="RC328" s="21">
        <f t="shared" si="1731"/>
        <v>0</v>
      </c>
      <c r="RD328" s="21">
        <f t="shared" si="1731"/>
        <v>0</v>
      </c>
      <c r="RE328" s="21">
        <f t="shared" si="1731"/>
        <v>0</v>
      </c>
      <c r="RF328" s="21">
        <f t="shared" ref="RF328:RM328" si="1732">IF($F$290, 0, IF($J$297, IF(AND(COLUMN($RF$328)-COLUMN($QH$327)=$Q$291,ROW($RF$328)-ROW($QH$327)=$K$291), U$290, RF328), RF328))</f>
        <v>0</v>
      </c>
      <c r="RG328" s="21">
        <f t="shared" si="1732"/>
        <v>0</v>
      </c>
      <c r="RH328" s="21">
        <f t="shared" si="1732"/>
        <v>0</v>
      </c>
      <c r="RI328" s="21">
        <f t="shared" si="1732"/>
        <v>0</v>
      </c>
      <c r="RJ328" s="21">
        <f t="shared" si="1732"/>
        <v>0</v>
      </c>
      <c r="RK328" s="21">
        <f t="shared" si="1732"/>
        <v>0</v>
      </c>
      <c r="RL328" s="21">
        <f t="shared" si="1732"/>
        <v>0</v>
      </c>
      <c r="RM328" s="21">
        <f t="shared" si="1732"/>
        <v>0</v>
      </c>
      <c r="RN328" s="21">
        <f t="shared" ref="RN328:RU328" si="1733">IF($F$290, 0, IF($J$297, IF(AND(COLUMN($RN$328)-COLUMN($QH$327)=$Q$291,ROW($RN$328)-ROW($QH$327)=$K$291), U$290, RN328), RN328))</f>
        <v>0</v>
      </c>
      <c r="RO328" s="21">
        <f t="shared" si="1733"/>
        <v>0</v>
      </c>
      <c r="RP328" s="21">
        <f t="shared" si="1733"/>
        <v>0</v>
      </c>
      <c r="RQ328" s="21">
        <f t="shared" si="1733"/>
        <v>0</v>
      </c>
      <c r="RR328" s="21">
        <f t="shared" si="1733"/>
        <v>0</v>
      </c>
      <c r="RS328" s="21">
        <f t="shared" si="1733"/>
        <v>0</v>
      </c>
      <c r="RT328" s="21">
        <f t="shared" si="1733"/>
        <v>0</v>
      </c>
      <c r="RU328" s="21">
        <f t="shared" si="1733"/>
        <v>0</v>
      </c>
      <c r="RV328" s="21">
        <f t="shared" ref="RV328:SC328" si="1734">IF($F$290, 0, IF($J$297, IF(AND(COLUMN($RV$328)-COLUMN($QH$327)=$Q$291,ROW($RV$328)-ROW($QH$327)=$K$291), U$290, RV328), RV328))</f>
        <v>0</v>
      </c>
      <c r="RW328" s="21">
        <f t="shared" si="1734"/>
        <v>0</v>
      </c>
      <c r="RX328" s="21">
        <f t="shared" si="1734"/>
        <v>0</v>
      </c>
      <c r="RY328" s="21">
        <f t="shared" si="1734"/>
        <v>0</v>
      </c>
      <c r="RZ328" s="21">
        <f t="shared" si="1734"/>
        <v>0</v>
      </c>
      <c r="SA328" s="21">
        <f t="shared" si="1734"/>
        <v>0</v>
      </c>
      <c r="SB328" s="21">
        <f t="shared" si="1734"/>
        <v>0</v>
      </c>
      <c r="SC328" s="21">
        <f t="shared" si="1734"/>
        <v>0</v>
      </c>
      <c r="SD328" s="21">
        <f t="shared" ref="SD328:SK328" si="1735">IF($F$290, 0, IF($J$297, IF(AND(COLUMN($SD$328)-COLUMN($QH$327)=$Q$291,ROW($SD$328)-ROW($QH$327)=$K$291), U$290, SD328), SD328))</f>
        <v>0</v>
      </c>
      <c r="SE328" s="21">
        <f t="shared" si="1735"/>
        <v>0</v>
      </c>
      <c r="SF328" s="21">
        <f t="shared" si="1735"/>
        <v>0</v>
      </c>
      <c r="SG328" s="21">
        <f t="shared" si="1735"/>
        <v>0</v>
      </c>
      <c r="SH328" s="21">
        <f t="shared" si="1735"/>
        <v>0</v>
      </c>
      <c r="SI328" s="21">
        <f t="shared" si="1735"/>
        <v>0</v>
      </c>
      <c r="SJ328" s="21">
        <f t="shared" si="1735"/>
        <v>0</v>
      </c>
      <c r="SK328" s="21">
        <f t="shared" si="1735"/>
        <v>0</v>
      </c>
      <c r="SL328" s="21">
        <f t="shared" ref="SL328:SS328" si="1736">IF($F$290, 0, IF($J$297, IF(AND(COLUMN($SL$328)-COLUMN($QH$327)=$Q$291,ROW($SL$328)-ROW($QH$327)=$K$291), U$290, SL328), SL328))</f>
        <v>0</v>
      </c>
      <c r="SM328" s="21">
        <f t="shared" si="1736"/>
        <v>0</v>
      </c>
      <c r="SN328" s="21">
        <f t="shared" si="1736"/>
        <v>0</v>
      </c>
      <c r="SO328" s="21">
        <f t="shared" si="1736"/>
        <v>0</v>
      </c>
      <c r="SP328" s="21">
        <f t="shared" si="1736"/>
        <v>0</v>
      </c>
      <c r="SQ328" s="21">
        <f t="shared" si="1736"/>
        <v>0</v>
      </c>
      <c r="SR328" s="21">
        <f t="shared" si="1736"/>
        <v>0</v>
      </c>
      <c r="SS328" s="21">
        <f t="shared" si="1736"/>
        <v>0</v>
      </c>
    </row>
    <row r="329" spans="2:513" ht="15" customHeight="1" x14ac:dyDescent="0.25">
      <c r="B329" s="21">
        <f t="shared" ref="B329:I329" si="1737">IF($F$290, 0, IF($C$297, IF(AND(COLUMN($B$329)-COLUMN($B$327)=$Q$291,ROW($B$329)-ROW($B$327)=$K$291), U$290, B329), B329))</f>
        <v>0</v>
      </c>
      <c r="C329" s="21">
        <f t="shared" si="1737"/>
        <v>0</v>
      </c>
      <c r="D329" s="21">
        <f t="shared" si="1737"/>
        <v>0</v>
      </c>
      <c r="E329" s="21">
        <f t="shared" si="1737"/>
        <v>0</v>
      </c>
      <c r="F329" s="21">
        <f t="shared" si="1737"/>
        <v>0</v>
      </c>
      <c r="G329" s="21">
        <f t="shared" si="1737"/>
        <v>0</v>
      </c>
      <c r="H329" s="21">
        <f t="shared" si="1737"/>
        <v>0</v>
      </c>
      <c r="I329" s="21">
        <f t="shared" si="1737"/>
        <v>0</v>
      </c>
      <c r="J329" s="21">
        <f t="shared" ref="J329:Q329" si="1738">IF($F$290, 0, IF($C$297, IF(AND(COLUMN($J$329)-COLUMN($B$327)=$Q$291,ROW($J$329)-ROW($B$327)=$K$291), U$290, J329), J329))</f>
        <v>0</v>
      </c>
      <c r="K329" s="21">
        <f t="shared" si="1738"/>
        <v>0</v>
      </c>
      <c r="L329" s="21">
        <f t="shared" si="1738"/>
        <v>0</v>
      </c>
      <c r="M329" s="21">
        <f t="shared" si="1738"/>
        <v>0</v>
      </c>
      <c r="N329" s="21">
        <f t="shared" si="1738"/>
        <v>0</v>
      </c>
      <c r="O329" s="21">
        <f t="shared" si="1738"/>
        <v>0</v>
      </c>
      <c r="P329" s="21">
        <f t="shared" si="1738"/>
        <v>0</v>
      </c>
      <c r="Q329" s="21">
        <f t="shared" si="1738"/>
        <v>0</v>
      </c>
      <c r="R329" s="21">
        <f>IF($F$290, 0, IF($C$297, IF(AND(COLUMN($R$329)-COLUMN($B$327)=$Q$291,ROW($R$329)-ROW($B$327)=$K$291), U$290, R329), R329))</f>
        <v>0</v>
      </c>
      <c r="S329" s="21">
        <f t="shared" ref="S329:Y329" si="1739">IF($F$290, 0, IF($C$297, IF(AND(COLUMN($R$329)-COLUMN($B$327)=$Q$291,ROW($R$329)-ROW($B$327)=$K$291), V$290, S329), S329))</f>
        <v>0</v>
      </c>
      <c r="T329" s="21">
        <f t="shared" si="1739"/>
        <v>0</v>
      </c>
      <c r="U329" s="21">
        <f t="shared" si="1739"/>
        <v>0</v>
      </c>
      <c r="V329" s="21">
        <f t="shared" si="1739"/>
        <v>0</v>
      </c>
      <c r="W329" s="21">
        <f t="shared" si="1739"/>
        <v>0</v>
      </c>
      <c r="X329" s="21">
        <f t="shared" si="1739"/>
        <v>0</v>
      </c>
      <c r="Y329" s="21">
        <f t="shared" si="1739"/>
        <v>0</v>
      </c>
      <c r="Z329" s="21">
        <f t="shared" ref="Z329:AG329" si="1740">IF($F$290, 0, IF($C$297, IF(AND(COLUMN($Z$329)-COLUMN($B$327)=$Q$291,ROW($Z$329)-ROW($B$327)=$K$291), U$290, Z329), Z329))</f>
        <v>0</v>
      </c>
      <c r="AA329" s="21">
        <f t="shared" si="1740"/>
        <v>0</v>
      </c>
      <c r="AB329" s="21">
        <f t="shared" si="1740"/>
        <v>0</v>
      </c>
      <c r="AC329" s="21">
        <f t="shared" si="1740"/>
        <v>0</v>
      </c>
      <c r="AD329" s="21">
        <f t="shared" si="1740"/>
        <v>0</v>
      </c>
      <c r="AE329" s="21">
        <f t="shared" si="1740"/>
        <v>0</v>
      </c>
      <c r="AF329" s="21">
        <f t="shared" si="1740"/>
        <v>0</v>
      </c>
      <c r="AG329" s="21">
        <f t="shared" si="1740"/>
        <v>0</v>
      </c>
      <c r="AH329" s="21">
        <f t="shared" ref="AH329:AO329" si="1741">IF($F$290, 0, IF($C$297, IF(AND(COLUMN($AH$329)-COLUMN($B$327)=$Q$291,ROW($AH$329)-ROW($B$327)=$K$291), U$290, AH329), AH329))</f>
        <v>0</v>
      </c>
      <c r="AI329" s="21">
        <f t="shared" si="1741"/>
        <v>0</v>
      </c>
      <c r="AJ329" s="21">
        <f t="shared" si="1741"/>
        <v>0</v>
      </c>
      <c r="AK329" s="21">
        <f t="shared" si="1741"/>
        <v>0</v>
      </c>
      <c r="AL329" s="21">
        <f t="shared" si="1741"/>
        <v>0</v>
      </c>
      <c r="AM329" s="21">
        <f t="shared" si="1741"/>
        <v>0</v>
      </c>
      <c r="AN329" s="21">
        <f t="shared" si="1741"/>
        <v>0</v>
      </c>
      <c r="AO329" s="21">
        <f t="shared" si="1741"/>
        <v>0</v>
      </c>
      <c r="AP329" s="21">
        <f t="shared" ref="AP329:AW329" si="1742">IF($F$290, 0, IF($C$297, IF(AND(COLUMN($AP$329)-COLUMN($B$327)=$Q$291,ROW($AP$329)-ROW($B$327)=$K$291), U$290, AP329), AP329))</f>
        <v>0</v>
      </c>
      <c r="AQ329" s="21">
        <f t="shared" si="1742"/>
        <v>0</v>
      </c>
      <c r="AR329" s="21">
        <f t="shared" si="1742"/>
        <v>0</v>
      </c>
      <c r="AS329" s="21">
        <f t="shared" si="1742"/>
        <v>0</v>
      </c>
      <c r="AT329" s="21">
        <f t="shared" si="1742"/>
        <v>0</v>
      </c>
      <c r="AU329" s="21">
        <f t="shared" si="1742"/>
        <v>0</v>
      </c>
      <c r="AV329" s="21">
        <f t="shared" si="1742"/>
        <v>0</v>
      </c>
      <c r="AW329" s="21">
        <f t="shared" si="1742"/>
        <v>0</v>
      </c>
      <c r="AX329" s="21">
        <f t="shared" ref="AX329:BE329" si="1743">IF($F$290, 0, IF($C$297, IF(AND(COLUMN($AX$329)-COLUMN($B$327)=$Q$291,ROW($AX$329)-ROW($B$327)=$K$291), U$290, AX329), AX329))</f>
        <v>0</v>
      </c>
      <c r="AY329" s="21">
        <f t="shared" si="1743"/>
        <v>0</v>
      </c>
      <c r="AZ329" s="21">
        <f t="shared" si="1743"/>
        <v>0</v>
      </c>
      <c r="BA329" s="21">
        <f t="shared" si="1743"/>
        <v>0</v>
      </c>
      <c r="BB329" s="21">
        <f t="shared" si="1743"/>
        <v>0</v>
      </c>
      <c r="BC329" s="21">
        <f t="shared" si="1743"/>
        <v>0</v>
      </c>
      <c r="BD329" s="21">
        <f t="shared" si="1743"/>
        <v>0</v>
      </c>
      <c r="BE329" s="21">
        <f t="shared" si="1743"/>
        <v>0</v>
      </c>
      <c r="BF329" s="21">
        <f t="shared" ref="BF329:BM329" si="1744">IF($F$290, 0, IF($C$297, IF(AND(COLUMN($BF$329)-COLUMN($B$327)=$Q$291,ROW($BF$329)-ROW($B$327)=$K$291), U$290, BF329), BF329))</f>
        <v>0</v>
      </c>
      <c r="BG329" s="21">
        <f t="shared" si="1744"/>
        <v>0</v>
      </c>
      <c r="BH329" s="21">
        <f t="shared" si="1744"/>
        <v>0</v>
      </c>
      <c r="BI329" s="21">
        <f t="shared" si="1744"/>
        <v>0</v>
      </c>
      <c r="BJ329" s="21">
        <f t="shared" si="1744"/>
        <v>0</v>
      </c>
      <c r="BK329" s="21">
        <f t="shared" si="1744"/>
        <v>0</v>
      </c>
      <c r="BL329" s="21">
        <f t="shared" si="1744"/>
        <v>0</v>
      </c>
      <c r="BM329" s="21">
        <f t="shared" si="1744"/>
        <v>0</v>
      </c>
      <c r="BN329" s="21">
        <f t="shared" ref="BN329:BU329" si="1745">IF($F$290, 0, IF($D$297, IF(AND(COLUMN($BN$329)-COLUMN($BN$327)=$Q$291,ROW($BN$329)-ROW($BN$327)=$K$291), U$290, BN329), BN329))</f>
        <v>0</v>
      </c>
      <c r="BO329" s="21">
        <f t="shared" si="1745"/>
        <v>0</v>
      </c>
      <c r="BP329" s="21">
        <f t="shared" si="1745"/>
        <v>0</v>
      </c>
      <c r="BQ329" s="21">
        <f t="shared" si="1745"/>
        <v>0</v>
      </c>
      <c r="BR329" s="21">
        <f t="shared" si="1745"/>
        <v>0</v>
      </c>
      <c r="BS329" s="21">
        <f t="shared" si="1745"/>
        <v>0</v>
      </c>
      <c r="BT329" s="21">
        <f t="shared" si="1745"/>
        <v>0</v>
      </c>
      <c r="BU329" s="21">
        <f t="shared" si="1745"/>
        <v>0</v>
      </c>
      <c r="BV329" s="21">
        <f t="shared" ref="BV329:CC329" si="1746">IF($F$290, 0, IF($D$297, IF(AND(COLUMN($BV$329)-COLUMN($BN$327)=$Q$291,ROW($BV$329)-ROW($BN$327)=$K$291), U$290, BV329), BV329))</f>
        <v>0</v>
      </c>
      <c r="BW329" s="21">
        <f t="shared" si="1746"/>
        <v>0</v>
      </c>
      <c r="BX329" s="21">
        <f t="shared" si="1746"/>
        <v>0</v>
      </c>
      <c r="BY329" s="21">
        <f t="shared" si="1746"/>
        <v>0</v>
      </c>
      <c r="BZ329" s="21">
        <f t="shared" si="1746"/>
        <v>0</v>
      </c>
      <c r="CA329" s="21">
        <f t="shared" si="1746"/>
        <v>0</v>
      </c>
      <c r="CB329" s="21">
        <f t="shared" si="1746"/>
        <v>0</v>
      </c>
      <c r="CC329" s="21">
        <f t="shared" si="1746"/>
        <v>0</v>
      </c>
      <c r="CD329" s="21">
        <f t="shared" ref="CD329:CK329" si="1747">IF($F$290, 0, IF($D$297, IF(AND(COLUMN($CD$329)-COLUMN($BN$327)=$Q$291,ROW($CD$329)-ROW($BN$327)=$K$291), U$290, CD329), CD329))</f>
        <v>0</v>
      </c>
      <c r="CE329" s="21">
        <f t="shared" si="1747"/>
        <v>0</v>
      </c>
      <c r="CF329" s="21">
        <f t="shared" si="1747"/>
        <v>0</v>
      </c>
      <c r="CG329" s="21">
        <f t="shared" si="1747"/>
        <v>0</v>
      </c>
      <c r="CH329" s="21">
        <f t="shared" si="1747"/>
        <v>0</v>
      </c>
      <c r="CI329" s="21">
        <f t="shared" si="1747"/>
        <v>0</v>
      </c>
      <c r="CJ329" s="21">
        <f t="shared" si="1747"/>
        <v>0</v>
      </c>
      <c r="CK329" s="21">
        <f t="shared" si="1747"/>
        <v>0</v>
      </c>
      <c r="CL329" s="21">
        <f t="shared" ref="CL329:CS329" si="1748">IF($F$290, 0, IF($D$297, IF(AND(COLUMN($CL$329)-COLUMN($BN$327)=$Q$291,ROW($CL$329)-ROW($BN$327)=$K$291), U$290, CL329), CL329))</f>
        <v>0</v>
      </c>
      <c r="CM329" s="21">
        <f t="shared" si="1748"/>
        <v>0</v>
      </c>
      <c r="CN329" s="21">
        <f t="shared" si="1748"/>
        <v>0</v>
      </c>
      <c r="CO329" s="21">
        <f t="shared" si="1748"/>
        <v>0</v>
      </c>
      <c r="CP329" s="21">
        <f t="shared" si="1748"/>
        <v>0</v>
      </c>
      <c r="CQ329" s="21">
        <f t="shared" si="1748"/>
        <v>0</v>
      </c>
      <c r="CR329" s="21">
        <f t="shared" si="1748"/>
        <v>0</v>
      </c>
      <c r="CS329" s="21">
        <f t="shared" si="1748"/>
        <v>0</v>
      </c>
      <c r="CT329" s="21">
        <f t="shared" ref="CT329:DA329" si="1749">IF($F$290, 0, IF($D$297, IF(AND(COLUMN($CT$329)-COLUMN($BN$327)=$Q$291,ROW($CT$329)-ROW($BN$327)=$K$291), U$290, CT329), CT329))</f>
        <v>0</v>
      </c>
      <c r="CU329" s="21">
        <f t="shared" si="1749"/>
        <v>0</v>
      </c>
      <c r="CV329" s="21">
        <f t="shared" si="1749"/>
        <v>0</v>
      </c>
      <c r="CW329" s="21">
        <f t="shared" si="1749"/>
        <v>0</v>
      </c>
      <c r="CX329" s="21">
        <f t="shared" si="1749"/>
        <v>0</v>
      </c>
      <c r="CY329" s="21">
        <f t="shared" si="1749"/>
        <v>0</v>
      </c>
      <c r="CZ329" s="21">
        <f t="shared" si="1749"/>
        <v>0</v>
      </c>
      <c r="DA329" s="21">
        <f t="shared" si="1749"/>
        <v>0</v>
      </c>
      <c r="DB329" s="21">
        <f t="shared" ref="DB329:DI329" si="1750">IF($F$290, 0, IF($D$297, IF(AND(COLUMN($DB$329)-COLUMN($BN$327)=$Q$291,ROW($DB$329)-ROW($BN$327)=$K$291), U$290, DB329), DB329))</f>
        <v>0</v>
      </c>
      <c r="DC329" s="21">
        <f t="shared" si="1750"/>
        <v>0</v>
      </c>
      <c r="DD329" s="21">
        <f t="shared" si="1750"/>
        <v>0</v>
      </c>
      <c r="DE329" s="21">
        <f t="shared" si="1750"/>
        <v>0</v>
      </c>
      <c r="DF329" s="21">
        <f t="shared" si="1750"/>
        <v>0</v>
      </c>
      <c r="DG329" s="21">
        <f t="shared" si="1750"/>
        <v>0</v>
      </c>
      <c r="DH329" s="21">
        <f t="shared" si="1750"/>
        <v>0</v>
      </c>
      <c r="DI329" s="21">
        <f t="shared" si="1750"/>
        <v>0</v>
      </c>
      <c r="DJ329" s="21">
        <f t="shared" ref="DJ329:DQ329" si="1751">IF($F$290, 0, IF($D$297, IF(AND(COLUMN($DJ$329)-COLUMN($BN$327)=$Q$291,ROW($DJ$329)-ROW($BN$327)=$K$291), U$290, DJ329), DJ329))</f>
        <v>0</v>
      </c>
      <c r="DK329" s="21">
        <f t="shared" si="1751"/>
        <v>0</v>
      </c>
      <c r="DL329" s="21">
        <f t="shared" si="1751"/>
        <v>0</v>
      </c>
      <c r="DM329" s="21">
        <f t="shared" si="1751"/>
        <v>0</v>
      </c>
      <c r="DN329" s="21">
        <f t="shared" si="1751"/>
        <v>0</v>
      </c>
      <c r="DO329" s="21">
        <f t="shared" si="1751"/>
        <v>0</v>
      </c>
      <c r="DP329" s="21">
        <f t="shared" si="1751"/>
        <v>0</v>
      </c>
      <c r="DQ329" s="21">
        <f t="shared" si="1751"/>
        <v>0</v>
      </c>
      <c r="DR329" s="21">
        <f t="shared" ref="DR329:DY329" si="1752">IF($F$290, 0, IF($D$297, IF(AND(COLUMN($DR$329)-COLUMN($BN$327)=$Q$291,ROW($DR$329)-ROW($BN$327)=$K$291), U$290, DR329), DR329))</f>
        <v>0</v>
      </c>
      <c r="DS329" s="21">
        <f t="shared" si="1752"/>
        <v>0</v>
      </c>
      <c r="DT329" s="21">
        <f t="shared" si="1752"/>
        <v>0</v>
      </c>
      <c r="DU329" s="21">
        <f t="shared" si="1752"/>
        <v>0</v>
      </c>
      <c r="DV329" s="21">
        <f t="shared" si="1752"/>
        <v>0</v>
      </c>
      <c r="DW329" s="21">
        <f t="shared" si="1752"/>
        <v>0</v>
      </c>
      <c r="DX329" s="21">
        <f t="shared" si="1752"/>
        <v>0</v>
      </c>
      <c r="DY329" s="21">
        <f t="shared" si="1752"/>
        <v>0</v>
      </c>
      <c r="DZ329" s="21">
        <f t="shared" ref="DZ329:EG329" si="1753">IF($F$290, 0, IF($E$297, IF(AND(COLUMN($DZ$329)-COLUMN($DZ$327)=$Q$291,ROW($DZ$329)-ROW($DZ$327)=$K$291), U$290, DZ329), DZ329))</f>
        <v>0</v>
      </c>
      <c r="EA329" s="21">
        <f t="shared" si="1753"/>
        <v>0</v>
      </c>
      <c r="EB329" s="21">
        <f t="shared" si="1753"/>
        <v>0</v>
      </c>
      <c r="EC329" s="21">
        <f t="shared" si="1753"/>
        <v>0</v>
      </c>
      <c r="ED329" s="21">
        <f t="shared" si="1753"/>
        <v>0</v>
      </c>
      <c r="EE329" s="21">
        <f t="shared" si="1753"/>
        <v>0</v>
      </c>
      <c r="EF329" s="21">
        <f t="shared" si="1753"/>
        <v>0</v>
      </c>
      <c r="EG329" s="21">
        <f t="shared" si="1753"/>
        <v>0</v>
      </c>
      <c r="EH329" s="21">
        <f t="shared" ref="EH329:EO329" si="1754">IF($F$290, 0, IF($E$297, IF(AND(COLUMN($EH$329)-COLUMN($DZ$327)=$Q$291,ROW($EH$329)-ROW($DZ$327)=$K$291), U$290, EH329), EH329))</f>
        <v>0</v>
      </c>
      <c r="EI329" s="21">
        <f t="shared" si="1754"/>
        <v>0</v>
      </c>
      <c r="EJ329" s="21">
        <f t="shared" si="1754"/>
        <v>0</v>
      </c>
      <c r="EK329" s="21">
        <f t="shared" si="1754"/>
        <v>0</v>
      </c>
      <c r="EL329" s="21">
        <f t="shared" si="1754"/>
        <v>0</v>
      </c>
      <c r="EM329" s="21">
        <f t="shared" si="1754"/>
        <v>0</v>
      </c>
      <c r="EN329" s="21">
        <f t="shared" si="1754"/>
        <v>0</v>
      </c>
      <c r="EO329" s="21">
        <f t="shared" si="1754"/>
        <v>0</v>
      </c>
      <c r="EP329" s="21">
        <f t="shared" ref="EP329:EW329" si="1755">IF($F$290, 0, IF($E$297, IF(AND(COLUMN($EP$329)-COLUMN($DZ$327)=$Q$291,ROW($EP$329)-ROW($DZ$327)=$K$291), U$290, EP329), EP329))</f>
        <v>0</v>
      </c>
      <c r="EQ329" s="21">
        <f t="shared" si="1755"/>
        <v>0</v>
      </c>
      <c r="ER329" s="21">
        <f t="shared" si="1755"/>
        <v>0</v>
      </c>
      <c r="ES329" s="21">
        <f t="shared" si="1755"/>
        <v>0</v>
      </c>
      <c r="ET329" s="21">
        <f t="shared" si="1755"/>
        <v>0</v>
      </c>
      <c r="EU329" s="21">
        <f t="shared" si="1755"/>
        <v>0</v>
      </c>
      <c r="EV329" s="21">
        <f t="shared" si="1755"/>
        <v>0</v>
      </c>
      <c r="EW329" s="21">
        <f t="shared" si="1755"/>
        <v>0</v>
      </c>
      <c r="EX329" s="21">
        <f t="shared" ref="EX329:FE329" si="1756">IF($F$290, 0, IF($E$297, IF(AND(COLUMN($EX$329)-COLUMN($DZ$327)=$Q$291,ROW($EX$329)-ROW($DZ$327)=$K$291), U$290, EX329), EX329))</f>
        <v>0</v>
      </c>
      <c r="EY329" s="21">
        <f t="shared" si="1756"/>
        <v>0</v>
      </c>
      <c r="EZ329" s="21">
        <f t="shared" si="1756"/>
        <v>0</v>
      </c>
      <c r="FA329" s="21">
        <f t="shared" si="1756"/>
        <v>0</v>
      </c>
      <c r="FB329" s="21">
        <f t="shared" si="1756"/>
        <v>0</v>
      </c>
      <c r="FC329" s="21">
        <f t="shared" si="1756"/>
        <v>0</v>
      </c>
      <c r="FD329" s="21">
        <f t="shared" si="1756"/>
        <v>0</v>
      </c>
      <c r="FE329" s="21">
        <f t="shared" si="1756"/>
        <v>0</v>
      </c>
      <c r="FF329" s="21">
        <f t="shared" ref="FF329:FM329" si="1757">IF($F$290, 0, IF($E$297, IF(AND(COLUMN($FF$329)-COLUMN($DZ$327)=$Q$291,ROW($FF$329)-ROW($DZ$327)=$K$291), U$290, FF329), FF329))</f>
        <v>0</v>
      </c>
      <c r="FG329" s="21">
        <f t="shared" si="1757"/>
        <v>0</v>
      </c>
      <c r="FH329" s="21">
        <f t="shared" si="1757"/>
        <v>0</v>
      </c>
      <c r="FI329" s="21">
        <f t="shared" si="1757"/>
        <v>0</v>
      </c>
      <c r="FJ329" s="21">
        <f t="shared" si="1757"/>
        <v>0</v>
      </c>
      <c r="FK329" s="21">
        <f t="shared" si="1757"/>
        <v>0</v>
      </c>
      <c r="FL329" s="21">
        <f t="shared" si="1757"/>
        <v>0</v>
      </c>
      <c r="FM329" s="21">
        <f t="shared" si="1757"/>
        <v>0</v>
      </c>
      <c r="FN329" s="21">
        <f t="shared" ref="FN329:FU329" si="1758">IF($F$290, 0, IF($E$297, IF(AND(COLUMN($FN$329)-COLUMN($DZ$327)=$Q$291,ROW($FN$329)-ROW($DZ$327)=$K$291), U$290, FN329), FN329))</f>
        <v>0</v>
      </c>
      <c r="FO329" s="21">
        <f t="shared" si="1758"/>
        <v>0</v>
      </c>
      <c r="FP329" s="21">
        <f t="shared" si="1758"/>
        <v>0</v>
      </c>
      <c r="FQ329" s="21">
        <f t="shared" si="1758"/>
        <v>0</v>
      </c>
      <c r="FR329" s="21">
        <f t="shared" si="1758"/>
        <v>0</v>
      </c>
      <c r="FS329" s="21">
        <f t="shared" si="1758"/>
        <v>0</v>
      </c>
      <c r="FT329" s="21">
        <f t="shared" si="1758"/>
        <v>0</v>
      </c>
      <c r="FU329" s="21">
        <f t="shared" si="1758"/>
        <v>0</v>
      </c>
      <c r="FV329" s="21">
        <f t="shared" ref="FV329:GC329" si="1759">IF($F$290, 0, IF($E$297, IF(AND(COLUMN($FV$329)-COLUMN($DZ$327)=$Q$291,ROW($FV$329)-ROW($DZ$327)=$K$291), U$290, FV329), FV329))</f>
        <v>0</v>
      </c>
      <c r="FW329" s="21">
        <f t="shared" si="1759"/>
        <v>0</v>
      </c>
      <c r="FX329" s="21">
        <f t="shared" si="1759"/>
        <v>0</v>
      </c>
      <c r="FY329" s="21">
        <f t="shared" si="1759"/>
        <v>0</v>
      </c>
      <c r="FZ329" s="21">
        <f t="shared" si="1759"/>
        <v>0</v>
      </c>
      <c r="GA329" s="21">
        <f t="shared" si="1759"/>
        <v>0</v>
      </c>
      <c r="GB329" s="21">
        <f t="shared" si="1759"/>
        <v>0</v>
      </c>
      <c r="GC329" s="21">
        <f t="shared" si="1759"/>
        <v>0</v>
      </c>
      <c r="GD329" s="21">
        <f t="shared" ref="GD329:GK329" si="1760">IF($F$290, 0, IF($E$297, IF(AND(COLUMN($GD$329)-COLUMN($DZ$327)=$Q$291,ROW($GD$329)-ROW($DZ$327)=$K$291), U$290, GD329), GD329))</f>
        <v>0</v>
      </c>
      <c r="GE329" s="21">
        <f t="shared" si="1760"/>
        <v>0</v>
      </c>
      <c r="GF329" s="21">
        <f t="shared" si="1760"/>
        <v>0</v>
      </c>
      <c r="GG329" s="21">
        <f t="shared" si="1760"/>
        <v>0</v>
      </c>
      <c r="GH329" s="21">
        <f t="shared" si="1760"/>
        <v>0</v>
      </c>
      <c r="GI329" s="21">
        <f t="shared" si="1760"/>
        <v>0</v>
      </c>
      <c r="GJ329" s="21">
        <f t="shared" si="1760"/>
        <v>0</v>
      </c>
      <c r="GK329" s="21">
        <f t="shared" si="1760"/>
        <v>0</v>
      </c>
      <c r="GL329" s="21">
        <f t="shared" ref="GL329:GS329" si="1761">IF($F$290, 0, IF($F$297, IF(AND(COLUMN($GL$329)-COLUMN($GL$327)=$Q$291,ROW($GL$329)-ROW($GL$327)=$K$291), U$290, GL329), GL329))</f>
        <v>0</v>
      </c>
      <c r="GM329" s="21">
        <f t="shared" si="1761"/>
        <v>0</v>
      </c>
      <c r="GN329" s="21">
        <f t="shared" si="1761"/>
        <v>0</v>
      </c>
      <c r="GO329" s="21">
        <f t="shared" si="1761"/>
        <v>0</v>
      </c>
      <c r="GP329" s="21">
        <f t="shared" si="1761"/>
        <v>0</v>
      </c>
      <c r="GQ329" s="21">
        <f t="shared" si="1761"/>
        <v>0</v>
      </c>
      <c r="GR329" s="21">
        <f t="shared" si="1761"/>
        <v>0</v>
      </c>
      <c r="GS329" s="21">
        <f t="shared" si="1761"/>
        <v>0</v>
      </c>
      <c r="GT329" s="21">
        <f t="shared" ref="GT329:HA329" si="1762">IF($F$290, 0, IF($F$297, IF(AND(COLUMN($GT$329)-COLUMN($GL$327)=$Q$291,ROW($GT$329)-ROW($GL$327)=$K$291), U$290, GT329), GT329))</f>
        <v>0</v>
      </c>
      <c r="GU329" s="21">
        <f t="shared" si="1762"/>
        <v>0</v>
      </c>
      <c r="GV329" s="21">
        <f t="shared" si="1762"/>
        <v>0</v>
      </c>
      <c r="GW329" s="21">
        <f t="shared" si="1762"/>
        <v>0</v>
      </c>
      <c r="GX329" s="21">
        <f t="shared" si="1762"/>
        <v>0</v>
      </c>
      <c r="GY329" s="21">
        <f t="shared" si="1762"/>
        <v>0</v>
      </c>
      <c r="GZ329" s="21">
        <f t="shared" si="1762"/>
        <v>0</v>
      </c>
      <c r="HA329" s="21">
        <f t="shared" si="1762"/>
        <v>0</v>
      </c>
      <c r="HB329" s="21">
        <f t="shared" ref="HB329:HI329" si="1763">IF($F$290, 0, IF($F$297, IF(AND(COLUMN($HB$329)-COLUMN($GL$327)=$Q$291,ROW($HB$329)-ROW($GL$327)=$K$291), U$290, HB329), HB329))</f>
        <v>0</v>
      </c>
      <c r="HC329" s="21">
        <f t="shared" si="1763"/>
        <v>0</v>
      </c>
      <c r="HD329" s="21">
        <f t="shared" si="1763"/>
        <v>0</v>
      </c>
      <c r="HE329" s="21">
        <f t="shared" si="1763"/>
        <v>0</v>
      </c>
      <c r="HF329" s="21">
        <f t="shared" si="1763"/>
        <v>0</v>
      </c>
      <c r="HG329" s="21">
        <f t="shared" si="1763"/>
        <v>0</v>
      </c>
      <c r="HH329" s="21">
        <f t="shared" si="1763"/>
        <v>0</v>
      </c>
      <c r="HI329" s="21">
        <f t="shared" si="1763"/>
        <v>0</v>
      </c>
      <c r="HJ329" s="21">
        <f t="shared" ref="HJ329:HQ329" si="1764">IF($F$290, 0, IF($F$297, IF(AND(COLUMN($HJ$329)-COLUMN($GL$327)=$Q$291,ROW($HJ$329)-ROW($GL$327)=$K$291), U$290, HJ329), HJ329))</f>
        <v>0</v>
      </c>
      <c r="HK329" s="21">
        <f t="shared" si="1764"/>
        <v>0</v>
      </c>
      <c r="HL329" s="21">
        <f t="shared" si="1764"/>
        <v>0</v>
      </c>
      <c r="HM329" s="21">
        <f t="shared" si="1764"/>
        <v>0</v>
      </c>
      <c r="HN329" s="21">
        <f t="shared" si="1764"/>
        <v>0</v>
      </c>
      <c r="HO329" s="21">
        <f t="shared" si="1764"/>
        <v>0</v>
      </c>
      <c r="HP329" s="21">
        <f t="shared" si="1764"/>
        <v>0</v>
      </c>
      <c r="HQ329" s="21">
        <f t="shared" si="1764"/>
        <v>0</v>
      </c>
      <c r="HR329" s="21">
        <f t="shared" ref="HR329:HY329" si="1765">IF($F$290, 0, IF($F$297, IF(AND(COLUMN($HR$329)-COLUMN($GL$327)=$Q$291,ROW($HR$329)-ROW($GL$327)=$K$291), U$290, HR329), HR329))</f>
        <v>0</v>
      </c>
      <c r="HS329" s="21">
        <f t="shared" si="1765"/>
        <v>0</v>
      </c>
      <c r="HT329" s="21">
        <f t="shared" si="1765"/>
        <v>0</v>
      </c>
      <c r="HU329" s="21">
        <f t="shared" si="1765"/>
        <v>0</v>
      </c>
      <c r="HV329" s="21">
        <f t="shared" si="1765"/>
        <v>0</v>
      </c>
      <c r="HW329" s="21">
        <f t="shared" si="1765"/>
        <v>0</v>
      </c>
      <c r="HX329" s="21">
        <f t="shared" si="1765"/>
        <v>0</v>
      </c>
      <c r="HY329" s="21">
        <f t="shared" si="1765"/>
        <v>0</v>
      </c>
      <c r="HZ329" s="21">
        <f t="shared" ref="HZ329:IG329" si="1766">IF($F$290, 0, IF($F$297, IF(AND(COLUMN($HZ$329)-COLUMN($GL$327)=$Q$291,ROW($HZ$329)-ROW($GL$327)=$K$291), U$290, HZ329), HZ329))</f>
        <v>0</v>
      </c>
      <c r="IA329" s="21">
        <f t="shared" si="1766"/>
        <v>0</v>
      </c>
      <c r="IB329" s="21">
        <f t="shared" si="1766"/>
        <v>0</v>
      </c>
      <c r="IC329" s="21">
        <f t="shared" si="1766"/>
        <v>0</v>
      </c>
      <c r="ID329" s="21">
        <f t="shared" si="1766"/>
        <v>0</v>
      </c>
      <c r="IE329" s="21">
        <f t="shared" si="1766"/>
        <v>0</v>
      </c>
      <c r="IF329" s="21">
        <f t="shared" si="1766"/>
        <v>0</v>
      </c>
      <c r="IG329" s="21">
        <f t="shared" si="1766"/>
        <v>0</v>
      </c>
      <c r="IH329" s="21">
        <f t="shared" ref="IH329:IO329" si="1767">IF($F$290, 0, IF($F$297, IF(AND(COLUMN($IH$329)-COLUMN($GL$327)=$Q$291,ROW($IH$329)-ROW($GL$327)=$K$291), U$290, IH329), IH329))</f>
        <v>0</v>
      </c>
      <c r="II329" s="21">
        <f t="shared" si="1767"/>
        <v>0</v>
      </c>
      <c r="IJ329" s="21">
        <f t="shared" si="1767"/>
        <v>0</v>
      </c>
      <c r="IK329" s="21">
        <f t="shared" si="1767"/>
        <v>0</v>
      </c>
      <c r="IL329" s="21">
        <f t="shared" si="1767"/>
        <v>0</v>
      </c>
      <c r="IM329" s="21">
        <f t="shared" si="1767"/>
        <v>0</v>
      </c>
      <c r="IN329" s="21">
        <f t="shared" si="1767"/>
        <v>0</v>
      </c>
      <c r="IO329" s="21">
        <f t="shared" si="1767"/>
        <v>0</v>
      </c>
      <c r="IP329" s="21">
        <f t="shared" ref="IP329:IW329" si="1768">IF($F$290, 0, IF($F$297, IF(AND(COLUMN($IP$329)-COLUMN($GL$327)=$Q$291,ROW($IP$329)-ROW($GL$327)=$K$291), U$290, IP329), IP329))</f>
        <v>0</v>
      </c>
      <c r="IQ329" s="21">
        <f t="shared" si="1768"/>
        <v>0</v>
      </c>
      <c r="IR329" s="21">
        <f t="shared" si="1768"/>
        <v>0</v>
      </c>
      <c r="IS329" s="21">
        <f t="shared" si="1768"/>
        <v>0</v>
      </c>
      <c r="IT329" s="21">
        <f t="shared" si="1768"/>
        <v>0</v>
      </c>
      <c r="IU329" s="21">
        <f t="shared" si="1768"/>
        <v>0</v>
      </c>
      <c r="IV329" s="21">
        <f t="shared" si="1768"/>
        <v>0</v>
      </c>
      <c r="IW329" s="21">
        <f t="shared" si="1768"/>
        <v>0</v>
      </c>
      <c r="IX329" s="21">
        <f t="shared" ref="IX329:JE329" si="1769">IF($F$290, 0, IF($G$297, IF(AND(COLUMN($IX$329)-COLUMN($IX$327)=$Q$291,ROW($IX$329)-ROW($IX$327)=$K$291), U$290, IX329), IX329))</f>
        <v>0</v>
      </c>
      <c r="IY329" s="21">
        <f t="shared" si="1769"/>
        <v>0</v>
      </c>
      <c r="IZ329" s="21">
        <f t="shared" si="1769"/>
        <v>0</v>
      </c>
      <c r="JA329" s="21">
        <f t="shared" si="1769"/>
        <v>0</v>
      </c>
      <c r="JB329" s="21">
        <f t="shared" si="1769"/>
        <v>0</v>
      </c>
      <c r="JC329" s="21">
        <f t="shared" si="1769"/>
        <v>0</v>
      </c>
      <c r="JD329" s="21">
        <f t="shared" si="1769"/>
        <v>0</v>
      </c>
      <c r="JE329" s="21">
        <f t="shared" si="1769"/>
        <v>0</v>
      </c>
      <c r="JF329" s="21">
        <f t="shared" ref="JF329:JM329" si="1770">IF($F$290, 0, IF($G$297, IF(AND(COLUMN($JF$329)-COLUMN($IX$327)=$Q$291,ROW($JF$329)-ROW($IX$327)=$K$291), U$290, JF329), JF329))</f>
        <v>0</v>
      </c>
      <c r="JG329" s="21">
        <f t="shared" si="1770"/>
        <v>0</v>
      </c>
      <c r="JH329" s="21">
        <f t="shared" si="1770"/>
        <v>0</v>
      </c>
      <c r="JI329" s="21">
        <f t="shared" si="1770"/>
        <v>0</v>
      </c>
      <c r="JJ329" s="21">
        <f t="shared" si="1770"/>
        <v>0</v>
      </c>
      <c r="JK329" s="21">
        <f t="shared" si="1770"/>
        <v>0</v>
      </c>
      <c r="JL329" s="21">
        <f t="shared" si="1770"/>
        <v>0</v>
      </c>
      <c r="JM329" s="21">
        <f t="shared" si="1770"/>
        <v>0</v>
      </c>
      <c r="JN329" s="21">
        <f t="shared" ref="JN329:JU329" si="1771">IF($F$290, 0, IF($G$297, IF(AND(COLUMN($JN$329)-COLUMN($IX$327)=$Q$291,ROW($JN$329)-ROW($IX$327)=$K$291), U$290, JN329), JN329))</f>
        <v>0</v>
      </c>
      <c r="JO329" s="21">
        <f t="shared" si="1771"/>
        <v>0</v>
      </c>
      <c r="JP329" s="21">
        <f t="shared" si="1771"/>
        <v>0</v>
      </c>
      <c r="JQ329" s="21">
        <f t="shared" si="1771"/>
        <v>0</v>
      </c>
      <c r="JR329" s="21">
        <f t="shared" si="1771"/>
        <v>0</v>
      </c>
      <c r="JS329" s="21">
        <f t="shared" si="1771"/>
        <v>0</v>
      </c>
      <c r="JT329" s="21">
        <f t="shared" si="1771"/>
        <v>0</v>
      </c>
      <c r="JU329" s="21">
        <f t="shared" si="1771"/>
        <v>0</v>
      </c>
      <c r="JV329" s="21">
        <f t="shared" ref="JV329:KC329" si="1772">IF($F$290, 0, IF($G$297, IF(AND(COLUMN($JV$329)-COLUMN($IX$327)=$Q$291,ROW($JV$329)-ROW($IX$327)=$K$291), U$290, JV329), JV329))</f>
        <v>0</v>
      </c>
      <c r="JW329" s="21">
        <f t="shared" si="1772"/>
        <v>0</v>
      </c>
      <c r="JX329" s="21">
        <f t="shared" si="1772"/>
        <v>0</v>
      </c>
      <c r="JY329" s="21">
        <f t="shared" si="1772"/>
        <v>0</v>
      </c>
      <c r="JZ329" s="21">
        <f t="shared" si="1772"/>
        <v>0</v>
      </c>
      <c r="KA329" s="21">
        <f t="shared" si="1772"/>
        <v>0</v>
      </c>
      <c r="KB329" s="21">
        <f t="shared" si="1772"/>
        <v>0</v>
      </c>
      <c r="KC329" s="21">
        <f t="shared" si="1772"/>
        <v>0</v>
      </c>
      <c r="KD329" s="21">
        <f t="shared" ref="KD329:KK329" si="1773">IF($F$290, 0, IF($G$297, IF(AND(COLUMN($KD$329)-COLUMN($IX$327)=$Q$291,ROW($KD$329)-ROW($IX$327)=$K$291), U$290, KD329), KD329))</f>
        <v>0</v>
      </c>
      <c r="KE329" s="21">
        <f t="shared" si="1773"/>
        <v>0</v>
      </c>
      <c r="KF329" s="21">
        <f t="shared" si="1773"/>
        <v>0</v>
      </c>
      <c r="KG329" s="21">
        <f t="shared" si="1773"/>
        <v>0</v>
      </c>
      <c r="KH329" s="21">
        <f t="shared" si="1773"/>
        <v>0</v>
      </c>
      <c r="KI329" s="21">
        <f t="shared" si="1773"/>
        <v>0</v>
      </c>
      <c r="KJ329" s="21">
        <f t="shared" si="1773"/>
        <v>0</v>
      </c>
      <c r="KK329" s="21">
        <f t="shared" si="1773"/>
        <v>0</v>
      </c>
      <c r="KL329" s="21">
        <f t="shared" ref="KL329:KS329" si="1774">IF($F$290, 0, IF($G$297, IF(AND(COLUMN($KL$329)-COLUMN($IX$327)=$Q$291,ROW($KL$329)-ROW($IX$327)=$K$291), U$290, KL329), KL329))</f>
        <v>0</v>
      </c>
      <c r="KM329" s="21">
        <f t="shared" si="1774"/>
        <v>0</v>
      </c>
      <c r="KN329" s="21">
        <f t="shared" si="1774"/>
        <v>0</v>
      </c>
      <c r="KO329" s="21">
        <f t="shared" si="1774"/>
        <v>0</v>
      </c>
      <c r="KP329" s="21">
        <f t="shared" si="1774"/>
        <v>0</v>
      </c>
      <c r="KQ329" s="21">
        <f t="shared" si="1774"/>
        <v>0</v>
      </c>
      <c r="KR329" s="21">
        <f t="shared" si="1774"/>
        <v>0</v>
      </c>
      <c r="KS329" s="21">
        <f t="shared" si="1774"/>
        <v>0</v>
      </c>
      <c r="KT329" s="21">
        <f t="shared" ref="KT329:LA329" si="1775">IF($F$290, 0, IF($G$297, IF(AND(COLUMN($KT$329)-COLUMN($IX$327)=$Q$291,ROW($KT$329)-ROW($IX$327)=$K$291), U$290, KT329), KT329))</f>
        <v>0</v>
      </c>
      <c r="KU329" s="21">
        <f t="shared" si="1775"/>
        <v>0</v>
      </c>
      <c r="KV329" s="21">
        <f t="shared" si="1775"/>
        <v>0</v>
      </c>
      <c r="KW329" s="21">
        <f t="shared" si="1775"/>
        <v>0</v>
      </c>
      <c r="KX329" s="21">
        <f t="shared" si="1775"/>
        <v>0</v>
      </c>
      <c r="KY329" s="21">
        <f t="shared" si="1775"/>
        <v>0</v>
      </c>
      <c r="KZ329" s="21">
        <f t="shared" si="1775"/>
        <v>0</v>
      </c>
      <c r="LA329" s="21">
        <f t="shared" si="1775"/>
        <v>0</v>
      </c>
      <c r="LB329" s="21">
        <f t="shared" ref="LB329:LI329" si="1776">IF($F$290, 0, IF($G$297, IF(AND(COLUMN($LB$329)-COLUMN($IX$327)=$Q$291,ROW($LB$329)-ROW($IX$327)=$K$291), U$290, LB329), LB329))</f>
        <v>0</v>
      </c>
      <c r="LC329" s="21">
        <f t="shared" si="1776"/>
        <v>0</v>
      </c>
      <c r="LD329" s="21">
        <f t="shared" si="1776"/>
        <v>0</v>
      </c>
      <c r="LE329" s="21">
        <f t="shared" si="1776"/>
        <v>0</v>
      </c>
      <c r="LF329" s="21">
        <f t="shared" si="1776"/>
        <v>0</v>
      </c>
      <c r="LG329" s="21">
        <f t="shared" si="1776"/>
        <v>0</v>
      </c>
      <c r="LH329" s="21">
        <f t="shared" si="1776"/>
        <v>0</v>
      </c>
      <c r="LI329" s="21">
        <f t="shared" si="1776"/>
        <v>0</v>
      </c>
      <c r="LJ329" s="21">
        <f t="shared" ref="LJ329:LQ329" si="1777">IF($F$290, 0, IF($H$297, IF(AND(COLUMN($LJ$329)-COLUMN($LJ$327)=$Q$291,ROW($LJ$329)-ROW($LJ$327)=$K$291), U$290, LJ329), LJ329))</f>
        <v>0</v>
      </c>
      <c r="LK329" s="21">
        <f t="shared" si="1777"/>
        <v>0</v>
      </c>
      <c r="LL329" s="21">
        <f t="shared" si="1777"/>
        <v>0</v>
      </c>
      <c r="LM329" s="21">
        <f t="shared" si="1777"/>
        <v>0</v>
      </c>
      <c r="LN329" s="21">
        <f t="shared" si="1777"/>
        <v>0</v>
      </c>
      <c r="LO329" s="21">
        <f t="shared" si="1777"/>
        <v>0</v>
      </c>
      <c r="LP329" s="21">
        <f t="shared" si="1777"/>
        <v>0</v>
      </c>
      <c r="LQ329" s="21">
        <f t="shared" si="1777"/>
        <v>0</v>
      </c>
      <c r="LR329" s="21">
        <f t="shared" ref="LR329:LY329" si="1778">IF($F$290, 0, IF($H$297, IF(AND(COLUMN($LR$329)-COLUMN($LJ$327)=$Q$291,ROW($LR$329)-ROW($LJ$327)=$K$291), U$290, LR329), LR329))</f>
        <v>0</v>
      </c>
      <c r="LS329" s="21">
        <f t="shared" si="1778"/>
        <v>0</v>
      </c>
      <c r="LT329" s="21">
        <f t="shared" si="1778"/>
        <v>0</v>
      </c>
      <c r="LU329" s="21">
        <f t="shared" si="1778"/>
        <v>0</v>
      </c>
      <c r="LV329" s="21">
        <f t="shared" si="1778"/>
        <v>0</v>
      </c>
      <c r="LW329" s="21">
        <f t="shared" si="1778"/>
        <v>0</v>
      </c>
      <c r="LX329" s="21">
        <f t="shared" si="1778"/>
        <v>0</v>
      </c>
      <c r="LY329" s="21">
        <f t="shared" si="1778"/>
        <v>0</v>
      </c>
      <c r="LZ329" s="21">
        <f t="shared" ref="LZ329:MG329" si="1779">IF($F$290, 0, IF($H$297, IF(AND(COLUMN($LZ$329)-COLUMN($LJ$327)=$Q$291,ROW($LZ$329)-ROW($LJ$327)=$K$291), U$290, LZ329), LZ329))</f>
        <v>0</v>
      </c>
      <c r="MA329" s="21">
        <f t="shared" si="1779"/>
        <v>0</v>
      </c>
      <c r="MB329" s="21">
        <f t="shared" si="1779"/>
        <v>0</v>
      </c>
      <c r="MC329" s="21">
        <f t="shared" si="1779"/>
        <v>0</v>
      </c>
      <c r="MD329" s="21">
        <f t="shared" si="1779"/>
        <v>0</v>
      </c>
      <c r="ME329" s="21">
        <f t="shared" si="1779"/>
        <v>0</v>
      </c>
      <c r="MF329" s="21">
        <f t="shared" si="1779"/>
        <v>0</v>
      </c>
      <c r="MG329" s="21">
        <f t="shared" si="1779"/>
        <v>0</v>
      </c>
      <c r="MH329" s="21">
        <f t="shared" ref="MH329:MO329" si="1780">IF($F$290, 0, IF($H$297, IF(AND(COLUMN($MH$329)-COLUMN($LJ$327)=$Q$291,ROW($MH$329)-ROW($LJ$327)=$K$291), U$290, MH329), MH329))</f>
        <v>0</v>
      </c>
      <c r="MI329" s="21">
        <f t="shared" si="1780"/>
        <v>0</v>
      </c>
      <c r="MJ329" s="21">
        <f t="shared" si="1780"/>
        <v>0</v>
      </c>
      <c r="MK329" s="21">
        <f t="shared" si="1780"/>
        <v>0</v>
      </c>
      <c r="ML329" s="21">
        <f t="shared" si="1780"/>
        <v>0</v>
      </c>
      <c r="MM329" s="21">
        <f t="shared" si="1780"/>
        <v>0</v>
      </c>
      <c r="MN329" s="21">
        <f t="shared" si="1780"/>
        <v>0</v>
      </c>
      <c r="MO329" s="21">
        <f t="shared" si="1780"/>
        <v>0</v>
      </c>
      <c r="MP329" s="21">
        <f t="shared" ref="MP329:MW329" si="1781">IF($F$290, 0, IF($H$297, IF(AND(COLUMN($MP$329)-COLUMN($LJ$327)=$Q$291,ROW($MP$329)-ROW($LJ$327)=$K$291), U$290, MP329), MP329))</f>
        <v>0</v>
      </c>
      <c r="MQ329" s="21">
        <f t="shared" si="1781"/>
        <v>0</v>
      </c>
      <c r="MR329" s="21">
        <f t="shared" si="1781"/>
        <v>0</v>
      </c>
      <c r="MS329" s="21">
        <f t="shared" si="1781"/>
        <v>0</v>
      </c>
      <c r="MT329" s="21">
        <f t="shared" si="1781"/>
        <v>0</v>
      </c>
      <c r="MU329" s="21">
        <f t="shared" si="1781"/>
        <v>0</v>
      </c>
      <c r="MV329" s="21">
        <f t="shared" si="1781"/>
        <v>0</v>
      </c>
      <c r="MW329" s="21">
        <f t="shared" si="1781"/>
        <v>0</v>
      </c>
      <c r="MX329" s="21">
        <f t="shared" ref="MX329:NE329" si="1782">IF($F$290, 0, IF($H$297, IF(AND(COLUMN($MX$329)-COLUMN($LJ$327)=$Q$291,ROW($MX$329)-ROW($LJ$327)=$K$291), U$290, MX329), MX329))</f>
        <v>0</v>
      </c>
      <c r="MY329" s="21">
        <f t="shared" si="1782"/>
        <v>0</v>
      </c>
      <c r="MZ329" s="21">
        <f t="shared" si="1782"/>
        <v>0</v>
      </c>
      <c r="NA329" s="21">
        <f t="shared" si="1782"/>
        <v>0</v>
      </c>
      <c r="NB329" s="21">
        <f t="shared" si="1782"/>
        <v>0</v>
      </c>
      <c r="NC329" s="21">
        <f t="shared" si="1782"/>
        <v>0</v>
      </c>
      <c r="ND329" s="21">
        <f t="shared" si="1782"/>
        <v>0</v>
      </c>
      <c r="NE329" s="21">
        <f t="shared" si="1782"/>
        <v>0</v>
      </c>
      <c r="NF329" s="21">
        <f t="shared" ref="NF329:NM329" si="1783">IF($F$290, 0, IF($H$297, IF(AND(COLUMN($NF$329)-COLUMN($LJ$327)=$Q$291,ROW($NF$329)-ROW($LJ$327)=$K$291), U$290, NF329), NF329))</f>
        <v>0</v>
      </c>
      <c r="NG329" s="21">
        <f t="shared" si="1783"/>
        <v>0</v>
      </c>
      <c r="NH329" s="21">
        <f t="shared" si="1783"/>
        <v>0</v>
      </c>
      <c r="NI329" s="21">
        <f t="shared" si="1783"/>
        <v>0</v>
      </c>
      <c r="NJ329" s="21">
        <f t="shared" si="1783"/>
        <v>0</v>
      </c>
      <c r="NK329" s="21">
        <f t="shared" si="1783"/>
        <v>0</v>
      </c>
      <c r="NL329" s="21">
        <f t="shared" si="1783"/>
        <v>0</v>
      </c>
      <c r="NM329" s="21">
        <f t="shared" si="1783"/>
        <v>0</v>
      </c>
      <c r="NN329" s="21">
        <f t="shared" ref="NN329:NU329" si="1784">IF($F$290, 0, IF($H$297, IF(AND(COLUMN($NN$329)-COLUMN($LJ$327)=$Q$291,ROW($NN$329)-ROW($LJ$327)=$K$291), U$290, NN329), NN329))</f>
        <v>0</v>
      </c>
      <c r="NO329" s="21">
        <f t="shared" si="1784"/>
        <v>0</v>
      </c>
      <c r="NP329" s="21">
        <f t="shared" si="1784"/>
        <v>0</v>
      </c>
      <c r="NQ329" s="21">
        <f t="shared" si="1784"/>
        <v>0</v>
      </c>
      <c r="NR329" s="21">
        <f t="shared" si="1784"/>
        <v>0</v>
      </c>
      <c r="NS329" s="21">
        <f t="shared" si="1784"/>
        <v>0</v>
      </c>
      <c r="NT329" s="21">
        <f t="shared" si="1784"/>
        <v>0</v>
      </c>
      <c r="NU329" s="21">
        <f t="shared" si="1784"/>
        <v>0</v>
      </c>
      <c r="NV329" s="21">
        <f t="shared" ref="NV329:OC329" si="1785">IF($F$290, 0, IF($I$297, IF(AND(COLUMN($NV$329)-COLUMN($NV$327)=$Q$291,ROW($NV$329)-ROW($NV$327)=$K$291), U$290, NV329), NV329))</f>
        <v>0</v>
      </c>
      <c r="NW329" s="21">
        <f t="shared" si="1785"/>
        <v>0</v>
      </c>
      <c r="NX329" s="21">
        <f t="shared" si="1785"/>
        <v>0</v>
      </c>
      <c r="NY329" s="21">
        <f t="shared" si="1785"/>
        <v>0</v>
      </c>
      <c r="NZ329" s="21">
        <f t="shared" si="1785"/>
        <v>0</v>
      </c>
      <c r="OA329" s="21">
        <f t="shared" si="1785"/>
        <v>0</v>
      </c>
      <c r="OB329" s="21">
        <f t="shared" si="1785"/>
        <v>0</v>
      </c>
      <c r="OC329" s="21">
        <f t="shared" si="1785"/>
        <v>0</v>
      </c>
      <c r="OD329" s="21">
        <f t="shared" ref="OD329:OK329" si="1786">IF($F$290, 0, IF($I$297, IF(AND(COLUMN($OD$329)-COLUMN($NV$327)=$Q$291,ROW($OD$329)-ROW($NV$327)=$K$291), U$290, OD329), OD329))</f>
        <v>0</v>
      </c>
      <c r="OE329" s="21">
        <f t="shared" si="1786"/>
        <v>0</v>
      </c>
      <c r="OF329" s="21">
        <f t="shared" si="1786"/>
        <v>0</v>
      </c>
      <c r="OG329" s="21">
        <f t="shared" si="1786"/>
        <v>0</v>
      </c>
      <c r="OH329" s="21">
        <f t="shared" si="1786"/>
        <v>0</v>
      </c>
      <c r="OI329" s="21">
        <f t="shared" si="1786"/>
        <v>0</v>
      </c>
      <c r="OJ329" s="21">
        <f t="shared" si="1786"/>
        <v>0</v>
      </c>
      <c r="OK329" s="21">
        <f t="shared" si="1786"/>
        <v>0</v>
      </c>
      <c r="OL329" s="21">
        <f t="shared" ref="OL329:OS329" si="1787">IF($F$290, 0, IF($I$297, IF(AND(COLUMN($OL$329)-COLUMN($NV$327)=$Q$291,ROW($OL$329)-ROW($NV$327)=$K$291), U$290, OL329), OL329))</f>
        <v>0</v>
      </c>
      <c r="OM329" s="21">
        <f t="shared" si="1787"/>
        <v>0</v>
      </c>
      <c r="ON329" s="21">
        <f t="shared" si="1787"/>
        <v>0</v>
      </c>
      <c r="OO329" s="21">
        <f t="shared" si="1787"/>
        <v>0</v>
      </c>
      <c r="OP329" s="21">
        <f t="shared" si="1787"/>
        <v>0</v>
      </c>
      <c r="OQ329" s="21">
        <f t="shared" si="1787"/>
        <v>0</v>
      </c>
      <c r="OR329" s="21">
        <f t="shared" si="1787"/>
        <v>0</v>
      </c>
      <c r="OS329" s="21">
        <f t="shared" si="1787"/>
        <v>0</v>
      </c>
      <c r="OT329" s="21">
        <f t="shared" ref="OT329:PA329" si="1788">IF($F$290, 0, IF($I$297, IF(AND(COLUMN($OT$329)-COLUMN($NV$327)=$Q$291,ROW($OT$329)-ROW($NV$327)=$K$291), U$290, OT329), OT329))</f>
        <v>0</v>
      </c>
      <c r="OU329" s="21">
        <f t="shared" si="1788"/>
        <v>0</v>
      </c>
      <c r="OV329" s="21">
        <f t="shared" si="1788"/>
        <v>0</v>
      </c>
      <c r="OW329" s="21">
        <f t="shared" si="1788"/>
        <v>0</v>
      </c>
      <c r="OX329" s="21">
        <f t="shared" si="1788"/>
        <v>0</v>
      </c>
      <c r="OY329" s="21">
        <f t="shared" si="1788"/>
        <v>0</v>
      </c>
      <c r="OZ329" s="21">
        <f t="shared" si="1788"/>
        <v>0</v>
      </c>
      <c r="PA329" s="21">
        <f t="shared" si="1788"/>
        <v>0</v>
      </c>
      <c r="PB329" s="21">
        <f t="shared" ref="PB329:PI329" si="1789">IF($F$290, 0, IF($I$297, IF(AND(COLUMN($PB$329)-COLUMN($NV$327)=$Q$291,ROW($PB$329)-ROW($NV$327)=$K$291), U$290, PB329), PB329))</f>
        <v>0</v>
      </c>
      <c r="PC329" s="21">
        <f t="shared" si="1789"/>
        <v>0</v>
      </c>
      <c r="PD329" s="21">
        <f t="shared" si="1789"/>
        <v>0</v>
      </c>
      <c r="PE329" s="21">
        <f t="shared" si="1789"/>
        <v>0</v>
      </c>
      <c r="PF329" s="21">
        <f t="shared" si="1789"/>
        <v>0</v>
      </c>
      <c r="PG329" s="21">
        <f t="shared" si="1789"/>
        <v>0</v>
      </c>
      <c r="PH329" s="21">
        <f t="shared" si="1789"/>
        <v>0</v>
      </c>
      <c r="PI329" s="21">
        <f t="shared" si="1789"/>
        <v>0</v>
      </c>
      <c r="PJ329" s="21">
        <f t="shared" ref="PJ329:PQ329" si="1790">IF($F$290, 0, IF($I$297, IF(AND(COLUMN($PJ$329)-COLUMN($NV$327)=$Q$291,ROW($PJ$329)-ROW($NV$327)=$K$291), U$290, PJ329), PJ329))</f>
        <v>0</v>
      </c>
      <c r="PK329" s="21">
        <f t="shared" si="1790"/>
        <v>0</v>
      </c>
      <c r="PL329" s="21">
        <f t="shared" si="1790"/>
        <v>0</v>
      </c>
      <c r="PM329" s="21">
        <f t="shared" si="1790"/>
        <v>0</v>
      </c>
      <c r="PN329" s="21">
        <f t="shared" si="1790"/>
        <v>0</v>
      </c>
      <c r="PO329" s="21">
        <f t="shared" si="1790"/>
        <v>0</v>
      </c>
      <c r="PP329" s="21">
        <f t="shared" si="1790"/>
        <v>0</v>
      </c>
      <c r="PQ329" s="21">
        <f t="shared" si="1790"/>
        <v>0</v>
      </c>
      <c r="PR329" s="21">
        <f t="shared" ref="PR329:PY329" si="1791">IF($F$290, 0, IF($I$297, IF(AND(COLUMN($PR$329)-COLUMN($NV$327)=$Q$291,ROW($PR$329)-ROW($NV$327)=$K$291), U$290, PR329), PR329))</f>
        <v>0</v>
      </c>
      <c r="PS329" s="21">
        <f t="shared" si="1791"/>
        <v>0</v>
      </c>
      <c r="PT329" s="21">
        <f t="shared" si="1791"/>
        <v>0</v>
      </c>
      <c r="PU329" s="21">
        <f t="shared" si="1791"/>
        <v>0</v>
      </c>
      <c r="PV329" s="21">
        <f t="shared" si="1791"/>
        <v>0</v>
      </c>
      <c r="PW329" s="21">
        <f t="shared" si="1791"/>
        <v>0</v>
      </c>
      <c r="PX329" s="21">
        <f t="shared" si="1791"/>
        <v>0</v>
      </c>
      <c r="PY329" s="21">
        <f t="shared" si="1791"/>
        <v>0</v>
      </c>
      <c r="PZ329" s="21">
        <f t="shared" ref="PZ329:QG329" si="1792">IF($F$290, 0, IF($I$297, IF(AND(COLUMN($PZ$329)-COLUMN($NV$327)=$Q$291,ROW($PZ$329)-ROW($NV$327)=$K$291), U$290, PZ329), PZ329))</f>
        <v>0</v>
      </c>
      <c r="QA329" s="21">
        <f t="shared" si="1792"/>
        <v>0</v>
      </c>
      <c r="QB329" s="21">
        <f t="shared" si="1792"/>
        <v>0</v>
      </c>
      <c r="QC329" s="21">
        <f t="shared" si="1792"/>
        <v>0</v>
      </c>
      <c r="QD329" s="21">
        <f t="shared" si="1792"/>
        <v>0</v>
      </c>
      <c r="QE329" s="21">
        <f t="shared" si="1792"/>
        <v>0</v>
      </c>
      <c r="QF329" s="21">
        <f t="shared" si="1792"/>
        <v>0</v>
      </c>
      <c r="QG329" s="21">
        <f t="shared" si="1792"/>
        <v>0</v>
      </c>
      <c r="QH329" s="21">
        <f t="shared" ref="QH329:QO329" si="1793">IF($F$290, 0, IF($J$297, IF(AND(COLUMN($QH$329)-COLUMN($QH$327)=$Q$291,ROW($QH$329)-ROW($QH$327)=$K$291), U$290, QH329), QH329))</f>
        <v>0</v>
      </c>
      <c r="QI329" s="21">
        <f t="shared" si="1793"/>
        <v>0</v>
      </c>
      <c r="QJ329" s="21">
        <f t="shared" si="1793"/>
        <v>0</v>
      </c>
      <c r="QK329" s="21">
        <f t="shared" si="1793"/>
        <v>0</v>
      </c>
      <c r="QL329" s="21">
        <f t="shared" si="1793"/>
        <v>0</v>
      </c>
      <c r="QM329" s="21">
        <f t="shared" si="1793"/>
        <v>0</v>
      </c>
      <c r="QN329" s="21">
        <f t="shared" si="1793"/>
        <v>0</v>
      </c>
      <c r="QO329" s="21">
        <f t="shared" si="1793"/>
        <v>0</v>
      </c>
      <c r="QP329" s="21">
        <f t="shared" ref="QP329:QW329" si="1794">IF($F$290, 0, IF($J$297, IF(AND(COLUMN($QP$329)-COLUMN($QH$327)=$Q$291,ROW($QP$329)-ROW($QH$327)=$K$291), U$290, QP329), QP329))</f>
        <v>0</v>
      </c>
      <c r="QQ329" s="21">
        <f t="shared" si="1794"/>
        <v>0</v>
      </c>
      <c r="QR329" s="21">
        <f t="shared" si="1794"/>
        <v>0</v>
      </c>
      <c r="QS329" s="21">
        <f t="shared" si="1794"/>
        <v>0</v>
      </c>
      <c r="QT329" s="21">
        <f t="shared" si="1794"/>
        <v>0</v>
      </c>
      <c r="QU329" s="21">
        <f t="shared" si="1794"/>
        <v>0</v>
      </c>
      <c r="QV329" s="21">
        <f t="shared" si="1794"/>
        <v>0</v>
      </c>
      <c r="QW329" s="21">
        <f t="shared" si="1794"/>
        <v>0</v>
      </c>
      <c r="QX329" s="21">
        <f t="shared" ref="QX329:RE329" si="1795">IF($F$290, 0, IF($J$297, IF(AND(COLUMN($QX$329)-COLUMN($QH$327)=$Q$291,ROW($QX$329)-ROW($QH$327)=$K$291), U$290, QX329), QX329))</f>
        <v>0</v>
      </c>
      <c r="QY329" s="21">
        <f t="shared" si="1795"/>
        <v>0</v>
      </c>
      <c r="QZ329" s="21">
        <f t="shared" si="1795"/>
        <v>0</v>
      </c>
      <c r="RA329" s="21">
        <f t="shared" si="1795"/>
        <v>0</v>
      </c>
      <c r="RB329" s="21">
        <f t="shared" si="1795"/>
        <v>0</v>
      </c>
      <c r="RC329" s="21">
        <f t="shared" si="1795"/>
        <v>0</v>
      </c>
      <c r="RD329" s="21">
        <f t="shared" si="1795"/>
        <v>0</v>
      </c>
      <c r="RE329" s="21">
        <f t="shared" si="1795"/>
        <v>0</v>
      </c>
      <c r="RF329" s="21">
        <f t="shared" ref="RF329:RM329" si="1796">IF($F$290, 0, IF($J$297, IF(AND(COLUMN($RF$329)-COLUMN($QH$327)=$Q$291,ROW($RF$329)-ROW($QH$327)=$K$291), U$290, RF329), RF329))</f>
        <v>0</v>
      </c>
      <c r="RG329" s="21">
        <f t="shared" si="1796"/>
        <v>0</v>
      </c>
      <c r="RH329" s="21">
        <f t="shared" si="1796"/>
        <v>0</v>
      </c>
      <c r="RI329" s="21">
        <f t="shared" si="1796"/>
        <v>0</v>
      </c>
      <c r="RJ329" s="21">
        <f t="shared" si="1796"/>
        <v>0</v>
      </c>
      <c r="RK329" s="21">
        <f t="shared" si="1796"/>
        <v>0</v>
      </c>
      <c r="RL329" s="21">
        <f t="shared" si="1796"/>
        <v>0</v>
      </c>
      <c r="RM329" s="21">
        <f t="shared" si="1796"/>
        <v>0</v>
      </c>
      <c r="RN329" s="21">
        <f t="shared" ref="RN329:RU329" si="1797">IF($F$290, 0, IF($J$297, IF(AND(COLUMN($RN$329)-COLUMN($QH$327)=$Q$291,ROW($RN$329)-ROW($QH$327)=$K$291), U$290, RN329), RN329))</f>
        <v>0</v>
      </c>
      <c r="RO329" s="21">
        <f t="shared" si="1797"/>
        <v>0</v>
      </c>
      <c r="RP329" s="21">
        <f t="shared" si="1797"/>
        <v>0</v>
      </c>
      <c r="RQ329" s="21">
        <f t="shared" si="1797"/>
        <v>0</v>
      </c>
      <c r="RR329" s="21">
        <f t="shared" si="1797"/>
        <v>0</v>
      </c>
      <c r="RS329" s="21">
        <f t="shared" si="1797"/>
        <v>0</v>
      </c>
      <c r="RT329" s="21">
        <f t="shared" si="1797"/>
        <v>0</v>
      </c>
      <c r="RU329" s="21">
        <f t="shared" si="1797"/>
        <v>0</v>
      </c>
      <c r="RV329" s="21">
        <f t="shared" ref="RV329:SC329" si="1798">IF($F$290, 0, IF($J$297, IF(AND(COLUMN($RV$329)-COLUMN($QH$327)=$Q$291,ROW($RV$329)-ROW($QH$327)=$K$291), U$290, RV329), RV329))</f>
        <v>0</v>
      </c>
      <c r="RW329" s="21">
        <f t="shared" si="1798"/>
        <v>0</v>
      </c>
      <c r="RX329" s="21">
        <f t="shared" si="1798"/>
        <v>0</v>
      </c>
      <c r="RY329" s="21">
        <f t="shared" si="1798"/>
        <v>0</v>
      </c>
      <c r="RZ329" s="21">
        <f t="shared" si="1798"/>
        <v>0</v>
      </c>
      <c r="SA329" s="21">
        <f t="shared" si="1798"/>
        <v>0</v>
      </c>
      <c r="SB329" s="21">
        <f t="shared" si="1798"/>
        <v>0</v>
      </c>
      <c r="SC329" s="21">
        <f t="shared" si="1798"/>
        <v>0</v>
      </c>
      <c r="SD329" s="21">
        <f t="shared" ref="SD329:SK329" si="1799">IF($F$290, 0, IF($J$297, IF(AND(COLUMN($SD$329)-COLUMN($QH$327)=$Q$291,ROW($SD$329)-ROW($QH$327)=$K$291), U$290, SD329), SD329))</f>
        <v>0</v>
      </c>
      <c r="SE329" s="21">
        <f t="shared" si="1799"/>
        <v>0</v>
      </c>
      <c r="SF329" s="21">
        <f t="shared" si="1799"/>
        <v>0</v>
      </c>
      <c r="SG329" s="21">
        <f t="shared" si="1799"/>
        <v>0</v>
      </c>
      <c r="SH329" s="21">
        <f t="shared" si="1799"/>
        <v>0</v>
      </c>
      <c r="SI329" s="21">
        <f t="shared" si="1799"/>
        <v>0</v>
      </c>
      <c r="SJ329" s="21">
        <f t="shared" si="1799"/>
        <v>0</v>
      </c>
      <c r="SK329" s="21">
        <f t="shared" si="1799"/>
        <v>0</v>
      </c>
      <c r="SL329" s="21">
        <f t="shared" ref="SL329:SS329" si="1800">IF($F$290, 0, IF($J$297, IF(AND(COLUMN($SL$329)-COLUMN($QH$327)=$Q$291,ROW($SL$329)-ROW($QH$327)=$K$291), U$290, SL329), SL329))</f>
        <v>0</v>
      </c>
      <c r="SM329" s="21">
        <f t="shared" si="1800"/>
        <v>0</v>
      </c>
      <c r="SN329" s="21">
        <f t="shared" si="1800"/>
        <v>0</v>
      </c>
      <c r="SO329" s="21">
        <f t="shared" si="1800"/>
        <v>0</v>
      </c>
      <c r="SP329" s="21">
        <f t="shared" si="1800"/>
        <v>0</v>
      </c>
      <c r="SQ329" s="21">
        <f t="shared" si="1800"/>
        <v>0</v>
      </c>
      <c r="SR329" s="21">
        <f t="shared" si="1800"/>
        <v>0</v>
      </c>
      <c r="SS329" s="21">
        <f t="shared" si="1800"/>
        <v>0</v>
      </c>
    </row>
    <row r="330" spans="2:513" ht="15" customHeight="1" x14ac:dyDescent="0.25">
      <c r="B330" s="21">
        <f t="shared" ref="B330:I330" si="1801">IF($F$290, 0, IF($C$297, IF(AND(COLUMN($B$330)-COLUMN($B$327)=$Q$291,ROW($B$330)-ROW($B$327)=$K$291), U$290, B330), B330))</f>
        <v>0</v>
      </c>
      <c r="C330" s="21">
        <f t="shared" si="1801"/>
        <v>0</v>
      </c>
      <c r="D330" s="21">
        <f t="shared" si="1801"/>
        <v>0</v>
      </c>
      <c r="E330" s="21">
        <f t="shared" si="1801"/>
        <v>0</v>
      </c>
      <c r="F330" s="21">
        <f t="shared" si="1801"/>
        <v>0</v>
      </c>
      <c r="G330" s="21">
        <f t="shared" si="1801"/>
        <v>0</v>
      </c>
      <c r="H330" s="21">
        <f t="shared" si="1801"/>
        <v>0</v>
      </c>
      <c r="I330" s="21">
        <f t="shared" si="1801"/>
        <v>0</v>
      </c>
      <c r="J330" s="21">
        <f t="shared" ref="J330:Q330" si="1802">IF($F$290, 0, IF($C$297, IF(AND(COLUMN($J$330)-COLUMN($B$327)=$Q$291,ROW($J$330)-ROW($B$327)=$K$291), U$290, J330), J330))</f>
        <v>0</v>
      </c>
      <c r="K330" s="21">
        <f t="shared" si="1802"/>
        <v>0</v>
      </c>
      <c r="L330" s="21">
        <f t="shared" si="1802"/>
        <v>0</v>
      </c>
      <c r="M330" s="21">
        <f t="shared" si="1802"/>
        <v>0</v>
      </c>
      <c r="N330" s="21">
        <f t="shared" si="1802"/>
        <v>0</v>
      </c>
      <c r="O330" s="21">
        <f t="shared" si="1802"/>
        <v>0</v>
      </c>
      <c r="P330" s="21">
        <f t="shared" si="1802"/>
        <v>0</v>
      </c>
      <c r="Q330" s="21">
        <f t="shared" si="1802"/>
        <v>0</v>
      </c>
      <c r="R330" s="21">
        <f>IF($F$290, 0, IF($C$297, IF(AND(COLUMN($R$330)-COLUMN($B$327)=$Q$291,ROW($R$330)-ROW($B$327)=$K$291), U$290, R330), R330))</f>
        <v>0</v>
      </c>
      <c r="S330" s="21">
        <f t="shared" ref="S330:Y330" si="1803">IF($F$290, 0, IF($C$297, IF(AND(COLUMN($R$330)-COLUMN($B$327)=$Q$291,ROW($R$330)-ROW($B$327)=$K$291), V$290, S330), S330))</f>
        <v>0</v>
      </c>
      <c r="T330" s="21">
        <f t="shared" si="1803"/>
        <v>0</v>
      </c>
      <c r="U330" s="21">
        <f t="shared" si="1803"/>
        <v>0</v>
      </c>
      <c r="V330" s="21">
        <f t="shared" si="1803"/>
        <v>0</v>
      </c>
      <c r="W330" s="21">
        <f t="shared" si="1803"/>
        <v>0</v>
      </c>
      <c r="X330" s="21">
        <f t="shared" si="1803"/>
        <v>0</v>
      </c>
      <c r="Y330" s="21">
        <f t="shared" si="1803"/>
        <v>0</v>
      </c>
      <c r="Z330" s="21">
        <f t="shared" ref="Z330:AG330" si="1804">IF($F$290, 0, IF($C$297, IF(AND(COLUMN($Z$330)-COLUMN($B$327)=$Q$291,ROW($Z$330)-ROW($B$327)=$K$291), U$290, Z330), Z330))</f>
        <v>0</v>
      </c>
      <c r="AA330" s="21">
        <f t="shared" si="1804"/>
        <v>0</v>
      </c>
      <c r="AB330" s="21">
        <f t="shared" si="1804"/>
        <v>0</v>
      </c>
      <c r="AC330" s="21">
        <f t="shared" si="1804"/>
        <v>0</v>
      </c>
      <c r="AD330" s="21">
        <f t="shared" si="1804"/>
        <v>0</v>
      </c>
      <c r="AE330" s="21">
        <f t="shared" si="1804"/>
        <v>0</v>
      </c>
      <c r="AF330" s="21">
        <f t="shared" si="1804"/>
        <v>0</v>
      </c>
      <c r="AG330" s="21">
        <f t="shared" si="1804"/>
        <v>0</v>
      </c>
      <c r="AH330" s="21">
        <f t="shared" ref="AH330:AO330" si="1805">IF($F$290, 0, IF($C$297, IF(AND(COLUMN($AH$330)-COLUMN($B$327)=$Q$291,ROW($AH$330)-ROW($B$327)=$K$291), U$290, AH330), AH330))</f>
        <v>0</v>
      </c>
      <c r="AI330" s="21">
        <f t="shared" si="1805"/>
        <v>0</v>
      </c>
      <c r="AJ330" s="21">
        <f t="shared" si="1805"/>
        <v>0</v>
      </c>
      <c r="AK330" s="21">
        <f t="shared" si="1805"/>
        <v>0</v>
      </c>
      <c r="AL330" s="21">
        <f t="shared" si="1805"/>
        <v>0</v>
      </c>
      <c r="AM330" s="21">
        <f t="shared" si="1805"/>
        <v>0</v>
      </c>
      <c r="AN330" s="21">
        <f t="shared" si="1805"/>
        <v>0</v>
      </c>
      <c r="AO330" s="21">
        <f t="shared" si="1805"/>
        <v>0</v>
      </c>
      <c r="AP330" s="21">
        <f t="shared" ref="AP330:AW330" si="1806">IF($F$290, 0, IF($C$297, IF(AND(COLUMN($AP$330)-COLUMN($B$327)=$Q$291,ROW($AP$330)-ROW($B$327)=$K$291), U$290, AP330), AP330))</f>
        <v>0</v>
      </c>
      <c r="AQ330" s="21">
        <f t="shared" si="1806"/>
        <v>0</v>
      </c>
      <c r="AR330" s="21">
        <f t="shared" si="1806"/>
        <v>0</v>
      </c>
      <c r="AS330" s="21">
        <f t="shared" si="1806"/>
        <v>0</v>
      </c>
      <c r="AT330" s="21">
        <f t="shared" si="1806"/>
        <v>0</v>
      </c>
      <c r="AU330" s="21">
        <f t="shared" si="1806"/>
        <v>0</v>
      </c>
      <c r="AV330" s="21">
        <f t="shared" si="1806"/>
        <v>0</v>
      </c>
      <c r="AW330" s="21">
        <f t="shared" si="1806"/>
        <v>0</v>
      </c>
      <c r="AX330" s="21">
        <f t="shared" ref="AX330:BE330" si="1807">IF($F$290, 0, IF($C$297, IF(AND(COLUMN($AX$330)-COLUMN($B$327)=$Q$291,ROW($AX$330)-ROW($B$327)=$K$291), U$290, AX330), AX330))</f>
        <v>0</v>
      </c>
      <c r="AY330" s="21">
        <f t="shared" si="1807"/>
        <v>0</v>
      </c>
      <c r="AZ330" s="21">
        <f t="shared" si="1807"/>
        <v>0</v>
      </c>
      <c r="BA330" s="21">
        <f t="shared" si="1807"/>
        <v>0</v>
      </c>
      <c r="BB330" s="21">
        <f t="shared" si="1807"/>
        <v>0</v>
      </c>
      <c r="BC330" s="21">
        <f t="shared" si="1807"/>
        <v>0</v>
      </c>
      <c r="BD330" s="21">
        <f t="shared" si="1807"/>
        <v>0</v>
      </c>
      <c r="BE330" s="21">
        <f t="shared" si="1807"/>
        <v>0</v>
      </c>
      <c r="BF330" s="21">
        <f t="shared" ref="BF330:BM330" si="1808">IF($F$290, 0, IF($C$297, IF(AND(COLUMN($BF$330)-COLUMN($B$327)=$Q$291,ROW($BF$330)-ROW($B$327)=$K$291), U$290, BF330), BF330))</f>
        <v>0</v>
      </c>
      <c r="BG330" s="21">
        <f t="shared" si="1808"/>
        <v>0</v>
      </c>
      <c r="BH330" s="21">
        <f t="shared" si="1808"/>
        <v>0</v>
      </c>
      <c r="BI330" s="21">
        <f t="shared" si="1808"/>
        <v>0</v>
      </c>
      <c r="BJ330" s="21">
        <f t="shared" si="1808"/>
        <v>0</v>
      </c>
      <c r="BK330" s="21">
        <f t="shared" si="1808"/>
        <v>0</v>
      </c>
      <c r="BL330" s="21">
        <f t="shared" si="1808"/>
        <v>0</v>
      </c>
      <c r="BM330" s="21">
        <f t="shared" si="1808"/>
        <v>0</v>
      </c>
      <c r="BN330" s="21">
        <f t="shared" ref="BN330:BU330" si="1809">IF($F$290, 0, IF($D$297, IF(AND(COLUMN($BN$330)-COLUMN($BN$327)=$Q$291,ROW($BN$330)-ROW($BN$327)=$K$291), U$290, BN330), BN330))</f>
        <v>0</v>
      </c>
      <c r="BO330" s="21">
        <f t="shared" si="1809"/>
        <v>0</v>
      </c>
      <c r="BP330" s="21">
        <f t="shared" si="1809"/>
        <v>0</v>
      </c>
      <c r="BQ330" s="21">
        <f t="shared" si="1809"/>
        <v>0</v>
      </c>
      <c r="BR330" s="21">
        <f t="shared" si="1809"/>
        <v>0</v>
      </c>
      <c r="BS330" s="21">
        <f t="shared" si="1809"/>
        <v>0</v>
      </c>
      <c r="BT330" s="21">
        <f t="shared" si="1809"/>
        <v>0</v>
      </c>
      <c r="BU330" s="21">
        <f t="shared" si="1809"/>
        <v>0</v>
      </c>
      <c r="BV330" s="21">
        <f t="shared" ref="BV330:CC330" si="1810">IF($F$290, 0, IF($D$297, IF(AND(COLUMN($BV$330)-COLUMN($BN$327)=$Q$291,ROW($BV$330)-ROW($BN$327)=$K$291), U$290, BV330), BV330))</f>
        <v>0</v>
      </c>
      <c r="BW330" s="21">
        <f t="shared" si="1810"/>
        <v>0</v>
      </c>
      <c r="BX330" s="21">
        <f t="shared" si="1810"/>
        <v>0</v>
      </c>
      <c r="BY330" s="21">
        <f t="shared" si="1810"/>
        <v>0</v>
      </c>
      <c r="BZ330" s="21">
        <f t="shared" si="1810"/>
        <v>0</v>
      </c>
      <c r="CA330" s="21">
        <f t="shared" si="1810"/>
        <v>0</v>
      </c>
      <c r="CB330" s="21">
        <f t="shared" si="1810"/>
        <v>0</v>
      </c>
      <c r="CC330" s="21">
        <f t="shared" si="1810"/>
        <v>0</v>
      </c>
      <c r="CD330" s="21">
        <f t="shared" ref="CD330:CK330" si="1811">IF($F$290, 0, IF($D$297, IF(AND(COLUMN($CD$330)-COLUMN($BN$327)=$Q$291,ROW($CD$330)-ROW($BN$327)=$K$291), U$290, CD330), CD330))</f>
        <v>0</v>
      </c>
      <c r="CE330" s="21">
        <f t="shared" si="1811"/>
        <v>0</v>
      </c>
      <c r="CF330" s="21">
        <f t="shared" si="1811"/>
        <v>0</v>
      </c>
      <c r="CG330" s="21">
        <f t="shared" si="1811"/>
        <v>0</v>
      </c>
      <c r="CH330" s="21">
        <f t="shared" si="1811"/>
        <v>0</v>
      </c>
      <c r="CI330" s="21">
        <f t="shared" si="1811"/>
        <v>0</v>
      </c>
      <c r="CJ330" s="21">
        <f t="shared" si="1811"/>
        <v>0</v>
      </c>
      <c r="CK330" s="21">
        <f t="shared" si="1811"/>
        <v>0</v>
      </c>
      <c r="CL330" s="21">
        <f t="shared" ref="CL330:CS330" si="1812">IF($F$290, 0, IF($D$297, IF(AND(COLUMN($CL$330)-COLUMN($BN$327)=$Q$291,ROW($CL$330)-ROW($BN$327)=$K$291), U$290, CL330), CL330))</f>
        <v>0</v>
      </c>
      <c r="CM330" s="21">
        <f t="shared" si="1812"/>
        <v>0</v>
      </c>
      <c r="CN330" s="21">
        <f t="shared" si="1812"/>
        <v>0</v>
      </c>
      <c r="CO330" s="21">
        <f t="shared" si="1812"/>
        <v>0</v>
      </c>
      <c r="CP330" s="21">
        <f t="shared" si="1812"/>
        <v>0</v>
      </c>
      <c r="CQ330" s="21">
        <f t="shared" si="1812"/>
        <v>0</v>
      </c>
      <c r="CR330" s="21">
        <f t="shared" si="1812"/>
        <v>0</v>
      </c>
      <c r="CS330" s="21">
        <f t="shared" si="1812"/>
        <v>0</v>
      </c>
      <c r="CT330" s="21">
        <f t="shared" ref="CT330:DA330" si="1813">IF($F$290, 0, IF($D$297, IF(AND(COLUMN($CT$330)-COLUMN($BN$327)=$Q$291,ROW($CT$330)-ROW($BN$327)=$K$291), U$290, CT330), CT330))</f>
        <v>0</v>
      </c>
      <c r="CU330" s="21">
        <f t="shared" si="1813"/>
        <v>0</v>
      </c>
      <c r="CV330" s="21">
        <f t="shared" si="1813"/>
        <v>0</v>
      </c>
      <c r="CW330" s="21">
        <f t="shared" si="1813"/>
        <v>0</v>
      </c>
      <c r="CX330" s="21">
        <f t="shared" si="1813"/>
        <v>0</v>
      </c>
      <c r="CY330" s="21">
        <f t="shared" si="1813"/>
        <v>0</v>
      </c>
      <c r="CZ330" s="21">
        <f t="shared" si="1813"/>
        <v>0</v>
      </c>
      <c r="DA330" s="21">
        <f t="shared" si="1813"/>
        <v>0</v>
      </c>
      <c r="DB330" s="21">
        <f t="shared" ref="DB330:DI330" si="1814">IF($F$290, 0, IF($D$297, IF(AND(COLUMN($DB$330)-COLUMN($BN$327)=$Q$291,ROW($DB$330)-ROW($BN$327)=$K$291), U$290, DB330), DB330))</f>
        <v>0</v>
      </c>
      <c r="DC330" s="21">
        <f t="shared" si="1814"/>
        <v>0</v>
      </c>
      <c r="DD330" s="21">
        <f t="shared" si="1814"/>
        <v>0</v>
      </c>
      <c r="DE330" s="21">
        <f t="shared" si="1814"/>
        <v>0</v>
      </c>
      <c r="DF330" s="21">
        <f t="shared" si="1814"/>
        <v>0</v>
      </c>
      <c r="DG330" s="21">
        <f t="shared" si="1814"/>
        <v>0</v>
      </c>
      <c r="DH330" s="21">
        <f t="shared" si="1814"/>
        <v>0</v>
      </c>
      <c r="DI330" s="21">
        <f t="shared" si="1814"/>
        <v>0</v>
      </c>
      <c r="DJ330" s="21">
        <f t="shared" ref="DJ330:DQ330" si="1815">IF($F$290, 0, IF($D$297, IF(AND(COLUMN($DJ$330)-COLUMN($BN$327)=$Q$291,ROW($DJ$330)-ROW($BN$327)=$K$291), U$290, DJ330), DJ330))</f>
        <v>0</v>
      </c>
      <c r="DK330" s="21">
        <f t="shared" si="1815"/>
        <v>0</v>
      </c>
      <c r="DL330" s="21">
        <f t="shared" si="1815"/>
        <v>0</v>
      </c>
      <c r="DM330" s="21">
        <f t="shared" si="1815"/>
        <v>0</v>
      </c>
      <c r="DN330" s="21">
        <f t="shared" si="1815"/>
        <v>0</v>
      </c>
      <c r="DO330" s="21">
        <f t="shared" si="1815"/>
        <v>0</v>
      </c>
      <c r="DP330" s="21">
        <f t="shared" si="1815"/>
        <v>0</v>
      </c>
      <c r="DQ330" s="21">
        <f t="shared" si="1815"/>
        <v>0</v>
      </c>
      <c r="DR330" s="21">
        <f t="shared" ref="DR330:DY330" si="1816">IF($F$290, 0, IF($D$297, IF(AND(COLUMN($DR$330)-COLUMN($BN$327)=$Q$291,ROW($DR$330)-ROW($BN$327)=$K$291), U$290, DR330), DR330))</f>
        <v>0</v>
      </c>
      <c r="DS330" s="21">
        <f t="shared" si="1816"/>
        <v>0</v>
      </c>
      <c r="DT330" s="21">
        <f t="shared" si="1816"/>
        <v>0</v>
      </c>
      <c r="DU330" s="21">
        <f t="shared" si="1816"/>
        <v>0</v>
      </c>
      <c r="DV330" s="21">
        <f t="shared" si="1816"/>
        <v>0</v>
      </c>
      <c r="DW330" s="21">
        <f t="shared" si="1816"/>
        <v>0</v>
      </c>
      <c r="DX330" s="21">
        <f t="shared" si="1816"/>
        <v>0</v>
      </c>
      <c r="DY330" s="21">
        <f t="shared" si="1816"/>
        <v>0</v>
      </c>
      <c r="DZ330" s="21">
        <f t="shared" ref="DZ330:EG330" si="1817">IF($F$290, 0, IF($E$297, IF(AND(COLUMN($DZ$330)-COLUMN($DZ$327)=$Q$291,ROW($DZ$330)-ROW($DZ$327)=$K$291), U$290, DZ330), DZ330))</f>
        <v>0</v>
      </c>
      <c r="EA330" s="21">
        <f t="shared" si="1817"/>
        <v>0</v>
      </c>
      <c r="EB330" s="21">
        <f t="shared" si="1817"/>
        <v>0</v>
      </c>
      <c r="EC330" s="21">
        <f t="shared" si="1817"/>
        <v>0</v>
      </c>
      <c r="ED330" s="21">
        <f t="shared" si="1817"/>
        <v>0</v>
      </c>
      <c r="EE330" s="21">
        <f t="shared" si="1817"/>
        <v>0</v>
      </c>
      <c r="EF330" s="21">
        <f t="shared" si="1817"/>
        <v>0</v>
      </c>
      <c r="EG330" s="21">
        <f t="shared" si="1817"/>
        <v>0</v>
      </c>
      <c r="EH330" s="21">
        <f t="shared" ref="EH330:EO330" si="1818">IF($F$290, 0, IF($E$297, IF(AND(COLUMN($EH$330)-COLUMN($DZ$327)=$Q$291,ROW($EH$330)-ROW($DZ$327)=$K$291), U$290, EH330), EH330))</f>
        <v>0</v>
      </c>
      <c r="EI330" s="21">
        <f t="shared" si="1818"/>
        <v>0</v>
      </c>
      <c r="EJ330" s="21">
        <f t="shared" si="1818"/>
        <v>0</v>
      </c>
      <c r="EK330" s="21">
        <f t="shared" si="1818"/>
        <v>0</v>
      </c>
      <c r="EL330" s="21">
        <f t="shared" si="1818"/>
        <v>0</v>
      </c>
      <c r="EM330" s="21">
        <f t="shared" si="1818"/>
        <v>0</v>
      </c>
      <c r="EN330" s="21">
        <f t="shared" si="1818"/>
        <v>0</v>
      </c>
      <c r="EO330" s="21">
        <f t="shared" si="1818"/>
        <v>0</v>
      </c>
      <c r="EP330" s="21">
        <f t="shared" ref="EP330:EW330" si="1819">IF($F$290, 0, IF($E$297, IF(AND(COLUMN($EP$330)-COLUMN($DZ$327)=$Q$291,ROW($EP$330)-ROW($DZ$327)=$K$291), U$290, EP330), EP330))</f>
        <v>0</v>
      </c>
      <c r="EQ330" s="21">
        <f t="shared" si="1819"/>
        <v>0</v>
      </c>
      <c r="ER330" s="21">
        <f t="shared" si="1819"/>
        <v>0</v>
      </c>
      <c r="ES330" s="21">
        <f t="shared" si="1819"/>
        <v>0</v>
      </c>
      <c r="ET330" s="21">
        <f t="shared" si="1819"/>
        <v>0</v>
      </c>
      <c r="EU330" s="21">
        <f t="shared" si="1819"/>
        <v>0</v>
      </c>
      <c r="EV330" s="21">
        <f t="shared" si="1819"/>
        <v>0</v>
      </c>
      <c r="EW330" s="21">
        <f t="shared" si="1819"/>
        <v>0</v>
      </c>
      <c r="EX330" s="21">
        <f t="shared" ref="EX330:FE330" si="1820">IF($F$290, 0, IF($E$297, IF(AND(COLUMN($EX$330)-COLUMN($DZ$327)=$Q$291,ROW($EX$330)-ROW($DZ$327)=$K$291), U$290, EX330), EX330))</f>
        <v>0</v>
      </c>
      <c r="EY330" s="21">
        <f t="shared" si="1820"/>
        <v>0</v>
      </c>
      <c r="EZ330" s="21">
        <f t="shared" si="1820"/>
        <v>0</v>
      </c>
      <c r="FA330" s="21">
        <f t="shared" si="1820"/>
        <v>0</v>
      </c>
      <c r="FB330" s="21">
        <f t="shared" si="1820"/>
        <v>0</v>
      </c>
      <c r="FC330" s="21">
        <f t="shared" si="1820"/>
        <v>0</v>
      </c>
      <c r="FD330" s="21">
        <f t="shared" si="1820"/>
        <v>0</v>
      </c>
      <c r="FE330" s="21">
        <f t="shared" si="1820"/>
        <v>0</v>
      </c>
      <c r="FF330" s="21">
        <f t="shared" ref="FF330:FM330" si="1821">IF($F$290, 0, IF($E$297, IF(AND(COLUMN($FF$330)-COLUMN($DZ$327)=$Q$291,ROW($FF$330)-ROW($DZ$327)=$K$291), U$290, FF330), FF330))</f>
        <v>0</v>
      </c>
      <c r="FG330" s="21">
        <f t="shared" si="1821"/>
        <v>0</v>
      </c>
      <c r="FH330" s="21">
        <f t="shared" si="1821"/>
        <v>0</v>
      </c>
      <c r="FI330" s="21">
        <f t="shared" si="1821"/>
        <v>0</v>
      </c>
      <c r="FJ330" s="21">
        <f t="shared" si="1821"/>
        <v>0</v>
      </c>
      <c r="FK330" s="21">
        <f t="shared" si="1821"/>
        <v>0</v>
      </c>
      <c r="FL330" s="21">
        <f t="shared" si="1821"/>
        <v>0</v>
      </c>
      <c r="FM330" s="21">
        <f t="shared" si="1821"/>
        <v>0</v>
      </c>
      <c r="FN330" s="21">
        <f t="shared" ref="FN330:FU330" si="1822">IF($F$290, 0, IF($E$297, IF(AND(COLUMN($FN$330)-COLUMN($DZ$327)=$Q$291,ROW($FN$330)-ROW($DZ$327)=$K$291), U$290, FN330), FN330))</f>
        <v>0</v>
      </c>
      <c r="FO330" s="21">
        <f t="shared" si="1822"/>
        <v>0</v>
      </c>
      <c r="FP330" s="21">
        <f t="shared" si="1822"/>
        <v>0</v>
      </c>
      <c r="FQ330" s="21">
        <f t="shared" si="1822"/>
        <v>0</v>
      </c>
      <c r="FR330" s="21">
        <f t="shared" si="1822"/>
        <v>0</v>
      </c>
      <c r="FS330" s="21">
        <f t="shared" si="1822"/>
        <v>0</v>
      </c>
      <c r="FT330" s="21">
        <f t="shared" si="1822"/>
        <v>0</v>
      </c>
      <c r="FU330" s="21">
        <f t="shared" si="1822"/>
        <v>0</v>
      </c>
      <c r="FV330" s="21">
        <f t="shared" ref="FV330:GC330" si="1823">IF($F$290, 0, IF($E$297, IF(AND(COLUMN($FV$330)-COLUMN($DZ$327)=$Q$291,ROW($FV$330)-ROW($DZ$327)=$K$291), U$290, FV330), FV330))</f>
        <v>0</v>
      </c>
      <c r="FW330" s="21">
        <f t="shared" si="1823"/>
        <v>0</v>
      </c>
      <c r="FX330" s="21">
        <f t="shared" si="1823"/>
        <v>0</v>
      </c>
      <c r="FY330" s="21">
        <f t="shared" si="1823"/>
        <v>0</v>
      </c>
      <c r="FZ330" s="21">
        <f t="shared" si="1823"/>
        <v>0</v>
      </c>
      <c r="GA330" s="21">
        <f t="shared" si="1823"/>
        <v>0</v>
      </c>
      <c r="GB330" s="21">
        <f t="shared" si="1823"/>
        <v>0</v>
      </c>
      <c r="GC330" s="21">
        <f t="shared" si="1823"/>
        <v>0</v>
      </c>
      <c r="GD330" s="21">
        <f t="shared" ref="GD330:GK330" si="1824">IF($F$290, 0, IF($E$297, IF(AND(COLUMN($GD$330)-COLUMN($DZ$327)=$Q$291,ROW($GD$330)-ROW($DZ$327)=$K$291), U$290, GD330), GD330))</f>
        <v>0</v>
      </c>
      <c r="GE330" s="21">
        <f t="shared" si="1824"/>
        <v>0</v>
      </c>
      <c r="GF330" s="21">
        <f t="shared" si="1824"/>
        <v>0</v>
      </c>
      <c r="GG330" s="21">
        <f t="shared" si="1824"/>
        <v>0</v>
      </c>
      <c r="GH330" s="21">
        <f t="shared" si="1824"/>
        <v>0</v>
      </c>
      <c r="GI330" s="21">
        <f t="shared" si="1824"/>
        <v>0</v>
      </c>
      <c r="GJ330" s="21">
        <f t="shared" si="1824"/>
        <v>0</v>
      </c>
      <c r="GK330" s="21">
        <f t="shared" si="1824"/>
        <v>0</v>
      </c>
      <c r="GL330" s="21">
        <f t="shared" ref="GL330:GS330" si="1825">IF($F$290, 0, IF($F$297, IF(AND(COLUMN($GL$330)-COLUMN($GL$327)=$Q$291,ROW($GL$330)-ROW($GL$327)=$K$291), U$290, GL330), GL330))</f>
        <v>0</v>
      </c>
      <c r="GM330" s="21">
        <f t="shared" si="1825"/>
        <v>0</v>
      </c>
      <c r="GN330" s="21">
        <f t="shared" si="1825"/>
        <v>0</v>
      </c>
      <c r="GO330" s="21">
        <f t="shared" si="1825"/>
        <v>0</v>
      </c>
      <c r="GP330" s="21">
        <f t="shared" si="1825"/>
        <v>0</v>
      </c>
      <c r="GQ330" s="21">
        <f t="shared" si="1825"/>
        <v>0</v>
      </c>
      <c r="GR330" s="21">
        <f t="shared" si="1825"/>
        <v>0</v>
      </c>
      <c r="GS330" s="21">
        <f t="shared" si="1825"/>
        <v>0</v>
      </c>
      <c r="GT330" s="21">
        <f t="shared" ref="GT330:HA330" si="1826">IF($F$290, 0, IF($F$297, IF(AND(COLUMN($GT$330)-COLUMN($GL$327)=$Q$291,ROW($GT$330)-ROW($GL$327)=$K$291), U$290, GT330), GT330))</f>
        <v>0</v>
      </c>
      <c r="GU330" s="21">
        <f t="shared" si="1826"/>
        <v>0</v>
      </c>
      <c r="GV330" s="21">
        <f t="shared" si="1826"/>
        <v>0</v>
      </c>
      <c r="GW330" s="21">
        <f t="shared" si="1826"/>
        <v>0</v>
      </c>
      <c r="GX330" s="21">
        <f t="shared" si="1826"/>
        <v>0</v>
      </c>
      <c r="GY330" s="21">
        <f t="shared" si="1826"/>
        <v>0</v>
      </c>
      <c r="GZ330" s="21">
        <f t="shared" si="1826"/>
        <v>0</v>
      </c>
      <c r="HA330" s="21">
        <f t="shared" si="1826"/>
        <v>0</v>
      </c>
      <c r="HB330" s="21">
        <f t="shared" ref="HB330:HI330" si="1827">IF($F$290, 0, IF($F$297, IF(AND(COLUMN($HB$330)-COLUMN($GL$327)=$Q$291,ROW($HB$330)-ROW($GL$327)=$K$291), U$290, HB330), HB330))</f>
        <v>0</v>
      </c>
      <c r="HC330" s="21">
        <f t="shared" si="1827"/>
        <v>0</v>
      </c>
      <c r="HD330" s="21">
        <f t="shared" si="1827"/>
        <v>0</v>
      </c>
      <c r="HE330" s="21">
        <f t="shared" si="1827"/>
        <v>0</v>
      </c>
      <c r="HF330" s="21">
        <f t="shared" si="1827"/>
        <v>0</v>
      </c>
      <c r="HG330" s="21">
        <f t="shared" si="1827"/>
        <v>0</v>
      </c>
      <c r="HH330" s="21">
        <f t="shared" si="1827"/>
        <v>0</v>
      </c>
      <c r="HI330" s="21">
        <f t="shared" si="1827"/>
        <v>0</v>
      </c>
      <c r="HJ330" s="21">
        <f t="shared" ref="HJ330:HQ330" si="1828">IF($F$290, 0, IF($F$297, IF(AND(COLUMN($HJ$330)-COLUMN($GL$327)=$Q$291,ROW($HJ$330)-ROW($GL$327)=$K$291), U$290, HJ330), HJ330))</f>
        <v>0</v>
      </c>
      <c r="HK330" s="21">
        <f t="shared" si="1828"/>
        <v>0</v>
      </c>
      <c r="HL330" s="21">
        <f t="shared" si="1828"/>
        <v>0</v>
      </c>
      <c r="HM330" s="21">
        <f t="shared" si="1828"/>
        <v>0</v>
      </c>
      <c r="HN330" s="21">
        <f t="shared" si="1828"/>
        <v>0</v>
      </c>
      <c r="HO330" s="21">
        <f t="shared" si="1828"/>
        <v>0</v>
      </c>
      <c r="HP330" s="21">
        <f t="shared" si="1828"/>
        <v>0</v>
      </c>
      <c r="HQ330" s="21">
        <f t="shared" si="1828"/>
        <v>0</v>
      </c>
      <c r="HR330" s="21">
        <f t="shared" ref="HR330:HY330" si="1829">IF($F$290, 0, IF($F$297, IF(AND(COLUMN($HR$330)-COLUMN($GL$327)=$Q$291,ROW($HR$330)-ROW($GL$327)=$K$291), U$290, HR330), HR330))</f>
        <v>0</v>
      </c>
      <c r="HS330" s="21">
        <f t="shared" si="1829"/>
        <v>0</v>
      </c>
      <c r="HT330" s="21">
        <f t="shared" si="1829"/>
        <v>0</v>
      </c>
      <c r="HU330" s="21">
        <f t="shared" si="1829"/>
        <v>0</v>
      </c>
      <c r="HV330" s="21">
        <f t="shared" si="1829"/>
        <v>0</v>
      </c>
      <c r="HW330" s="21">
        <f t="shared" si="1829"/>
        <v>0</v>
      </c>
      <c r="HX330" s="21">
        <f t="shared" si="1829"/>
        <v>0</v>
      </c>
      <c r="HY330" s="21">
        <f t="shared" si="1829"/>
        <v>0</v>
      </c>
      <c r="HZ330" s="21">
        <f t="shared" ref="HZ330:IG330" si="1830">IF($F$290, 0, IF($F$297, IF(AND(COLUMN($HZ$330)-COLUMN($GL$327)=$Q$291,ROW($HZ$330)-ROW($GL$327)=$K$291), U$290, HZ330), HZ330))</f>
        <v>0</v>
      </c>
      <c r="IA330" s="21">
        <f t="shared" si="1830"/>
        <v>0</v>
      </c>
      <c r="IB330" s="21">
        <f t="shared" si="1830"/>
        <v>0</v>
      </c>
      <c r="IC330" s="21">
        <f t="shared" si="1830"/>
        <v>0</v>
      </c>
      <c r="ID330" s="21">
        <f t="shared" si="1830"/>
        <v>0</v>
      </c>
      <c r="IE330" s="21">
        <f t="shared" si="1830"/>
        <v>0</v>
      </c>
      <c r="IF330" s="21">
        <f t="shared" si="1830"/>
        <v>0</v>
      </c>
      <c r="IG330" s="21">
        <f t="shared" si="1830"/>
        <v>0</v>
      </c>
      <c r="IH330" s="21">
        <f t="shared" ref="IH330:IO330" si="1831">IF($F$290, 0, IF($F$297, IF(AND(COLUMN($IH$330)-COLUMN($GL$327)=$Q$291,ROW($IH$330)-ROW($GL$327)=$K$291), U$290, IH330), IH330))</f>
        <v>0</v>
      </c>
      <c r="II330" s="21">
        <f t="shared" si="1831"/>
        <v>0</v>
      </c>
      <c r="IJ330" s="21">
        <f t="shared" si="1831"/>
        <v>0</v>
      </c>
      <c r="IK330" s="21">
        <f t="shared" si="1831"/>
        <v>0</v>
      </c>
      <c r="IL330" s="21">
        <f t="shared" si="1831"/>
        <v>0</v>
      </c>
      <c r="IM330" s="21">
        <f t="shared" si="1831"/>
        <v>0</v>
      </c>
      <c r="IN330" s="21">
        <f t="shared" si="1831"/>
        <v>0</v>
      </c>
      <c r="IO330" s="21">
        <f t="shared" si="1831"/>
        <v>0</v>
      </c>
      <c r="IP330" s="21">
        <f t="shared" ref="IP330:IW330" si="1832">IF($F$290, 0, IF($F$297, IF(AND(COLUMN($IP$330)-COLUMN($GL$327)=$Q$291,ROW($IP$330)-ROW($GL$327)=$K$291), U$290, IP330), IP330))</f>
        <v>0</v>
      </c>
      <c r="IQ330" s="21">
        <f t="shared" si="1832"/>
        <v>0</v>
      </c>
      <c r="IR330" s="21">
        <f t="shared" si="1832"/>
        <v>0</v>
      </c>
      <c r="IS330" s="21">
        <f t="shared" si="1832"/>
        <v>0</v>
      </c>
      <c r="IT330" s="21">
        <f t="shared" si="1832"/>
        <v>0</v>
      </c>
      <c r="IU330" s="21">
        <f t="shared" si="1832"/>
        <v>0</v>
      </c>
      <c r="IV330" s="21">
        <f t="shared" si="1832"/>
        <v>0</v>
      </c>
      <c r="IW330" s="21">
        <f t="shared" si="1832"/>
        <v>0</v>
      </c>
      <c r="IX330" s="21">
        <f t="shared" ref="IX330:JE330" si="1833">IF($F$290, 0, IF($G$297, IF(AND(COLUMN($IX$330)-COLUMN($IX$327)=$Q$291,ROW($IX$330)-ROW($IX$327)=$K$291), U$290, IX330), IX330))</f>
        <v>0</v>
      </c>
      <c r="IY330" s="21">
        <f t="shared" si="1833"/>
        <v>0</v>
      </c>
      <c r="IZ330" s="21">
        <f t="shared" si="1833"/>
        <v>0</v>
      </c>
      <c r="JA330" s="21">
        <f t="shared" si="1833"/>
        <v>0</v>
      </c>
      <c r="JB330" s="21">
        <f t="shared" si="1833"/>
        <v>0</v>
      </c>
      <c r="JC330" s="21">
        <f t="shared" si="1833"/>
        <v>0</v>
      </c>
      <c r="JD330" s="21">
        <f t="shared" si="1833"/>
        <v>0</v>
      </c>
      <c r="JE330" s="21">
        <f t="shared" si="1833"/>
        <v>0</v>
      </c>
      <c r="JF330" s="21">
        <f t="shared" ref="JF330:JM330" si="1834">IF($F$290, 0, IF($G$297, IF(AND(COLUMN($JF$330)-COLUMN($IX$327)=$Q$291,ROW($JF$330)-ROW($IX$327)=$K$291), U$290, JF330), JF330))</f>
        <v>0</v>
      </c>
      <c r="JG330" s="21">
        <f t="shared" si="1834"/>
        <v>0</v>
      </c>
      <c r="JH330" s="21">
        <f t="shared" si="1834"/>
        <v>0</v>
      </c>
      <c r="JI330" s="21">
        <f t="shared" si="1834"/>
        <v>0</v>
      </c>
      <c r="JJ330" s="21">
        <f t="shared" si="1834"/>
        <v>0</v>
      </c>
      <c r="JK330" s="21">
        <f t="shared" si="1834"/>
        <v>0</v>
      </c>
      <c r="JL330" s="21">
        <f t="shared" si="1834"/>
        <v>0</v>
      </c>
      <c r="JM330" s="21">
        <f t="shared" si="1834"/>
        <v>0</v>
      </c>
      <c r="JN330" s="21">
        <f t="shared" ref="JN330:JU330" si="1835">IF($F$290, 0, IF($G$297, IF(AND(COLUMN($JN$330)-COLUMN($IX$327)=$Q$291,ROW($JN$330)-ROW($IX$327)=$K$291), U$290, JN330), JN330))</f>
        <v>0</v>
      </c>
      <c r="JO330" s="21">
        <f t="shared" si="1835"/>
        <v>0</v>
      </c>
      <c r="JP330" s="21">
        <f t="shared" si="1835"/>
        <v>0</v>
      </c>
      <c r="JQ330" s="21">
        <f t="shared" si="1835"/>
        <v>0</v>
      </c>
      <c r="JR330" s="21">
        <f t="shared" si="1835"/>
        <v>0</v>
      </c>
      <c r="JS330" s="21">
        <f t="shared" si="1835"/>
        <v>0</v>
      </c>
      <c r="JT330" s="21">
        <f t="shared" si="1835"/>
        <v>0</v>
      </c>
      <c r="JU330" s="21">
        <f t="shared" si="1835"/>
        <v>0</v>
      </c>
      <c r="JV330" s="21">
        <f t="shared" ref="JV330:KC330" si="1836">IF($F$290, 0, IF($G$297, IF(AND(COLUMN($JV$330)-COLUMN($IX$327)=$Q$291,ROW($JV$330)-ROW($IX$327)=$K$291), U$290, JV330), JV330))</f>
        <v>0</v>
      </c>
      <c r="JW330" s="21">
        <f t="shared" si="1836"/>
        <v>0</v>
      </c>
      <c r="JX330" s="21">
        <f t="shared" si="1836"/>
        <v>0</v>
      </c>
      <c r="JY330" s="21">
        <f t="shared" si="1836"/>
        <v>0</v>
      </c>
      <c r="JZ330" s="21">
        <f t="shared" si="1836"/>
        <v>0</v>
      </c>
      <c r="KA330" s="21">
        <f t="shared" si="1836"/>
        <v>0</v>
      </c>
      <c r="KB330" s="21">
        <f t="shared" si="1836"/>
        <v>0</v>
      </c>
      <c r="KC330" s="21">
        <f t="shared" si="1836"/>
        <v>0</v>
      </c>
      <c r="KD330" s="21">
        <f t="shared" ref="KD330:KK330" si="1837">IF($F$290, 0, IF($G$297, IF(AND(COLUMN($KD$330)-COLUMN($IX$327)=$Q$291,ROW($KD$330)-ROW($IX$327)=$K$291), U$290, KD330), KD330))</f>
        <v>0</v>
      </c>
      <c r="KE330" s="21">
        <f t="shared" si="1837"/>
        <v>0</v>
      </c>
      <c r="KF330" s="21">
        <f t="shared" si="1837"/>
        <v>0</v>
      </c>
      <c r="KG330" s="21">
        <f t="shared" si="1837"/>
        <v>0</v>
      </c>
      <c r="KH330" s="21">
        <f t="shared" si="1837"/>
        <v>0</v>
      </c>
      <c r="KI330" s="21">
        <f t="shared" si="1837"/>
        <v>0</v>
      </c>
      <c r="KJ330" s="21">
        <f t="shared" si="1837"/>
        <v>0</v>
      </c>
      <c r="KK330" s="21">
        <f t="shared" si="1837"/>
        <v>0</v>
      </c>
      <c r="KL330" s="21">
        <f t="shared" ref="KL330:KS330" si="1838">IF($F$290, 0, IF($G$297, IF(AND(COLUMN($KL$330)-COLUMN($IX$327)=$Q$291,ROW($KL$330)-ROW($IX$327)=$K$291), U$290, KL330), KL330))</f>
        <v>0</v>
      </c>
      <c r="KM330" s="21">
        <f t="shared" si="1838"/>
        <v>0</v>
      </c>
      <c r="KN330" s="21">
        <f t="shared" si="1838"/>
        <v>0</v>
      </c>
      <c r="KO330" s="21">
        <f t="shared" si="1838"/>
        <v>0</v>
      </c>
      <c r="KP330" s="21">
        <f t="shared" si="1838"/>
        <v>0</v>
      </c>
      <c r="KQ330" s="21">
        <f t="shared" si="1838"/>
        <v>0</v>
      </c>
      <c r="KR330" s="21">
        <f t="shared" si="1838"/>
        <v>0</v>
      </c>
      <c r="KS330" s="21">
        <f t="shared" si="1838"/>
        <v>0</v>
      </c>
      <c r="KT330" s="21">
        <f t="shared" ref="KT330:LA330" si="1839">IF($F$290, 0, IF($G$297, IF(AND(COLUMN($KT$330)-COLUMN($IX$327)=$Q$291,ROW($KT$330)-ROW($IX$327)=$K$291), U$290, KT330), KT330))</f>
        <v>0</v>
      </c>
      <c r="KU330" s="21">
        <f t="shared" si="1839"/>
        <v>0</v>
      </c>
      <c r="KV330" s="21">
        <f t="shared" si="1839"/>
        <v>0</v>
      </c>
      <c r="KW330" s="21">
        <f t="shared" si="1839"/>
        <v>0</v>
      </c>
      <c r="KX330" s="21">
        <f t="shared" si="1839"/>
        <v>0</v>
      </c>
      <c r="KY330" s="21">
        <f t="shared" si="1839"/>
        <v>0</v>
      </c>
      <c r="KZ330" s="21">
        <f t="shared" si="1839"/>
        <v>0</v>
      </c>
      <c r="LA330" s="21">
        <f t="shared" si="1839"/>
        <v>0</v>
      </c>
      <c r="LB330" s="21">
        <f t="shared" ref="LB330:LI330" si="1840">IF($F$290, 0, IF($G$297, IF(AND(COLUMN($LB$330)-COLUMN($IX$327)=$Q$291,ROW($LB$330)-ROW($IX$327)=$K$291), U$290, LB330), LB330))</f>
        <v>0</v>
      </c>
      <c r="LC330" s="21">
        <f t="shared" si="1840"/>
        <v>0</v>
      </c>
      <c r="LD330" s="21">
        <f t="shared" si="1840"/>
        <v>0</v>
      </c>
      <c r="LE330" s="21">
        <f t="shared" si="1840"/>
        <v>0</v>
      </c>
      <c r="LF330" s="21">
        <f t="shared" si="1840"/>
        <v>0</v>
      </c>
      <c r="LG330" s="21">
        <f t="shared" si="1840"/>
        <v>0</v>
      </c>
      <c r="LH330" s="21">
        <f t="shared" si="1840"/>
        <v>0</v>
      </c>
      <c r="LI330" s="21">
        <f t="shared" si="1840"/>
        <v>0</v>
      </c>
      <c r="LJ330" s="21">
        <f t="shared" ref="LJ330:LQ330" si="1841">IF($F$290, 0, IF($H$297, IF(AND(COLUMN($LJ$330)-COLUMN($LJ$327)=$Q$291,ROW($LJ$330)-ROW($LJ$327)=$K$291), U$290, LJ330), LJ330))</f>
        <v>0</v>
      </c>
      <c r="LK330" s="21">
        <f t="shared" si="1841"/>
        <v>0</v>
      </c>
      <c r="LL330" s="21">
        <f t="shared" si="1841"/>
        <v>0</v>
      </c>
      <c r="LM330" s="21">
        <f t="shared" si="1841"/>
        <v>0</v>
      </c>
      <c r="LN330" s="21">
        <f t="shared" si="1841"/>
        <v>0</v>
      </c>
      <c r="LO330" s="21">
        <f t="shared" si="1841"/>
        <v>0</v>
      </c>
      <c r="LP330" s="21">
        <f t="shared" si="1841"/>
        <v>0</v>
      </c>
      <c r="LQ330" s="21">
        <f t="shared" si="1841"/>
        <v>0</v>
      </c>
      <c r="LR330" s="21">
        <f t="shared" ref="LR330:LY330" si="1842">IF($F$290, 0, IF($H$297, IF(AND(COLUMN($LR$330)-COLUMN($LJ$327)=$Q$291,ROW($LR$330)-ROW($LJ$327)=$K$291), U$290, LR330), LR330))</f>
        <v>0</v>
      </c>
      <c r="LS330" s="21">
        <f t="shared" si="1842"/>
        <v>0</v>
      </c>
      <c r="LT330" s="21">
        <f t="shared" si="1842"/>
        <v>0</v>
      </c>
      <c r="LU330" s="21">
        <f t="shared" si="1842"/>
        <v>0</v>
      </c>
      <c r="LV330" s="21">
        <f t="shared" si="1842"/>
        <v>0</v>
      </c>
      <c r="LW330" s="21">
        <f t="shared" si="1842"/>
        <v>0</v>
      </c>
      <c r="LX330" s="21">
        <f t="shared" si="1842"/>
        <v>0</v>
      </c>
      <c r="LY330" s="21">
        <f t="shared" si="1842"/>
        <v>0</v>
      </c>
      <c r="LZ330" s="21">
        <f t="shared" ref="LZ330:MG330" si="1843">IF($F$290, 0, IF($H$297, IF(AND(COLUMN($LZ$330)-COLUMN($LJ$327)=$Q$291,ROW($LZ$330)-ROW($LJ$327)=$K$291), U$290, LZ330), LZ330))</f>
        <v>0</v>
      </c>
      <c r="MA330" s="21">
        <f t="shared" si="1843"/>
        <v>0</v>
      </c>
      <c r="MB330" s="21">
        <f t="shared" si="1843"/>
        <v>0</v>
      </c>
      <c r="MC330" s="21">
        <f t="shared" si="1843"/>
        <v>0</v>
      </c>
      <c r="MD330" s="21">
        <f t="shared" si="1843"/>
        <v>0</v>
      </c>
      <c r="ME330" s="21">
        <f t="shared" si="1843"/>
        <v>0</v>
      </c>
      <c r="MF330" s="21">
        <f t="shared" si="1843"/>
        <v>0</v>
      </c>
      <c r="MG330" s="21">
        <f t="shared" si="1843"/>
        <v>0</v>
      </c>
      <c r="MH330" s="21">
        <f t="shared" ref="MH330:MO330" si="1844">IF($F$290, 0, IF($H$297, IF(AND(COLUMN($MH$330)-COLUMN($LJ$327)=$Q$291,ROW($MH$330)-ROW($LJ$327)=$K$291), U$290, MH330), MH330))</f>
        <v>0</v>
      </c>
      <c r="MI330" s="21">
        <f t="shared" si="1844"/>
        <v>0</v>
      </c>
      <c r="MJ330" s="21">
        <f t="shared" si="1844"/>
        <v>0</v>
      </c>
      <c r="MK330" s="21">
        <f t="shared" si="1844"/>
        <v>0</v>
      </c>
      <c r="ML330" s="21">
        <f t="shared" si="1844"/>
        <v>0</v>
      </c>
      <c r="MM330" s="21">
        <f t="shared" si="1844"/>
        <v>0</v>
      </c>
      <c r="MN330" s="21">
        <f t="shared" si="1844"/>
        <v>0</v>
      </c>
      <c r="MO330" s="21">
        <f t="shared" si="1844"/>
        <v>0</v>
      </c>
      <c r="MP330" s="21">
        <f t="shared" ref="MP330:MW330" si="1845">IF($F$290, 0, IF($H$297, IF(AND(COLUMN($MP$330)-COLUMN($LJ$327)=$Q$291,ROW($MP$330)-ROW($LJ$327)=$K$291), U$290, MP330), MP330))</f>
        <v>0</v>
      </c>
      <c r="MQ330" s="21">
        <f t="shared" si="1845"/>
        <v>0</v>
      </c>
      <c r="MR330" s="21">
        <f t="shared" si="1845"/>
        <v>0</v>
      </c>
      <c r="MS330" s="21">
        <f t="shared" si="1845"/>
        <v>0</v>
      </c>
      <c r="MT330" s="21">
        <f t="shared" si="1845"/>
        <v>0</v>
      </c>
      <c r="MU330" s="21">
        <f t="shared" si="1845"/>
        <v>0</v>
      </c>
      <c r="MV330" s="21">
        <f t="shared" si="1845"/>
        <v>0</v>
      </c>
      <c r="MW330" s="21">
        <f t="shared" si="1845"/>
        <v>0</v>
      </c>
      <c r="MX330" s="21">
        <f t="shared" ref="MX330:NE330" si="1846">IF($F$290, 0, IF($H$297, IF(AND(COLUMN($MX$330)-COLUMN($LJ$327)=$Q$291,ROW($MX$330)-ROW($LJ$327)=$K$291), U$290, MX330), MX330))</f>
        <v>0</v>
      </c>
      <c r="MY330" s="21">
        <f t="shared" si="1846"/>
        <v>0</v>
      </c>
      <c r="MZ330" s="21">
        <f t="shared" si="1846"/>
        <v>0</v>
      </c>
      <c r="NA330" s="21">
        <f t="shared" si="1846"/>
        <v>0</v>
      </c>
      <c r="NB330" s="21">
        <f t="shared" si="1846"/>
        <v>0</v>
      </c>
      <c r="NC330" s="21">
        <f t="shared" si="1846"/>
        <v>0</v>
      </c>
      <c r="ND330" s="21">
        <f t="shared" si="1846"/>
        <v>0</v>
      </c>
      <c r="NE330" s="21">
        <f t="shared" si="1846"/>
        <v>0</v>
      </c>
      <c r="NF330" s="21">
        <f t="shared" ref="NF330:NM330" si="1847">IF($F$290, 0, IF($H$297, IF(AND(COLUMN($NF$330)-COLUMN($LJ$327)=$Q$291,ROW($NF$330)-ROW($LJ$327)=$K$291), U$290, NF330), NF330))</f>
        <v>0</v>
      </c>
      <c r="NG330" s="21">
        <f t="shared" si="1847"/>
        <v>0</v>
      </c>
      <c r="NH330" s="21">
        <f t="shared" si="1847"/>
        <v>0</v>
      </c>
      <c r="NI330" s="21">
        <f t="shared" si="1847"/>
        <v>0</v>
      </c>
      <c r="NJ330" s="21">
        <f t="shared" si="1847"/>
        <v>0</v>
      </c>
      <c r="NK330" s="21">
        <f t="shared" si="1847"/>
        <v>0</v>
      </c>
      <c r="NL330" s="21">
        <f t="shared" si="1847"/>
        <v>0</v>
      </c>
      <c r="NM330" s="21">
        <f t="shared" si="1847"/>
        <v>0</v>
      </c>
      <c r="NN330" s="21">
        <f t="shared" ref="NN330:NU330" si="1848">IF($F$290, 0, IF($H$297, IF(AND(COLUMN($NN$330)-COLUMN($LJ$327)=$Q$291,ROW($NN$330)-ROW($LJ$327)=$K$291), U$290, NN330), NN330))</f>
        <v>0</v>
      </c>
      <c r="NO330" s="21">
        <f t="shared" si="1848"/>
        <v>0</v>
      </c>
      <c r="NP330" s="21">
        <f t="shared" si="1848"/>
        <v>0</v>
      </c>
      <c r="NQ330" s="21">
        <f t="shared" si="1848"/>
        <v>0</v>
      </c>
      <c r="NR330" s="21">
        <f t="shared" si="1848"/>
        <v>0</v>
      </c>
      <c r="NS330" s="21">
        <f t="shared" si="1848"/>
        <v>0</v>
      </c>
      <c r="NT330" s="21">
        <f t="shared" si="1848"/>
        <v>0</v>
      </c>
      <c r="NU330" s="21">
        <f t="shared" si="1848"/>
        <v>0</v>
      </c>
      <c r="NV330" s="21">
        <f t="shared" ref="NV330:OC330" si="1849">IF($F$290, 0, IF($I$297, IF(AND(COLUMN($NV$330)-COLUMN($NV$327)=$Q$291,ROW($NV$330)-ROW($NV$327)=$K$291), U$290, NV330), NV330))</f>
        <v>0</v>
      </c>
      <c r="NW330" s="21">
        <f t="shared" si="1849"/>
        <v>0</v>
      </c>
      <c r="NX330" s="21">
        <f t="shared" si="1849"/>
        <v>0</v>
      </c>
      <c r="NY330" s="21">
        <f t="shared" si="1849"/>
        <v>0</v>
      </c>
      <c r="NZ330" s="21">
        <f t="shared" si="1849"/>
        <v>0</v>
      </c>
      <c r="OA330" s="21">
        <f t="shared" si="1849"/>
        <v>0</v>
      </c>
      <c r="OB330" s="21">
        <f t="shared" si="1849"/>
        <v>0</v>
      </c>
      <c r="OC330" s="21">
        <f t="shared" si="1849"/>
        <v>0</v>
      </c>
      <c r="OD330" s="21">
        <f t="shared" ref="OD330:OK330" si="1850">IF($F$290, 0, IF($I$297, IF(AND(COLUMN($OD$330)-COLUMN($NV$327)=$Q$291,ROW($OD$330)-ROW($NV$327)=$K$291), U$290, OD330), OD330))</f>
        <v>0</v>
      </c>
      <c r="OE330" s="21">
        <f t="shared" si="1850"/>
        <v>0</v>
      </c>
      <c r="OF330" s="21">
        <f t="shared" si="1850"/>
        <v>0</v>
      </c>
      <c r="OG330" s="21">
        <f t="shared" si="1850"/>
        <v>0</v>
      </c>
      <c r="OH330" s="21">
        <f t="shared" si="1850"/>
        <v>0</v>
      </c>
      <c r="OI330" s="21">
        <f t="shared" si="1850"/>
        <v>0</v>
      </c>
      <c r="OJ330" s="21">
        <f t="shared" si="1850"/>
        <v>0</v>
      </c>
      <c r="OK330" s="21">
        <f t="shared" si="1850"/>
        <v>0</v>
      </c>
      <c r="OL330" s="21">
        <f t="shared" ref="OL330:OS330" si="1851">IF($F$290, 0, IF($I$297, IF(AND(COLUMN($OL$330)-COLUMN($NV$327)=$Q$291,ROW($OL$330)-ROW($NV$327)=$K$291), U$290, OL330), OL330))</f>
        <v>0</v>
      </c>
      <c r="OM330" s="21">
        <f t="shared" si="1851"/>
        <v>0</v>
      </c>
      <c r="ON330" s="21">
        <f t="shared" si="1851"/>
        <v>0</v>
      </c>
      <c r="OO330" s="21">
        <f t="shared" si="1851"/>
        <v>0</v>
      </c>
      <c r="OP330" s="21">
        <f t="shared" si="1851"/>
        <v>0</v>
      </c>
      <c r="OQ330" s="21">
        <f t="shared" si="1851"/>
        <v>0</v>
      </c>
      <c r="OR330" s="21">
        <f t="shared" si="1851"/>
        <v>0</v>
      </c>
      <c r="OS330" s="21">
        <f t="shared" si="1851"/>
        <v>0</v>
      </c>
      <c r="OT330" s="21">
        <f t="shared" ref="OT330:PA330" si="1852">IF($F$290, 0, IF($I$297, IF(AND(COLUMN($OT$330)-COLUMN($NV$327)=$Q$291,ROW($OT$330)-ROW($NV$327)=$K$291), U$290, OT330), OT330))</f>
        <v>0</v>
      </c>
      <c r="OU330" s="21">
        <f t="shared" si="1852"/>
        <v>0</v>
      </c>
      <c r="OV330" s="21">
        <f t="shared" si="1852"/>
        <v>0</v>
      </c>
      <c r="OW330" s="21">
        <f t="shared" si="1852"/>
        <v>0</v>
      </c>
      <c r="OX330" s="21">
        <f t="shared" si="1852"/>
        <v>0</v>
      </c>
      <c r="OY330" s="21">
        <f t="shared" si="1852"/>
        <v>0</v>
      </c>
      <c r="OZ330" s="21">
        <f t="shared" si="1852"/>
        <v>0</v>
      </c>
      <c r="PA330" s="21">
        <f t="shared" si="1852"/>
        <v>0</v>
      </c>
      <c r="PB330" s="21">
        <f t="shared" ref="PB330:PI330" si="1853">IF($F$290, 0, IF($I$297, IF(AND(COLUMN($PB$330)-COLUMN($NV$327)=$Q$291,ROW($PB$330)-ROW($NV$327)=$K$291), U$290, PB330), PB330))</f>
        <v>0</v>
      </c>
      <c r="PC330" s="21">
        <f t="shared" si="1853"/>
        <v>0</v>
      </c>
      <c r="PD330" s="21">
        <f t="shared" si="1853"/>
        <v>0</v>
      </c>
      <c r="PE330" s="21">
        <f t="shared" si="1853"/>
        <v>0</v>
      </c>
      <c r="PF330" s="21">
        <f t="shared" si="1853"/>
        <v>0</v>
      </c>
      <c r="PG330" s="21">
        <f t="shared" si="1853"/>
        <v>0</v>
      </c>
      <c r="PH330" s="21">
        <f t="shared" si="1853"/>
        <v>0</v>
      </c>
      <c r="PI330" s="21">
        <f t="shared" si="1853"/>
        <v>0</v>
      </c>
      <c r="PJ330" s="21">
        <f t="shared" ref="PJ330:PQ330" si="1854">IF($F$290, 0, IF($I$297, IF(AND(COLUMN($PJ$330)-COLUMN($NV$327)=$Q$291,ROW($PJ$330)-ROW($NV$327)=$K$291), U$290, PJ330), PJ330))</f>
        <v>0</v>
      </c>
      <c r="PK330" s="21">
        <f t="shared" si="1854"/>
        <v>0</v>
      </c>
      <c r="PL330" s="21">
        <f t="shared" si="1854"/>
        <v>0</v>
      </c>
      <c r="PM330" s="21">
        <f t="shared" si="1854"/>
        <v>0</v>
      </c>
      <c r="PN330" s="21">
        <f t="shared" si="1854"/>
        <v>0</v>
      </c>
      <c r="PO330" s="21">
        <f t="shared" si="1854"/>
        <v>0</v>
      </c>
      <c r="PP330" s="21">
        <f t="shared" si="1854"/>
        <v>0</v>
      </c>
      <c r="PQ330" s="21">
        <f t="shared" si="1854"/>
        <v>0</v>
      </c>
      <c r="PR330" s="21">
        <f t="shared" ref="PR330:PY330" si="1855">IF($F$290, 0, IF($I$297, IF(AND(COLUMN($PR$330)-COLUMN($NV$327)=$Q$291,ROW($PR$330)-ROW($NV$327)=$K$291), U$290, PR330), PR330))</f>
        <v>0</v>
      </c>
      <c r="PS330" s="21">
        <f t="shared" si="1855"/>
        <v>0</v>
      </c>
      <c r="PT330" s="21">
        <f t="shared" si="1855"/>
        <v>0</v>
      </c>
      <c r="PU330" s="21">
        <f t="shared" si="1855"/>
        <v>0</v>
      </c>
      <c r="PV330" s="21">
        <f t="shared" si="1855"/>
        <v>0</v>
      </c>
      <c r="PW330" s="21">
        <f t="shared" si="1855"/>
        <v>0</v>
      </c>
      <c r="PX330" s="21">
        <f t="shared" si="1855"/>
        <v>0</v>
      </c>
      <c r="PY330" s="21">
        <f t="shared" si="1855"/>
        <v>0</v>
      </c>
      <c r="PZ330" s="21">
        <f t="shared" ref="PZ330:QG330" si="1856">IF($F$290, 0, IF($I$297, IF(AND(COLUMN($PZ$330)-COLUMN($NV$327)=$Q$291,ROW($PZ$330)-ROW($NV$327)=$K$291), U$290, PZ330), PZ330))</f>
        <v>0</v>
      </c>
      <c r="QA330" s="21">
        <f t="shared" si="1856"/>
        <v>0</v>
      </c>
      <c r="QB330" s="21">
        <f t="shared" si="1856"/>
        <v>0</v>
      </c>
      <c r="QC330" s="21">
        <f t="shared" si="1856"/>
        <v>0</v>
      </c>
      <c r="QD330" s="21">
        <f t="shared" si="1856"/>
        <v>0</v>
      </c>
      <c r="QE330" s="21">
        <f t="shared" si="1856"/>
        <v>0</v>
      </c>
      <c r="QF330" s="21">
        <f t="shared" si="1856"/>
        <v>0</v>
      </c>
      <c r="QG330" s="21">
        <f t="shared" si="1856"/>
        <v>0</v>
      </c>
      <c r="QH330" s="21">
        <f t="shared" ref="QH330:QO330" si="1857">IF($F$290, 0, IF($J$297, IF(AND(COLUMN($QH$330)-COLUMN($QH$327)=$Q$291,ROW($QH$330)-ROW($QH$327)=$K$291), U$290, QH330), QH330))</f>
        <v>0</v>
      </c>
      <c r="QI330" s="21">
        <f t="shared" si="1857"/>
        <v>0</v>
      </c>
      <c r="QJ330" s="21">
        <f t="shared" si="1857"/>
        <v>0</v>
      </c>
      <c r="QK330" s="21">
        <f t="shared" si="1857"/>
        <v>0</v>
      </c>
      <c r="QL330" s="21">
        <f t="shared" si="1857"/>
        <v>0</v>
      </c>
      <c r="QM330" s="21">
        <f t="shared" si="1857"/>
        <v>0</v>
      </c>
      <c r="QN330" s="21">
        <f t="shared" si="1857"/>
        <v>0</v>
      </c>
      <c r="QO330" s="21">
        <f t="shared" si="1857"/>
        <v>0</v>
      </c>
      <c r="QP330" s="21">
        <f t="shared" ref="QP330:QW330" si="1858">IF($F$290, 0, IF($J$297, IF(AND(COLUMN($QP$330)-COLUMN($QH$327)=$Q$291,ROW($QP$330)-ROW($QH$327)=$K$291), U$290, QP330), QP330))</f>
        <v>0</v>
      </c>
      <c r="QQ330" s="21">
        <f t="shared" si="1858"/>
        <v>0</v>
      </c>
      <c r="QR330" s="21">
        <f t="shared" si="1858"/>
        <v>0</v>
      </c>
      <c r="QS330" s="21">
        <f t="shared" si="1858"/>
        <v>0</v>
      </c>
      <c r="QT330" s="21">
        <f t="shared" si="1858"/>
        <v>0</v>
      </c>
      <c r="QU330" s="21">
        <f t="shared" si="1858"/>
        <v>0</v>
      </c>
      <c r="QV330" s="21">
        <f t="shared" si="1858"/>
        <v>0</v>
      </c>
      <c r="QW330" s="21">
        <f t="shared" si="1858"/>
        <v>0</v>
      </c>
      <c r="QX330" s="21">
        <f t="shared" ref="QX330:RE330" si="1859">IF($F$290, 0, IF($J$297, IF(AND(COLUMN($QX$330)-COLUMN($QH$327)=$Q$291,ROW($QX$330)-ROW($QH$327)=$K$291), U$290, QX330), QX330))</f>
        <v>0</v>
      </c>
      <c r="QY330" s="21">
        <f t="shared" si="1859"/>
        <v>0</v>
      </c>
      <c r="QZ330" s="21">
        <f t="shared" si="1859"/>
        <v>0</v>
      </c>
      <c r="RA330" s="21">
        <f t="shared" si="1859"/>
        <v>0</v>
      </c>
      <c r="RB330" s="21">
        <f t="shared" si="1859"/>
        <v>0</v>
      </c>
      <c r="RC330" s="21">
        <f t="shared" si="1859"/>
        <v>0</v>
      </c>
      <c r="RD330" s="21">
        <f t="shared" si="1859"/>
        <v>0</v>
      </c>
      <c r="RE330" s="21">
        <f t="shared" si="1859"/>
        <v>0</v>
      </c>
      <c r="RF330" s="21">
        <f t="shared" ref="RF330:RM330" si="1860">IF($F$290, 0, IF($J$297, IF(AND(COLUMN($RF$330)-COLUMN($QH$327)=$Q$291,ROW($RF$330)-ROW($QH$327)=$K$291), U$290, RF330), RF330))</f>
        <v>0</v>
      </c>
      <c r="RG330" s="21">
        <f t="shared" si="1860"/>
        <v>0</v>
      </c>
      <c r="RH330" s="21">
        <f t="shared" si="1860"/>
        <v>0</v>
      </c>
      <c r="RI330" s="21">
        <f t="shared" si="1860"/>
        <v>0</v>
      </c>
      <c r="RJ330" s="21">
        <f t="shared" si="1860"/>
        <v>0</v>
      </c>
      <c r="RK330" s="21">
        <f t="shared" si="1860"/>
        <v>0</v>
      </c>
      <c r="RL330" s="21">
        <f t="shared" si="1860"/>
        <v>0</v>
      </c>
      <c r="RM330" s="21">
        <f t="shared" si="1860"/>
        <v>0</v>
      </c>
      <c r="RN330" s="21">
        <f t="shared" ref="RN330:RU330" si="1861">IF($F$290, 0, IF($J$297, IF(AND(COLUMN($RN$330)-COLUMN($QH$327)=$Q$291,ROW($RN$330)-ROW($QH$327)=$K$291), U$290, RN330), RN330))</f>
        <v>0</v>
      </c>
      <c r="RO330" s="21">
        <f t="shared" si="1861"/>
        <v>0</v>
      </c>
      <c r="RP330" s="21">
        <f t="shared" si="1861"/>
        <v>0</v>
      </c>
      <c r="RQ330" s="21">
        <f t="shared" si="1861"/>
        <v>0</v>
      </c>
      <c r="RR330" s="21">
        <f t="shared" si="1861"/>
        <v>0</v>
      </c>
      <c r="RS330" s="21">
        <f t="shared" si="1861"/>
        <v>0</v>
      </c>
      <c r="RT330" s="21">
        <f t="shared" si="1861"/>
        <v>0</v>
      </c>
      <c r="RU330" s="21">
        <f t="shared" si="1861"/>
        <v>0</v>
      </c>
      <c r="RV330" s="21">
        <f t="shared" ref="RV330:SC330" si="1862">IF($F$290, 0, IF($J$297, IF(AND(COLUMN($RV$330)-COLUMN($QH$327)=$Q$291,ROW($RV$330)-ROW($QH$327)=$K$291), U$290, RV330), RV330))</f>
        <v>0</v>
      </c>
      <c r="RW330" s="21">
        <f t="shared" si="1862"/>
        <v>0</v>
      </c>
      <c r="RX330" s="21">
        <f t="shared" si="1862"/>
        <v>0</v>
      </c>
      <c r="RY330" s="21">
        <f t="shared" si="1862"/>
        <v>0</v>
      </c>
      <c r="RZ330" s="21">
        <f t="shared" si="1862"/>
        <v>0</v>
      </c>
      <c r="SA330" s="21">
        <f t="shared" si="1862"/>
        <v>0</v>
      </c>
      <c r="SB330" s="21">
        <f t="shared" si="1862"/>
        <v>0</v>
      </c>
      <c r="SC330" s="21">
        <f t="shared" si="1862"/>
        <v>0</v>
      </c>
      <c r="SD330" s="21">
        <f t="shared" ref="SD330:SK330" si="1863">IF($F$290, 0, IF($J$297, IF(AND(COLUMN($SD$330)-COLUMN($QH$327)=$Q$291,ROW($SD$330)-ROW($QH$327)=$K$291), U$290, SD330), SD330))</f>
        <v>0</v>
      </c>
      <c r="SE330" s="21">
        <f t="shared" si="1863"/>
        <v>0</v>
      </c>
      <c r="SF330" s="21">
        <f t="shared" si="1863"/>
        <v>0</v>
      </c>
      <c r="SG330" s="21">
        <f t="shared" si="1863"/>
        <v>0</v>
      </c>
      <c r="SH330" s="21">
        <f t="shared" si="1863"/>
        <v>0</v>
      </c>
      <c r="SI330" s="21">
        <f t="shared" si="1863"/>
        <v>0</v>
      </c>
      <c r="SJ330" s="21">
        <f t="shared" si="1863"/>
        <v>0</v>
      </c>
      <c r="SK330" s="21">
        <f t="shared" si="1863"/>
        <v>0</v>
      </c>
      <c r="SL330" s="21">
        <f t="shared" ref="SL330:SS330" si="1864">IF($F$290, 0, IF($J$297, IF(AND(COLUMN($SL$330)-COLUMN($QH$327)=$Q$291,ROW($SL$330)-ROW($QH$327)=$K$291), U$290, SL330), SL330))</f>
        <v>0</v>
      </c>
      <c r="SM330" s="21">
        <f t="shared" si="1864"/>
        <v>0</v>
      </c>
      <c r="SN330" s="21">
        <f t="shared" si="1864"/>
        <v>0</v>
      </c>
      <c r="SO330" s="21">
        <f t="shared" si="1864"/>
        <v>0</v>
      </c>
      <c r="SP330" s="21">
        <f t="shared" si="1864"/>
        <v>0</v>
      </c>
      <c r="SQ330" s="21">
        <f t="shared" si="1864"/>
        <v>0</v>
      </c>
      <c r="SR330" s="21">
        <f t="shared" si="1864"/>
        <v>0</v>
      </c>
      <c r="SS330" s="21">
        <f t="shared" si="1864"/>
        <v>0</v>
      </c>
    </row>
    <row r="331" spans="2:513" ht="15" customHeight="1" x14ac:dyDescent="0.25">
      <c r="B331" s="21">
        <f t="shared" ref="B331:I331" si="1865">IF($F$290, 0, IF($C$297, IF(AND(COLUMN($B$331)-COLUMN($B$327)=$Q$291,ROW($B$331)-ROW($B$327)=$K$291), U$290, B331), B331))</f>
        <v>0</v>
      </c>
      <c r="C331" s="21">
        <f t="shared" si="1865"/>
        <v>0</v>
      </c>
      <c r="D331" s="21">
        <f t="shared" si="1865"/>
        <v>0</v>
      </c>
      <c r="E331" s="21">
        <f t="shared" si="1865"/>
        <v>0</v>
      </c>
      <c r="F331" s="21">
        <f t="shared" si="1865"/>
        <v>0</v>
      </c>
      <c r="G331" s="21">
        <f t="shared" si="1865"/>
        <v>0</v>
      </c>
      <c r="H331" s="21">
        <f t="shared" si="1865"/>
        <v>0</v>
      </c>
      <c r="I331" s="21">
        <f t="shared" si="1865"/>
        <v>0</v>
      </c>
      <c r="J331" s="21">
        <f t="shared" ref="J331:Q331" si="1866">IF($F$290, 0, IF($C$297, IF(AND(COLUMN($J$331)-COLUMN($B$327)=$Q$291,ROW($J$331)-ROW($B$327)=$K$291), U$290, J331), J331))</f>
        <v>0</v>
      </c>
      <c r="K331" s="21">
        <f t="shared" si="1866"/>
        <v>0</v>
      </c>
      <c r="L331" s="21">
        <f t="shared" si="1866"/>
        <v>0</v>
      </c>
      <c r="M331" s="21">
        <f t="shared" si="1866"/>
        <v>0</v>
      </c>
      <c r="N331" s="21">
        <f t="shared" si="1866"/>
        <v>0</v>
      </c>
      <c r="O331" s="21">
        <f t="shared" si="1866"/>
        <v>0</v>
      </c>
      <c r="P331" s="21">
        <f t="shared" si="1866"/>
        <v>0</v>
      </c>
      <c r="Q331" s="21">
        <f t="shared" si="1866"/>
        <v>0</v>
      </c>
      <c r="R331" s="21">
        <f>IF($F$290, 0, IF($C$297, IF(AND(COLUMN($R$331)-COLUMN($B$327)=$Q$291,ROW($R$331)-ROW($B$327)=$K$291), U$290, R331), R331))</f>
        <v>0</v>
      </c>
      <c r="S331" s="21">
        <f t="shared" ref="S331:Y331" si="1867">IF($F$290, 0, IF($C$297, IF(AND(COLUMN($R$331)-COLUMN($B$327)=$Q$291,ROW($R$331)-ROW($B$327)=$K$291), V$290, S331), S331))</f>
        <v>0</v>
      </c>
      <c r="T331" s="21">
        <f t="shared" si="1867"/>
        <v>0</v>
      </c>
      <c r="U331" s="21">
        <f t="shared" si="1867"/>
        <v>0</v>
      </c>
      <c r="V331" s="21">
        <f t="shared" si="1867"/>
        <v>0</v>
      </c>
      <c r="W331" s="21">
        <f t="shared" si="1867"/>
        <v>0</v>
      </c>
      <c r="X331" s="21">
        <f t="shared" si="1867"/>
        <v>0</v>
      </c>
      <c r="Y331" s="21">
        <f t="shared" si="1867"/>
        <v>0</v>
      </c>
      <c r="Z331" s="21">
        <f t="shared" ref="Z331:AG331" si="1868">IF($F$290, 0, IF($C$297, IF(AND(COLUMN($Z$331)-COLUMN($B$327)=$Q$291,ROW($Z$331)-ROW($B$327)=$K$291), U$290, Z331), Z331))</f>
        <v>0</v>
      </c>
      <c r="AA331" s="21">
        <f t="shared" si="1868"/>
        <v>0</v>
      </c>
      <c r="AB331" s="21">
        <f t="shared" si="1868"/>
        <v>0</v>
      </c>
      <c r="AC331" s="21">
        <f t="shared" si="1868"/>
        <v>0</v>
      </c>
      <c r="AD331" s="21">
        <f t="shared" si="1868"/>
        <v>0</v>
      </c>
      <c r="AE331" s="21">
        <f t="shared" si="1868"/>
        <v>0</v>
      </c>
      <c r="AF331" s="21">
        <f t="shared" si="1868"/>
        <v>0</v>
      </c>
      <c r="AG331" s="21">
        <f t="shared" si="1868"/>
        <v>0</v>
      </c>
      <c r="AH331" s="21">
        <f t="shared" ref="AH331:AO331" si="1869">IF($F$290, 0, IF($C$297, IF(AND(COLUMN($AH$331)-COLUMN($B$327)=$Q$291,ROW($AH$331)-ROW($B$327)=$K$291), U$290, AH331), AH331))</f>
        <v>0</v>
      </c>
      <c r="AI331" s="21">
        <f t="shared" si="1869"/>
        <v>0</v>
      </c>
      <c r="AJ331" s="21">
        <f t="shared" si="1869"/>
        <v>0</v>
      </c>
      <c r="AK331" s="21">
        <f t="shared" si="1869"/>
        <v>0</v>
      </c>
      <c r="AL331" s="21">
        <f t="shared" si="1869"/>
        <v>0</v>
      </c>
      <c r="AM331" s="21">
        <f t="shared" si="1869"/>
        <v>0</v>
      </c>
      <c r="AN331" s="21">
        <f t="shared" si="1869"/>
        <v>0</v>
      </c>
      <c r="AO331" s="21">
        <f t="shared" si="1869"/>
        <v>0</v>
      </c>
      <c r="AP331" s="21">
        <f t="shared" ref="AP331:AW331" si="1870">IF($F$290, 0, IF($C$297, IF(AND(COLUMN($AP$331)-COLUMN($B$327)=$Q$291,ROW($AP$331)-ROW($B$327)=$K$291), U$290, AP331), AP331))</f>
        <v>0</v>
      </c>
      <c r="AQ331" s="21">
        <f t="shared" si="1870"/>
        <v>0</v>
      </c>
      <c r="AR331" s="21">
        <f t="shared" si="1870"/>
        <v>0</v>
      </c>
      <c r="AS331" s="21">
        <f t="shared" si="1870"/>
        <v>0</v>
      </c>
      <c r="AT331" s="21">
        <f t="shared" si="1870"/>
        <v>0</v>
      </c>
      <c r="AU331" s="21">
        <f t="shared" si="1870"/>
        <v>0</v>
      </c>
      <c r="AV331" s="21">
        <f t="shared" si="1870"/>
        <v>0</v>
      </c>
      <c r="AW331" s="21">
        <f t="shared" si="1870"/>
        <v>0</v>
      </c>
      <c r="AX331" s="21">
        <f t="shared" ref="AX331:BE331" si="1871">IF($F$290, 0, IF($C$297, IF(AND(COLUMN($AX$331)-COLUMN($B$327)=$Q$291,ROW($AX$331)-ROW($B$327)=$K$291), U$290, AX331), AX331))</f>
        <v>0</v>
      </c>
      <c r="AY331" s="21">
        <f t="shared" si="1871"/>
        <v>0</v>
      </c>
      <c r="AZ331" s="21">
        <f t="shared" si="1871"/>
        <v>0</v>
      </c>
      <c r="BA331" s="21">
        <f t="shared" si="1871"/>
        <v>0</v>
      </c>
      <c r="BB331" s="21">
        <f t="shared" si="1871"/>
        <v>0</v>
      </c>
      <c r="BC331" s="21">
        <f t="shared" si="1871"/>
        <v>0</v>
      </c>
      <c r="BD331" s="21">
        <f t="shared" si="1871"/>
        <v>0</v>
      </c>
      <c r="BE331" s="21">
        <f t="shared" si="1871"/>
        <v>0</v>
      </c>
      <c r="BF331" s="21">
        <f t="shared" ref="BF331:BM331" si="1872">IF($F$290, 0, IF($C$297, IF(AND(COLUMN($BF$331)-COLUMN($B$327)=$Q$291,ROW($BF$331)-ROW($B$327)=$K$291), U$290, BF331), BF331))</f>
        <v>0</v>
      </c>
      <c r="BG331" s="21">
        <f t="shared" si="1872"/>
        <v>0</v>
      </c>
      <c r="BH331" s="21">
        <f t="shared" si="1872"/>
        <v>0</v>
      </c>
      <c r="BI331" s="21">
        <f t="shared" si="1872"/>
        <v>0</v>
      </c>
      <c r="BJ331" s="21">
        <f t="shared" si="1872"/>
        <v>0</v>
      </c>
      <c r="BK331" s="21">
        <f t="shared" si="1872"/>
        <v>0</v>
      </c>
      <c r="BL331" s="21">
        <f t="shared" si="1872"/>
        <v>0</v>
      </c>
      <c r="BM331" s="21">
        <f t="shared" si="1872"/>
        <v>0</v>
      </c>
      <c r="BN331" s="21">
        <f t="shared" ref="BN331:BU331" si="1873">IF($F$290, 0, IF($D$297, IF(AND(COLUMN($BN$331)-COLUMN($BN$327)=$Q$291,ROW($BN$331)-ROW($BN$327)=$K$291), U$290, BN331), BN331))</f>
        <v>0</v>
      </c>
      <c r="BO331" s="21">
        <f t="shared" si="1873"/>
        <v>0</v>
      </c>
      <c r="BP331" s="21">
        <f t="shared" si="1873"/>
        <v>0</v>
      </c>
      <c r="BQ331" s="21">
        <f t="shared" si="1873"/>
        <v>0</v>
      </c>
      <c r="BR331" s="21">
        <f t="shared" si="1873"/>
        <v>0</v>
      </c>
      <c r="BS331" s="21">
        <f t="shared" si="1873"/>
        <v>0</v>
      </c>
      <c r="BT331" s="21">
        <f t="shared" si="1873"/>
        <v>0</v>
      </c>
      <c r="BU331" s="21">
        <f t="shared" si="1873"/>
        <v>0</v>
      </c>
      <c r="BV331" s="21">
        <f t="shared" ref="BV331:CC331" si="1874">IF($F$290, 0, IF($D$297, IF(AND(COLUMN($BV$331)-COLUMN($BN$327)=$Q$291,ROW($BV$331)-ROW($BN$327)=$K$291), U$290, BV331), BV331))</f>
        <v>0</v>
      </c>
      <c r="BW331" s="21">
        <f t="shared" si="1874"/>
        <v>0</v>
      </c>
      <c r="BX331" s="21">
        <f t="shared" si="1874"/>
        <v>0</v>
      </c>
      <c r="BY331" s="21">
        <f t="shared" si="1874"/>
        <v>0</v>
      </c>
      <c r="BZ331" s="21">
        <f t="shared" si="1874"/>
        <v>0</v>
      </c>
      <c r="CA331" s="21">
        <f t="shared" si="1874"/>
        <v>0</v>
      </c>
      <c r="CB331" s="21">
        <f t="shared" si="1874"/>
        <v>0</v>
      </c>
      <c r="CC331" s="21">
        <f t="shared" si="1874"/>
        <v>0</v>
      </c>
      <c r="CD331" s="21">
        <f t="shared" ref="CD331:CK331" si="1875">IF($F$290, 0, IF($D$297, IF(AND(COLUMN($CD$331)-COLUMN($BN$327)=$Q$291,ROW($CD$331)-ROW($BN$327)=$K$291), U$290, CD331), CD331))</f>
        <v>0</v>
      </c>
      <c r="CE331" s="21">
        <f t="shared" si="1875"/>
        <v>0</v>
      </c>
      <c r="CF331" s="21">
        <f t="shared" si="1875"/>
        <v>0</v>
      </c>
      <c r="CG331" s="21">
        <f t="shared" si="1875"/>
        <v>0</v>
      </c>
      <c r="CH331" s="21">
        <f t="shared" si="1875"/>
        <v>0</v>
      </c>
      <c r="CI331" s="21">
        <f t="shared" si="1875"/>
        <v>0</v>
      </c>
      <c r="CJ331" s="21">
        <f t="shared" si="1875"/>
        <v>0</v>
      </c>
      <c r="CK331" s="21">
        <f t="shared" si="1875"/>
        <v>0</v>
      </c>
      <c r="CL331" s="21">
        <f t="shared" ref="CL331:CS331" si="1876">IF($F$290, 0, IF($D$297, IF(AND(COLUMN($CL$331)-COLUMN($BN$327)=$Q$291,ROW($CL$331)-ROW($BN$327)=$K$291), U$290, CL331), CL331))</f>
        <v>0</v>
      </c>
      <c r="CM331" s="21">
        <f t="shared" si="1876"/>
        <v>0</v>
      </c>
      <c r="CN331" s="21">
        <f t="shared" si="1876"/>
        <v>0</v>
      </c>
      <c r="CO331" s="21">
        <f t="shared" si="1876"/>
        <v>0</v>
      </c>
      <c r="CP331" s="21">
        <f t="shared" si="1876"/>
        <v>0</v>
      </c>
      <c r="CQ331" s="21">
        <f t="shared" si="1876"/>
        <v>0</v>
      </c>
      <c r="CR331" s="21">
        <f t="shared" si="1876"/>
        <v>0</v>
      </c>
      <c r="CS331" s="21">
        <f t="shared" si="1876"/>
        <v>0</v>
      </c>
      <c r="CT331" s="21">
        <f t="shared" ref="CT331:DA331" si="1877">IF($F$290, 0, IF($D$297, IF(AND(COLUMN($CT$331)-COLUMN($BN$327)=$Q$291,ROW($CT$331)-ROW($BN$327)=$K$291), U$290, CT331), CT331))</f>
        <v>0</v>
      </c>
      <c r="CU331" s="21">
        <f t="shared" si="1877"/>
        <v>0</v>
      </c>
      <c r="CV331" s="21">
        <f t="shared" si="1877"/>
        <v>0</v>
      </c>
      <c r="CW331" s="21">
        <f t="shared" si="1877"/>
        <v>0</v>
      </c>
      <c r="CX331" s="21">
        <f t="shared" si="1877"/>
        <v>0</v>
      </c>
      <c r="CY331" s="21">
        <f t="shared" si="1877"/>
        <v>0</v>
      </c>
      <c r="CZ331" s="21">
        <f t="shared" si="1877"/>
        <v>0</v>
      </c>
      <c r="DA331" s="21">
        <f t="shared" si="1877"/>
        <v>0</v>
      </c>
      <c r="DB331" s="21">
        <f t="shared" ref="DB331:DI331" si="1878">IF($F$290, 0, IF($D$297, IF(AND(COLUMN($DB$331)-COLUMN($BN$327)=$Q$291,ROW($DB$331)-ROW($BN$327)=$K$291), U$290, DB331), DB331))</f>
        <v>0</v>
      </c>
      <c r="DC331" s="21">
        <f t="shared" si="1878"/>
        <v>0</v>
      </c>
      <c r="DD331" s="21">
        <f t="shared" si="1878"/>
        <v>0</v>
      </c>
      <c r="DE331" s="21">
        <f t="shared" si="1878"/>
        <v>0</v>
      </c>
      <c r="DF331" s="21">
        <f t="shared" si="1878"/>
        <v>0</v>
      </c>
      <c r="DG331" s="21">
        <f t="shared" si="1878"/>
        <v>0</v>
      </c>
      <c r="DH331" s="21">
        <f t="shared" si="1878"/>
        <v>0</v>
      </c>
      <c r="DI331" s="21">
        <f t="shared" si="1878"/>
        <v>0</v>
      </c>
      <c r="DJ331" s="21">
        <f t="shared" ref="DJ331:DQ331" si="1879">IF($F$290, 0, IF($D$297, IF(AND(COLUMN($DJ$331)-COLUMN($BN$327)=$Q$291,ROW($DJ$331)-ROW($BN$327)=$K$291), U$290, DJ331), DJ331))</f>
        <v>0</v>
      </c>
      <c r="DK331" s="21">
        <f t="shared" si="1879"/>
        <v>0</v>
      </c>
      <c r="DL331" s="21">
        <f t="shared" si="1879"/>
        <v>0</v>
      </c>
      <c r="DM331" s="21">
        <f t="shared" si="1879"/>
        <v>0</v>
      </c>
      <c r="DN331" s="21">
        <f t="shared" si="1879"/>
        <v>0</v>
      </c>
      <c r="DO331" s="21">
        <f t="shared" si="1879"/>
        <v>0</v>
      </c>
      <c r="DP331" s="21">
        <f t="shared" si="1879"/>
        <v>0</v>
      </c>
      <c r="DQ331" s="21">
        <f t="shared" si="1879"/>
        <v>0</v>
      </c>
      <c r="DR331" s="21">
        <f t="shared" ref="DR331:DY331" si="1880">IF($F$290, 0, IF($D$297, IF(AND(COLUMN($DR$331)-COLUMN($BN$327)=$Q$291,ROW($DR$331)-ROW($BN$327)=$K$291), U$290, DR331), DR331))</f>
        <v>0</v>
      </c>
      <c r="DS331" s="21">
        <f t="shared" si="1880"/>
        <v>0</v>
      </c>
      <c r="DT331" s="21">
        <f t="shared" si="1880"/>
        <v>0</v>
      </c>
      <c r="DU331" s="21">
        <f t="shared" si="1880"/>
        <v>0</v>
      </c>
      <c r="DV331" s="21">
        <f t="shared" si="1880"/>
        <v>0</v>
      </c>
      <c r="DW331" s="21">
        <f t="shared" si="1880"/>
        <v>0</v>
      </c>
      <c r="DX331" s="21">
        <f t="shared" si="1880"/>
        <v>0</v>
      </c>
      <c r="DY331" s="21">
        <f t="shared" si="1880"/>
        <v>0</v>
      </c>
      <c r="DZ331" s="21">
        <f t="shared" ref="DZ331:EG331" si="1881">IF($F$290, 0, IF($E$297, IF(AND(COLUMN($DZ$331)-COLUMN($DZ$327)=$Q$291,ROW($DZ$331)-ROW($DZ$327)=$K$291), U$290, DZ331), DZ331))</f>
        <v>0</v>
      </c>
      <c r="EA331" s="21">
        <f t="shared" si="1881"/>
        <v>0</v>
      </c>
      <c r="EB331" s="21">
        <f t="shared" si="1881"/>
        <v>0</v>
      </c>
      <c r="EC331" s="21">
        <f t="shared" si="1881"/>
        <v>0</v>
      </c>
      <c r="ED331" s="21">
        <f t="shared" si="1881"/>
        <v>0</v>
      </c>
      <c r="EE331" s="21">
        <f t="shared" si="1881"/>
        <v>0</v>
      </c>
      <c r="EF331" s="21">
        <f t="shared" si="1881"/>
        <v>0</v>
      </c>
      <c r="EG331" s="21">
        <f t="shared" si="1881"/>
        <v>0</v>
      </c>
      <c r="EH331" s="21">
        <f t="shared" ref="EH331:EO331" si="1882">IF($F$290, 0, IF($E$297, IF(AND(COLUMN($EH$331)-COLUMN($DZ$327)=$Q$291,ROW($EH$331)-ROW($DZ$327)=$K$291), U$290, EH331), EH331))</f>
        <v>0</v>
      </c>
      <c r="EI331" s="21">
        <f t="shared" si="1882"/>
        <v>0</v>
      </c>
      <c r="EJ331" s="21">
        <f t="shared" si="1882"/>
        <v>0</v>
      </c>
      <c r="EK331" s="21">
        <f t="shared" si="1882"/>
        <v>0</v>
      </c>
      <c r="EL331" s="21">
        <f t="shared" si="1882"/>
        <v>0</v>
      </c>
      <c r="EM331" s="21">
        <f t="shared" si="1882"/>
        <v>0</v>
      </c>
      <c r="EN331" s="21">
        <f t="shared" si="1882"/>
        <v>0</v>
      </c>
      <c r="EO331" s="21">
        <f t="shared" si="1882"/>
        <v>0</v>
      </c>
      <c r="EP331" s="21">
        <f t="shared" ref="EP331:EW331" si="1883">IF($F$290, 0, IF($E$297, IF(AND(COLUMN($EP$331)-COLUMN($DZ$327)=$Q$291,ROW($EP$331)-ROW($DZ$327)=$K$291), U$290, EP331), EP331))</f>
        <v>0</v>
      </c>
      <c r="EQ331" s="21">
        <f t="shared" si="1883"/>
        <v>0</v>
      </c>
      <c r="ER331" s="21">
        <f t="shared" si="1883"/>
        <v>0</v>
      </c>
      <c r="ES331" s="21">
        <f t="shared" si="1883"/>
        <v>0</v>
      </c>
      <c r="ET331" s="21">
        <f t="shared" si="1883"/>
        <v>0</v>
      </c>
      <c r="EU331" s="21">
        <f t="shared" si="1883"/>
        <v>0</v>
      </c>
      <c r="EV331" s="21">
        <f t="shared" si="1883"/>
        <v>0</v>
      </c>
      <c r="EW331" s="21">
        <f t="shared" si="1883"/>
        <v>0</v>
      </c>
      <c r="EX331" s="21">
        <f t="shared" ref="EX331:FE331" si="1884">IF($F$290, 0, IF($E$297, IF(AND(COLUMN($EX$331)-COLUMN($DZ$327)=$Q$291,ROW($EX$331)-ROW($DZ$327)=$K$291), U$290, EX331), EX331))</f>
        <v>0</v>
      </c>
      <c r="EY331" s="21">
        <f t="shared" si="1884"/>
        <v>0</v>
      </c>
      <c r="EZ331" s="21">
        <f t="shared" si="1884"/>
        <v>0</v>
      </c>
      <c r="FA331" s="21">
        <f t="shared" si="1884"/>
        <v>0</v>
      </c>
      <c r="FB331" s="21">
        <f t="shared" si="1884"/>
        <v>0</v>
      </c>
      <c r="FC331" s="21">
        <f t="shared" si="1884"/>
        <v>0</v>
      </c>
      <c r="FD331" s="21">
        <f t="shared" si="1884"/>
        <v>0</v>
      </c>
      <c r="FE331" s="21">
        <f t="shared" si="1884"/>
        <v>0</v>
      </c>
      <c r="FF331" s="21">
        <f t="shared" ref="FF331:FM331" si="1885">IF($F$290, 0, IF($E$297, IF(AND(COLUMN($FF$331)-COLUMN($DZ$327)=$Q$291,ROW($FF$331)-ROW($DZ$327)=$K$291), U$290, FF331), FF331))</f>
        <v>0</v>
      </c>
      <c r="FG331" s="21">
        <f t="shared" si="1885"/>
        <v>0</v>
      </c>
      <c r="FH331" s="21">
        <f t="shared" si="1885"/>
        <v>0</v>
      </c>
      <c r="FI331" s="21">
        <f t="shared" si="1885"/>
        <v>0</v>
      </c>
      <c r="FJ331" s="21">
        <f t="shared" si="1885"/>
        <v>0</v>
      </c>
      <c r="FK331" s="21">
        <f t="shared" si="1885"/>
        <v>0</v>
      </c>
      <c r="FL331" s="21">
        <f t="shared" si="1885"/>
        <v>0</v>
      </c>
      <c r="FM331" s="21">
        <f t="shared" si="1885"/>
        <v>0</v>
      </c>
      <c r="FN331" s="21">
        <f t="shared" ref="FN331:FU331" si="1886">IF($F$290, 0, IF($E$297, IF(AND(COLUMN($FN$331)-COLUMN($DZ$327)=$Q$291,ROW($FN$331)-ROW($DZ$327)=$K$291), U$290, FN331), FN331))</f>
        <v>0</v>
      </c>
      <c r="FO331" s="21">
        <f t="shared" si="1886"/>
        <v>0</v>
      </c>
      <c r="FP331" s="21">
        <f t="shared" si="1886"/>
        <v>0</v>
      </c>
      <c r="FQ331" s="21">
        <f t="shared" si="1886"/>
        <v>0</v>
      </c>
      <c r="FR331" s="21">
        <f t="shared" si="1886"/>
        <v>0</v>
      </c>
      <c r="FS331" s="21">
        <f t="shared" si="1886"/>
        <v>0</v>
      </c>
      <c r="FT331" s="21">
        <f t="shared" si="1886"/>
        <v>0</v>
      </c>
      <c r="FU331" s="21">
        <f t="shared" si="1886"/>
        <v>0</v>
      </c>
      <c r="FV331" s="21">
        <f t="shared" ref="FV331:GC331" si="1887">IF($F$290, 0, IF($E$297, IF(AND(COLUMN($FV$331)-COLUMN($DZ$327)=$Q$291,ROW($FV$331)-ROW($DZ$327)=$K$291), U$290, FV331), FV331))</f>
        <v>0</v>
      </c>
      <c r="FW331" s="21">
        <f t="shared" si="1887"/>
        <v>0</v>
      </c>
      <c r="FX331" s="21">
        <f t="shared" si="1887"/>
        <v>0</v>
      </c>
      <c r="FY331" s="21">
        <f t="shared" si="1887"/>
        <v>0</v>
      </c>
      <c r="FZ331" s="21">
        <f t="shared" si="1887"/>
        <v>0</v>
      </c>
      <c r="GA331" s="21">
        <f t="shared" si="1887"/>
        <v>0</v>
      </c>
      <c r="GB331" s="21">
        <f t="shared" si="1887"/>
        <v>0</v>
      </c>
      <c r="GC331" s="21">
        <f t="shared" si="1887"/>
        <v>0</v>
      </c>
      <c r="GD331" s="21">
        <f t="shared" ref="GD331:GK331" si="1888">IF($F$290, 0, IF($E$297, IF(AND(COLUMN($GD$331)-COLUMN($DZ$327)=$Q$291,ROW($GD$331)-ROW($DZ$327)=$K$291), U$290, GD331), GD331))</f>
        <v>0</v>
      </c>
      <c r="GE331" s="21">
        <f t="shared" si="1888"/>
        <v>0</v>
      </c>
      <c r="GF331" s="21">
        <f t="shared" si="1888"/>
        <v>0</v>
      </c>
      <c r="GG331" s="21">
        <f t="shared" si="1888"/>
        <v>0</v>
      </c>
      <c r="GH331" s="21">
        <f t="shared" si="1888"/>
        <v>0</v>
      </c>
      <c r="GI331" s="21">
        <f t="shared" si="1888"/>
        <v>0</v>
      </c>
      <c r="GJ331" s="21">
        <f t="shared" si="1888"/>
        <v>0</v>
      </c>
      <c r="GK331" s="21">
        <f t="shared" si="1888"/>
        <v>0</v>
      </c>
      <c r="GL331" s="21">
        <f t="shared" ref="GL331:GS331" si="1889">IF($F$290, 0, IF($F$297, IF(AND(COLUMN($GL$331)-COLUMN($GL$327)=$Q$291,ROW($GL$331)-ROW($GL$327)=$K$291), U$290, GL331), GL331))</f>
        <v>0</v>
      </c>
      <c r="GM331" s="21">
        <f t="shared" si="1889"/>
        <v>0</v>
      </c>
      <c r="GN331" s="21">
        <f t="shared" si="1889"/>
        <v>0</v>
      </c>
      <c r="GO331" s="21">
        <f t="shared" si="1889"/>
        <v>0</v>
      </c>
      <c r="GP331" s="21">
        <f t="shared" si="1889"/>
        <v>0</v>
      </c>
      <c r="GQ331" s="21">
        <f t="shared" si="1889"/>
        <v>0</v>
      </c>
      <c r="GR331" s="21">
        <f t="shared" si="1889"/>
        <v>0</v>
      </c>
      <c r="GS331" s="21">
        <f t="shared" si="1889"/>
        <v>0</v>
      </c>
      <c r="GT331" s="21">
        <f t="shared" ref="GT331:HA331" si="1890">IF($F$290, 0, IF($F$297, IF(AND(COLUMN($GT$331)-COLUMN($GL$327)=$Q$291,ROW($GT$331)-ROW($GL$327)=$K$291), U$290, GT331), GT331))</f>
        <v>0</v>
      </c>
      <c r="GU331" s="21">
        <f t="shared" si="1890"/>
        <v>0</v>
      </c>
      <c r="GV331" s="21">
        <f t="shared" si="1890"/>
        <v>0</v>
      </c>
      <c r="GW331" s="21">
        <f t="shared" si="1890"/>
        <v>0</v>
      </c>
      <c r="GX331" s="21">
        <f t="shared" si="1890"/>
        <v>0</v>
      </c>
      <c r="GY331" s="21">
        <f t="shared" si="1890"/>
        <v>0</v>
      </c>
      <c r="GZ331" s="21">
        <f t="shared" si="1890"/>
        <v>0</v>
      </c>
      <c r="HA331" s="21">
        <f t="shared" si="1890"/>
        <v>0</v>
      </c>
      <c r="HB331" s="21">
        <f t="shared" ref="HB331:HI331" si="1891">IF($F$290, 0, IF($F$297, IF(AND(COLUMN($HB$331)-COLUMN($GL$327)=$Q$291,ROW($HB$331)-ROW($GL$327)=$K$291), U$290, HB331), HB331))</f>
        <v>0</v>
      </c>
      <c r="HC331" s="21">
        <f t="shared" si="1891"/>
        <v>0</v>
      </c>
      <c r="HD331" s="21">
        <f t="shared" si="1891"/>
        <v>0</v>
      </c>
      <c r="HE331" s="21">
        <f t="shared" si="1891"/>
        <v>0</v>
      </c>
      <c r="HF331" s="21">
        <f t="shared" si="1891"/>
        <v>0</v>
      </c>
      <c r="HG331" s="21">
        <f t="shared" si="1891"/>
        <v>0</v>
      </c>
      <c r="HH331" s="21">
        <f t="shared" si="1891"/>
        <v>0</v>
      </c>
      <c r="HI331" s="21">
        <f t="shared" si="1891"/>
        <v>0</v>
      </c>
      <c r="HJ331" s="21">
        <f t="shared" ref="HJ331:HQ331" si="1892">IF($F$290, 0, IF($F$297, IF(AND(COLUMN($HJ$331)-COLUMN($GL$327)=$Q$291,ROW($HJ$331)-ROW($GL$327)=$K$291), U$290, HJ331), HJ331))</f>
        <v>0</v>
      </c>
      <c r="HK331" s="21">
        <f t="shared" si="1892"/>
        <v>0</v>
      </c>
      <c r="HL331" s="21">
        <f t="shared" si="1892"/>
        <v>0</v>
      </c>
      <c r="HM331" s="21">
        <f t="shared" si="1892"/>
        <v>0</v>
      </c>
      <c r="HN331" s="21">
        <f t="shared" si="1892"/>
        <v>0</v>
      </c>
      <c r="HO331" s="21">
        <f t="shared" si="1892"/>
        <v>0</v>
      </c>
      <c r="HP331" s="21">
        <f t="shared" si="1892"/>
        <v>0</v>
      </c>
      <c r="HQ331" s="21">
        <f t="shared" si="1892"/>
        <v>0</v>
      </c>
      <c r="HR331" s="21">
        <f t="shared" ref="HR331:HY331" si="1893">IF($F$290, 0, IF($F$297, IF(AND(COLUMN($HR$331)-COLUMN($GL$327)=$Q$291,ROW($HR$331)-ROW($GL$327)=$K$291), U$290, HR331), HR331))</f>
        <v>0</v>
      </c>
      <c r="HS331" s="21">
        <f t="shared" si="1893"/>
        <v>0</v>
      </c>
      <c r="HT331" s="21">
        <f t="shared" si="1893"/>
        <v>0</v>
      </c>
      <c r="HU331" s="21">
        <f t="shared" si="1893"/>
        <v>0</v>
      </c>
      <c r="HV331" s="21">
        <f t="shared" si="1893"/>
        <v>0</v>
      </c>
      <c r="HW331" s="21">
        <f t="shared" si="1893"/>
        <v>0</v>
      </c>
      <c r="HX331" s="21">
        <f t="shared" si="1893"/>
        <v>0</v>
      </c>
      <c r="HY331" s="21">
        <f t="shared" si="1893"/>
        <v>0</v>
      </c>
      <c r="HZ331" s="21">
        <f t="shared" ref="HZ331:IG331" si="1894">IF($F$290, 0, IF($F$297, IF(AND(COLUMN($HZ$331)-COLUMN($GL$327)=$Q$291,ROW($HZ$331)-ROW($GL$327)=$K$291), U$290, HZ331), HZ331))</f>
        <v>0</v>
      </c>
      <c r="IA331" s="21">
        <f t="shared" si="1894"/>
        <v>0</v>
      </c>
      <c r="IB331" s="21">
        <f t="shared" si="1894"/>
        <v>0</v>
      </c>
      <c r="IC331" s="21">
        <f t="shared" si="1894"/>
        <v>0</v>
      </c>
      <c r="ID331" s="21">
        <f t="shared" si="1894"/>
        <v>0</v>
      </c>
      <c r="IE331" s="21">
        <f t="shared" si="1894"/>
        <v>0</v>
      </c>
      <c r="IF331" s="21">
        <f t="shared" si="1894"/>
        <v>0</v>
      </c>
      <c r="IG331" s="21">
        <f t="shared" si="1894"/>
        <v>0</v>
      </c>
      <c r="IH331" s="21">
        <f t="shared" ref="IH331:IO331" si="1895">IF($F$290, 0, IF($F$297, IF(AND(COLUMN($IH$331)-COLUMN($GL$327)=$Q$291,ROW($IH$331)-ROW($GL$327)=$K$291), U$290, IH331), IH331))</f>
        <v>0</v>
      </c>
      <c r="II331" s="21">
        <f t="shared" si="1895"/>
        <v>0</v>
      </c>
      <c r="IJ331" s="21">
        <f t="shared" si="1895"/>
        <v>0</v>
      </c>
      <c r="IK331" s="21">
        <f t="shared" si="1895"/>
        <v>0</v>
      </c>
      <c r="IL331" s="21">
        <f t="shared" si="1895"/>
        <v>0</v>
      </c>
      <c r="IM331" s="21">
        <f t="shared" si="1895"/>
        <v>0</v>
      </c>
      <c r="IN331" s="21">
        <f t="shared" si="1895"/>
        <v>0</v>
      </c>
      <c r="IO331" s="21">
        <f t="shared" si="1895"/>
        <v>0</v>
      </c>
      <c r="IP331" s="21">
        <f t="shared" ref="IP331:IW331" si="1896">IF($F$290, 0, IF($F$297, IF(AND(COLUMN($IP$331)-COLUMN($GL$327)=$Q$291,ROW($IP$331)-ROW($GL$327)=$K$291), U$290, IP331), IP331))</f>
        <v>0</v>
      </c>
      <c r="IQ331" s="21">
        <f t="shared" si="1896"/>
        <v>0</v>
      </c>
      <c r="IR331" s="21">
        <f t="shared" si="1896"/>
        <v>0</v>
      </c>
      <c r="IS331" s="21">
        <f t="shared" si="1896"/>
        <v>0</v>
      </c>
      <c r="IT331" s="21">
        <f t="shared" si="1896"/>
        <v>0</v>
      </c>
      <c r="IU331" s="21">
        <f t="shared" si="1896"/>
        <v>0</v>
      </c>
      <c r="IV331" s="21">
        <f t="shared" si="1896"/>
        <v>0</v>
      </c>
      <c r="IW331" s="21">
        <f t="shared" si="1896"/>
        <v>0</v>
      </c>
      <c r="IX331" s="21">
        <f t="shared" ref="IX331:JE331" si="1897">IF($F$290, 0, IF($G$297, IF(AND(COLUMN($IX$331)-COLUMN($IX$327)=$Q$291,ROW($IX$331)-ROW($IX$327)=$K$291), U$290, IX331), IX331))</f>
        <v>0</v>
      </c>
      <c r="IY331" s="21">
        <f t="shared" si="1897"/>
        <v>0</v>
      </c>
      <c r="IZ331" s="21">
        <f t="shared" si="1897"/>
        <v>0</v>
      </c>
      <c r="JA331" s="21">
        <f t="shared" si="1897"/>
        <v>0</v>
      </c>
      <c r="JB331" s="21">
        <f t="shared" si="1897"/>
        <v>0</v>
      </c>
      <c r="JC331" s="21">
        <f t="shared" si="1897"/>
        <v>0</v>
      </c>
      <c r="JD331" s="21">
        <f t="shared" si="1897"/>
        <v>0</v>
      </c>
      <c r="JE331" s="21">
        <f t="shared" si="1897"/>
        <v>0</v>
      </c>
      <c r="JF331" s="21">
        <f t="shared" ref="JF331:JM331" si="1898">IF($F$290, 0, IF($G$297, IF(AND(COLUMN($JF$331)-COLUMN($IX$327)=$Q$291,ROW($JF$331)-ROW($IX$327)=$K$291), U$290, JF331), JF331))</f>
        <v>0</v>
      </c>
      <c r="JG331" s="21">
        <f t="shared" si="1898"/>
        <v>0</v>
      </c>
      <c r="JH331" s="21">
        <f t="shared" si="1898"/>
        <v>0</v>
      </c>
      <c r="JI331" s="21">
        <f t="shared" si="1898"/>
        <v>0</v>
      </c>
      <c r="JJ331" s="21">
        <f t="shared" si="1898"/>
        <v>0</v>
      </c>
      <c r="JK331" s="21">
        <f t="shared" si="1898"/>
        <v>0</v>
      </c>
      <c r="JL331" s="21">
        <f t="shared" si="1898"/>
        <v>0</v>
      </c>
      <c r="JM331" s="21">
        <f t="shared" si="1898"/>
        <v>0</v>
      </c>
      <c r="JN331" s="21">
        <f t="shared" ref="JN331:JU331" si="1899">IF($F$290, 0, IF($G$297, IF(AND(COLUMN($JN$331)-COLUMN($IX$327)=$Q$291,ROW($JN$331)-ROW($IX$327)=$K$291), U$290, JN331), JN331))</f>
        <v>0</v>
      </c>
      <c r="JO331" s="21">
        <f t="shared" si="1899"/>
        <v>0</v>
      </c>
      <c r="JP331" s="21">
        <f t="shared" si="1899"/>
        <v>0</v>
      </c>
      <c r="JQ331" s="21">
        <f t="shared" si="1899"/>
        <v>0</v>
      </c>
      <c r="JR331" s="21">
        <f t="shared" si="1899"/>
        <v>0</v>
      </c>
      <c r="JS331" s="21">
        <f t="shared" si="1899"/>
        <v>0</v>
      </c>
      <c r="JT331" s="21">
        <f t="shared" si="1899"/>
        <v>0</v>
      </c>
      <c r="JU331" s="21">
        <f t="shared" si="1899"/>
        <v>0</v>
      </c>
      <c r="JV331" s="21">
        <f t="shared" ref="JV331:KC331" si="1900">IF($F$290, 0, IF($G$297, IF(AND(COLUMN($JV$331)-COLUMN($IX$327)=$Q$291,ROW($JV$331)-ROW($IX$327)=$K$291), U$290, JV331), JV331))</f>
        <v>0</v>
      </c>
      <c r="JW331" s="21">
        <f t="shared" si="1900"/>
        <v>0</v>
      </c>
      <c r="JX331" s="21">
        <f t="shared" si="1900"/>
        <v>0</v>
      </c>
      <c r="JY331" s="21">
        <f t="shared" si="1900"/>
        <v>0</v>
      </c>
      <c r="JZ331" s="21">
        <f t="shared" si="1900"/>
        <v>0</v>
      </c>
      <c r="KA331" s="21">
        <f t="shared" si="1900"/>
        <v>0</v>
      </c>
      <c r="KB331" s="21">
        <f t="shared" si="1900"/>
        <v>0</v>
      </c>
      <c r="KC331" s="21">
        <f t="shared" si="1900"/>
        <v>0</v>
      </c>
      <c r="KD331" s="21">
        <f t="shared" ref="KD331:KK331" si="1901">IF($F$290, 0, IF($G$297, IF(AND(COLUMN($KD$331)-COLUMN($IX$327)=$Q$291,ROW($KD$331)-ROW($IX$327)=$K$291), U$290, KD331), KD331))</f>
        <v>0</v>
      </c>
      <c r="KE331" s="21">
        <f t="shared" si="1901"/>
        <v>0</v>
      </c>
      <c r="KF331" s="21">
        <f t="shared" si="1901"/>
        <v>0</v>
      </c>
      <c r="KG331" s="21">
        <f t="shared" si="1901"/>
        <v>0</v>
      </c>
      <c r="KH331" s="21">
        <f t="shared" si="1901"/>
        <v>0</v>
      </c>
      <c r="KI331" s="21">
        <f t="shared" si="1901"/>
        <v>0</v>
      </c>
      <c r="KJ331" s="21">
        <f t="shared" si="1901"/>
        <v>0</v>
      </c>
      <c r="KK331" s="21">
        <f t="shared" si="1901"/>
        <v>0</v>
      </c>
      <c r="KL331" s="21">
        <f t="shared" ref="KL331:KS331" si="1902">IF($F$290, 0, IF($G$297, IF(AND(COLUMN($KL$331)-COLUMN($IX$327)=$Q$291,ROW($KL$331)-ROW($IX$327)=$K$291), U$290, KL331), KL331))</f>
        <v>0</v>
      </c>
      <c r="KM331" s="21">
        <f t="shared" si="1902"/>
        <v>0</v>
      </c>
      <c r="KN331" s="21">
        <f t="shared" si="1902"/>
        <v>0</v>
      </c>
      <c r="KO331" s="21">
        <f t="shared" si="1902"/>
        <v>0</v>
      </c>
      <c r="KP331" s="21">
        <f t="shared" si="1902"/>
        <v>0</v>
      </c>
      <c r="KQ331" s="21">
        <f t="shared" si="1902"/>
        <v>0</v>
      </c>
      <c r="KR331" s="21">
        <f t="shared" si="1902"/>
        <v>0</v>
      </c>
      <c r="KS331" s="21">
        <f t="shared" si="1902"/>
        <v>0</v>
      </c>
      <c r="KT331" s="21">
        <f t="shared" ref="KT331:LA331" si="1903">IF($F$290, 0, IF($G$297, IF(AND(COLUMN($KT$331)-COLUMN($IX$327)=$Q$291,ROW($KT$331)-ROW($IX$327)=$K$291), U$290, KT331), KT331))</f>
        <v>0</v>
      </c>
      <c r="KU331" s="21">
        <f t="shared" si="1903"/>
        <v>0</v>
      </c>
      <c r="KV331" s="21">
        <f t="shared" si="1903"/>
        <v>0</v>
      </c>
      <c r="KW331" s="21">
        <f t="shared" si="1903"/>
        <v>0</v>
      </c>
      <c r="KX331" s="21">
        <f t="shared" si="1903"/>
        <v>0</v>
      </c>
      <c r="KY331" s="21">
        <f t="shared" si="1903"/>
        <v>0</v>
      </c>
      <c r="KZ331" s="21">
        <f t="shared" si="1903"/>
        <v>0</v>
      </c>
      <c r="LA331" s="21">
        <f t="shared" si="1903"/>
        <v>0</v>
      </c>
      <c r="LB331" s="21">
        <f t="shared" ref="LB331:LI331" si="1904">IF($F$290, 0, IF($G$297, IF(AND(COLUMN($LB$331)-COLUMN($IX$327)=$Q$291,ROW($LB$331)-ROW($IX$327)=$K$291), U$290, LB331), LB331))</f>
        <v>0</v>
      </c>
      <c r="LC331" s="21">
        <f t="shared" si="1904"/>
        <v>0</v>
      </c>
      <c r="LD331" s="21">
        <f t="shared" si="1904"/>
        <v>0</v>
      </c>
      <c r="LE331" s="21">
        <f t="shared" si="1904"/>
        <v>0</v>
      </c>
      <c r="LF331" s="21">
        <f t="shared" si="1904"/>
        <v>0</v>
      </c>
      <c r="LG331" s="21">
        <f t="shared" si="1904"/>
        <v>0</v>
      </c>
      <c r="LH331" s="21">
        <f t="shared" si="1904"/>
        <v>0</v>
      </c>
      <c r="LI331" s="21">
        <f t="shared" si="1904"/>
        <v>0</v>
      </c>
      <c r="LJ331" s="21">
        <f t="shared" ref="LJ331:LQ331" si="1905">IF($F$290, 0, IF($H$297, IF(AND(COLUMN($LJ$331)-COLUMN($LJ$327)=$Q$291,ROW($LJ$331)-ROW($LJ$327)=$K$291), U$290, LJ331), LJ331))</f>
        <v>0</v>
      </c>
      <c r="LK331" s="21">
        <f t="shared" si="1905"/>
        <v>0</v>
      </c>
      <c r="LL331" s="21">
        <f t="shared" si="1905"/>
        <v>0</v>
      </c>
      <c r="LM331" s="21">
        <f t="shared" si="1905"/>
        <v>0</v>
      </c>
      <c r="LN331" s="21">
        <f t="shared" si="1905"/>
        <v>0</v>
      </c>
      <c r="LO331" s="21">
        <f t="shared" si="1905"/>
        <v>0</v>
      </c>
      <c r="LP331" s="21">
        <f t="shared" si="1905"/>
        <v>0</v>
      </c>
      <c r="LQ331" s="21">
        <f t="shared" si="1905"/>
        <v>0</v>
      </c>
      <c r="LR331" s="21">
        <f t="shared" ref="LR331:LY331" si="1906">IF($F$290, 0, IF($H$297, IF(AND(COLUMN($LR$331)-COLUMN($LJ$327)=$Q$291,ROW($LR$331)-ROW($LJ$327)=$K$291), U$290, LR331), LR331))</f>
        <v>0</v>
      </c>
      <c r="LS331" s="21">
        <f t="shared" si="1906"/>
        <v>0</v>
      </c>
      <c r="LT331" s="21">
        <f t="shared" si="1906"/>
        <v>0</v>
      </c>
      <c r="LU331" s="21">
        <f t="shared" si="1906"/>
        <v>0</v>
      </c>
      <c r="LV331" s="21">
        <f t="shared" si="1906"/>
        <v>0</v>
      </c>
      <c r="LW331" s="21">
        <f t="shared" si="1906"/>
        <v>0</v>
      </c>
      <c r="LX331" s="21">
        <f t="shared" si="1906"/>
        <v>0</v>
      </c>
      <c r="LY331" s="21">
        <f t="shared" si="1906"/>
        <v>0</v>
      </c>
      <c r="LZ331" s="21">
        <f t="shared" ref="LZ331:MG331" si="1907">IF($F$290, 0, IF($H$297, IF(AND(COLUMN($LZ$331)-COLUMN($LJ$327)=$Q$291,ROW($LZ$331)-ROW($LJ$327)=$K$291), U$290, LZ331), LZ331))</f>
        <v>0</v>
      </c>
      <c r="MA331" s="21">
        <f t="shared" si="1907"/>
        <v>0</v>
      </c>
      <c r="MB331" s="21">
        <f t="shared" si="1907"/>
        <v>0</v>
      </c>
      <c r="MC331" s="21">
        <f t="shared" si="1907"/>
        <v>0</v>
      </c>
      <c r="MD331" s="21">
        <f t="shared" si="1907"/>
        <v>0</v>
      </c>
      <c r="ME331" s="21">
        <f t="shared" si="1907"/>
        <v>0</v>
      </c>
      <c r="MF331" s="21">
        <f t="shared" si="1907"/>
        <v>0</v>
      </c>
      <c r="MG331" s="21">
        <f t="shared" si="1907"/>
        <v>0</v>
      </c>
      <c r="MH331" s="21">
        <f t="shared" ref="MH331:MO331" si="1908">IF($F$290, 0, IF($H$297, IF(AND(COLUMN($MH$331)-COLUMN($LJ$327)=$Q$291,ROW($MH$331)-ROW($LJ$327)=$K$291), U$290, MH331), MH331))</f>
        <v>0</v>
      </c>
      <c r="MI331" s="21">
        <f t="shared" si="1908"/>
        <v>0</v>
      </c>
      <c r="MJ331" s="21">
        <f t="shared" si="1908"/>
        <v>0</v>
      </c>
      <c r="MK331" s="21">
        <f t="shared" si="1908"/>
        <v>0</v>
      </c>
      <c r="ML331" s="21">
        <f t="shared" si="1908"/>
        <v>0</v>
      </c>
      <c r="MM331" s="21">
        <f t="shared" si="1908"/>
        <v>0</v>
      </c>
      <c r="MN331" s="21">
        <f t="shared" si="1908"/>
        <v>0</v>
      </c>
      <c r="MO331" s="21">
        <f t="shared" si="1908"/>
        <v>0</v>
      </c>
      <c r="MP331" s="21">
        <f t="shared" ref="MP331:MW331" si="1909">IF($F$290, 0, IF($H$297, IF(AND(COLUMN($MP$331)-COLUMN($LJ$327)=$Q$291,ROW($MP$331)-ROW($LJ$327)=$K$291), U$290, MP331), MP331))</f>
        <v>0</v>
      </c>
      <c r="MQ331" s="21">
        <f t="shared" si="1909"/>
        <v>0</v>
      </c>
      <c r="MR331" s="21">
        <f t="shared" si="1909"/>
        <v>0</v>
      </c>
      <c r="MS331" s="21">
        <f t="shared" si="1909"/>
        <v>0</v>
      </c>
      <c r="MT331" s="21">
        <f t="shared" si="1909"/>
        <v>0</v>
      </c>
      <c r="MU331" s="21">
        <f t="shared" si="1909"/>
        <v>0</v>
      </c>
      <c r="MV331" s="21">
        <f t="shared" si="1909"/>
        <v>0</v>
      </c>
      <c r="MW331" s="21">
        <f t="shared" si="1909"/>
        <v>0</v>
      </c>
      <c r="MX331" s="21">
        <f t="shared" ref="MX331:NE331" si="1910">IF($F$290, 0, IF($H$297, IF(AND(COLUMN($MX$331)-COLUMN($LJ$327)=$Q$291,ROW($MX$331)-ROW($LJ$327)=$K$291), U$290, MX331), MX331))</f>
        <v>0</v>
      </c>
      <c r="MY331" s="21">
        <f t="shared" si="1910"/>
        <v>0</v>
      </c>
      <c r="MZ331" s="21">
        <f t="shared" si="1910"/>
        <v>0</v>
      </c>
      <c r="NA331" s="21">
        <f t="shared" si="1910"/>
        <v>0</v>
      </c>
      <c r="NB331" s="21">
        <f t="shared" si="1910"/>
        <v>0</v>
      </c>
      <c r="NC331" s="21">
        <f t="shared" si="1910"/>
        <v>0</v>
      </c>
      <c r="ND331" s="21">
        <f t="shared" si="1910"/>
        <v>0</v>
      </c>
      <c r="NE331" s="21">
        <f t="shared" si="1910"/>
        <v>0</v>
      </c>
      <c r="NF331" s="21">
        <f t="shared" ref="NF331:NM331" si="1911">IF($F$290, 0, IF($H$297, IF(AND(COLUMN($NF$331)-COLUMN($LJ$327)=$Q$291,ROW($NF$331)-ROW($LJ$327)=$K$291), U$290, NF331), NF331))</f>
        <v>0</v>
      </c>
      <c r="NG331" s="21">
        <f t="shared" si="1911"/>
        <v>0</v>
      </c>
      <c r="NH331" s="21">
        <f t="shared" si="1911"/>
        <v>0</v>
      </c>
      <c r="NI331" s="21">
        <f t="shared" si="1911"/>
        <v>0</v>
      </c>
      <c r="NJ331" s="21">
        <f t="shared" si="1911"/>
        <v>0</v>
      </c>
      <c r="NK331" s="21">
        <f t="shared" si="1911"/>
        <v>0</v>
      </c>
      <c r="NL331" s="21">
        <f t="shared" si="1911"/>
        <v>0</v>
      </c>
      <c r="NM331" s="21">
        <f t="shared" si="1911"/>
        <v>0</v>
      </c>
      <c r="NN331" s="21">
        <f t="shared" ref="NN331:NU331" si="1912">IF($F$290, 0, IF($H$297, IF(AND(COLUMN($NN$331)-COLUMN($LJ$327)=$Q$291,ROW($NN$331)-ROW($LJ$327)=$K$291), U$290, NN331), NN331))</f>
        <v>0</v>
      </c>
      <c r="NO331" s="21">
        <f t="shared" si="1912"/>
        <v>0</v>
      </c>
      <c r="NP331" s="21">
        <f t="shared" si="1912"/>
        <v>0</v>
      </c>
      <c r="NQ331" s="21">
        <f t="shared" si="1912"/>
        <v>0</v>
      </c>
      <c r="NR331" s="21">
        <f t="shared" si="1912"/>
        <v>0</v>
      </c>
      <c r="NS331" s="21">
        <f t="shared" si="1912"/>
        <v>0</v>
      </c>
      <c r="NT331" s="21">
        <f t="shared" si="1912"/>
        <v>0</v>
      </c>
      <c r="NU331" s="21">
        <f t="shared" si="1912"/>
        <v>0</v>
      </c>
      <c r="NV331" s="21">
        <f t="shared" ref="NV331:OC331" si="1913">IF($F$290, 0, IF($I$297, IF(AND(COLUMN($NV$331)-COLUMN($NV$327)=$Q$291,ROW($NV$331)-ROW($NV$327)=$K$291), U$290, NV331), NV331))</f>
        <v>0</v>
      </c>
      <c r="NW331" s="21">
        <f t="shared" si="1913"/>
        <v>0</v>
      </c>
      <c r="NX331" s="21">
        <f t="shared" si="1913"/>
        <v>0</v>
      </c>
      <c r="NY331" s="21">
        <f t="shared" si="1913"/>
        <v>0</v>
      </c>
      <c r="NZ331" s="21">
        <f t="shared" si="1913"/>
        <v>0</v>
      </c>
      <c r="OA331" s="21">
        <f t="shared" si="1913"/>
        <v>0</v>
      </c>
      <c r="OB331" s="21">
        <f t="shared" si="1913"/>
        <v>0</v>
      </c>
      <c r="OC331" s="21">
        <f t="shared" si="1913"/>
        <v>0</v>
      </c>
      <c r="OD331" s="21">
        <f t="shared" ref="OD331:OK331" si="1914">IF($F$290, 0, IF($I$297, IF(AND(COLUMN($OD$331)-COLUMN($NV$327)=$Q$291,ROW($OD$331)-ROW($NV$327)=$K$291), U$290, OD331), OD331))</f>
        <v>0</v>
      </c>
      <c r="OE331" s="21">
        <f t="shared" si="1914"/>
        <v>0</v>
      </c>
      <c r="OF331" s="21">
        <f t="shared" si="1914"/>
        <v>0</v>
      </c>
      <c r="OG331" s="21">
        <f t="shared" si="1914"/>
        <v>0</v>
      </c>
      <c r="OH331" s="21">
        <f t="shared" si="1914"/>
        <v>0</v>
      </c>
      <c r="OI331" s="21">
        <f t="shared" si="1914"/>
        <v>0</v>
      </c>
      <c r="OJ331" s="21">
        <f t="shared" si="1914"/>
        <v>0</v>
      </c>
      <c r="OK331" s="21">
        <f t="shared" si="1914"/>
        <v>0</v>
      </c>
      <c r="OL331" s="21">
        <f t="shared" ref="OL331:OS331" si="1915">IF($F$290, 0, IF($I$297, IF(AND(COLUMN($OL$331)-COLUMN($NV$327)=$Q$291,ROW($OL$331)-ROW($NV$327)=$K$291), U$290, OL331), OL331))</f>
        <v>0</v>
      </c>
      <c r="OM331" s="21">
        <f t="shared" si="1915"/>
        <v>0</v>
      </c>
      <c r="ON331" s="21">
        <f t="shared" si="1915"/>
        <v>0</v>
      </c>
      <c r="OO331" s="21">
        <f t="shared" si="1915"/>
        <v>0</v>
      </c>
      <c r="OP331" s="21">
        <f t="shared" si="1915"/>
        <v>0</v>
      </c>
      <c r="OQ331" s="21">
        <f t="shared" si="1915"/>
        <v>0</v>
      </c>
      <c r="OR331" s="21">
        <f t="shared" si="1915"/>
        <v>0</v>
      </c>
      <c r="OS331" s="21">
        <f t="shared" si="1915"/>
        <v>0</v>
      </c>
      <c r="OT331" s="21">
        <f t="shared" ref="OT331:PA331" si="1916">IF($F$290, 0, IF($I$297, IF(AND(COLUMN($OT$331)-COLUMN($NV$327)=$Q$291,ROW($OT$331)-ROW($NV$327)=$K$291), U$290, OT331), OT331))</f>
        <v>0</v>
      </c>
      <c r="OU331" s="21">
        <f t="shared" si="1916"/>
        <v>0</v>
      </c>
      <c r="OV331" s="21">
        <f t="shared" si="1916"/>
        <v>0</v>
      </c>
      <c r="OW331" s="21">
        <f t="shared" si="1916"/>
        <v>0</v>
      </c>
      <c r="OX331" s="21">
        <f t="shared" si="1916"/>
        <v>0</v>
      </c>
      <c r="OY331" s="21">
        <f t="shared" si="1916"/>
        <v>0</v>
      </c>
      <c r="OZ331" s="21">
        <f t="shared" si="1916"/>
        <v>0</v>
      </c>
      <c r="PA331" s="21">
        <f t="shared" si="1916"/>
        <v>0</v>
      </c>
      <c r="PB331" s="21">
        <f t="shared" ref="PB331:PI331" si="1917">IF($F$290, 0, IF($I$297, IF(AND(COLUMN($PB$331)-COLUMN($NV$327)=$Q$291,ROW($PB$331)-ROW($NV$327)=$K$291), U$290, PB331), PB331))</f>
        <v>0</v>
      </c>
      <c r="PC331" s="21">
        <f t="shared" si="1917"/>
        <v>0</v>
      </c>
      <c r="PD331" s="21">
        <f t="shared" si="1917"/>
        <v>0</v>
      </c>
      <c r="PE331" s="21">
        <f t="shared" si="1917"/>
        <v>0</v>
      </c>
      <c r="PF331" s="21">
        <f t="shared" si="1917"/>
        <v>0</v>
      </c>
      <c r="PG331" s="21">
        <f t="shared" si="1917"/>
        <v>0</v>
      </c>
      <c r="PH331" s="21">
        <f t="shared" si="1917"/>
        <v>0</v>
      </c>
      <c r="PI331" s="21">
        <f t="shared" si="1917"/>
        <v>0</v>
      </c>
      <c r="PJ331" s="21">
        <f t="shared" ref="PJ331:PQ331" si="1918">IF($F$290, 0, IF($I$297, IF(AND(COLUMN($PJ$331)-COLUMN($NV$327)=$Q$291,ROW($PJ$331)-ROW($NV$327)=$K$291), U$290, PJ331), PJ331))</f>
        <v>0</v>
      </c>
      <c r="PK331" s="21">
        <f t="shared" si="1918"/>
        <v>0</v>
      </c>
      <c r="PL331" s="21">
        <f t="shared" si="1918"/>
        <v>0</v>
      </c>
      <c r="PM331" s="21">
        <f t="shared" si="1918"/>
        <v>0</v>
      </c>
      <c r="PN331" s="21">
        <f t="shared" si="1918"/>
        <v>0</v>
      </c>
      <c r="PO331" s="21">
        <f t="shared" si="1918"/>
        <v>0</v>
      </c>
      <c r="PP331" s="21">
        <f t="shared" si="1918"/>
        <v>0</v>
      </c>
      <c r="PQ331" s="21">
        <f t="shared" si="1918"/>
        <v>0</v>
      </c>
      <c r="PR331" s="21">
        <f t="shared" ref="PR331:PY331" si="1919">IF($F$290, 0, IF($I$297, IF(AND(COLUMN($PR$331)-COLUMN($NV$327)=$Q$291,ROW($PR$331)-ROW($NV$327)=$K$291), U$290, PR331), PR331))</f>
        <v>0</v>
      </c>
      <c r="PS331" s="21">
        <f t="shared" si="1919"/>
        <v>0</v>
      </c>
      <c r="PT331" s="21">
        <f t="shared" si="1919"/>
        <v>0</v>
      </c>
      <c r="PU331" s="21">
        <f t="shared" si="1919"/>
        <v>0</v>
      </c>
      <c r="PV331" s="21">
        <f t="shared" si="1919"/>
        <v>0</v>
      </c>
      <c r="PW331" s="21">
        <f t="shared" si="1919"/>
        <v>0</v>
      </c>
      <c r="PX331" s="21">
        <f t="shared" si="1919"/>
        <v>0</v>
      </c>
      <c r="PY331" s="21">
        <f t="shared" si="1919"/>
        <v>0</v>
      </c>
      <c r="PZ331" s="21">
        <f t="shared" ref="PZ331:QG331" si="1920">IF($F$290, 0, IF($I$297, IF(AND(COLUMN($PZ$331)-COLUMN($NV$327)=$Q$291,ROW($PZ$331)-ROW($NV$327)=$K$291), U$290, PZ331), PZ331))</f>
        <v>0</v>
      </c>
      <c r="QA331" s="21">
        <f t="shared" si="1920"/>
        <v>0</v>
      </c>
      <c r="QB331" s="21">
        <f t="shared" si="1920"/>
        <v>0</v>
      </c>
      <c r="QC331" s="21">
        <f t="shared" si="1920"/>
        <v>0</v>
      </c>
      <c r="QD331" s="21">
        <f t="shared" si="1920"/>
        <v>0</v>
      </c>
      <c r="QE331" s="21">
        <f t="shared" si="1920"/>
        <v>0</v>
      </c>
      <c r="QF331" s="21">
        <f t="shared" si="1920"/>
        <v>0</v>
      </c>
      <c r="QG331" s="21">
        <f t="shared" si="1920"/>
        <v>0</v>
      </c>
      <c r="QH331" s="21">
        <f t="shared" ref="QH331:QO331" si="1921">IF($F$290, 0, IF($J$297, IF(AND(COLUMN($QH$331)-COLUMN($QH$327)=$Q$291,ROW($QH$331)-ROW($QH$327)=$K$291), U$290, QH331), QH331))</f>
        <v>0</v>
      </c>
      <c r="QI331" s="21">
        <f t="shared" si="1921"/>
        <v>0</v>
      </c>
      <c r="QJ331" s="21">
        <f t="shared" si="1921"/>
        <v>0</v>
      </c>
      <c r="QK331" s="21">
        <f t="shared" si="1921"/>
        <v>0</v>
      </c>
      <c r="QL331" s="21">
        <f t="shared" si="1921"/>
        <v>0</v>
      </c>
      <c r="QM331" s="21">
        <f t="shared" si="1921"/>
        <v>0</v>
      </c>
      <c r="QN331" s="21">
        <f t="shared" si="1921"/>
        <v>0</v>
      </c>
      <c r="QO331" s="21">
        <f t="shared" si="1921"/>
        <v>0</v>
      </c>
      <c r="QP331" s="21">
        <f t="shared" ref="QP331:QW331" si="1922">IF($F$290, 0, IF($J$297, IF(AND(COLUMN($QP$331)-COLUMN($QH$327)=$Q$291,ROW($QP$331)-ROW($QH$327)=$K$291), U$290, QP331), QP331))</f>
        <v>0</v>
      </c>
      <c r="QQ331" s="21">
        <f t="shared" si="1922"/>
        <v>0</v>
      </c>
      <c r="QR331" s="21">
        <f t="shared" si="1922"/>
        <v>0</v>
      </c>
      <c r="QS331" s="21">
        <f t="shared" si="1922"/>
        <v>0</v>
      </c>
      <c r="QT331" s="21">
        <f t="shared" si="1922"/>
        <v>0</v>
      </c>
      <c r="QU331" s="21">
        <f t="shared" si="1922"/>
        <v>0</v>
      </c>
      <c r="QV331" s="21">
        <f t="shared" si="1922"/>
        <v>0</v>
      </c>
      <c r="QW331" s="21">
        <f t="shared" si="1922"/>
        <v>0</v>
      </c>
      <c r="QX331" s="21">
        <f t="shared" ref="QX331:RE331" si="1923">IF($F$290, 0, IF($J$297, IF(AND(COLUMN($QX$331)-COLUMN($QH$327)=$Q$291,ROW($QX$331)-ROW($QH$327)=$K$291), U$290, QX331), QX331))</f>
        <v>0</v>
      </c>
      <c r="QY331" s="21">
        <f t="shared" si="1923"/>
        <v>0</v>
      </c>
      <c r="QZ331" s="21">
        <f t="shared" si="1923"/>
        <v>0</v>
      </c>
      <c r="RA331" s="21">
        <f t="shared" si="1923"/>
        <v>0</v>
      </c>
      <c r="RB331" s="21">
        <f t="shared" si="1923"/>
        <v>0</v>
      </c>
      <c r="RC331" s="21">
        <f t="shared" si="1923"/>
        <v>0</v>
      </c>
      <c r="RD331" s="21">
        <f t="shared" si="1923"/>
        <v>0</v>
      </c>
      <c r="RE331" s="21">
        <f t="shared" si="1923"/>
        <v>0</v>
      </c>
      <c r="RF331" s="21">
        <f t="shared" ref="RF331:RM331" si="1924">IF($F$290, 0, IF($J$297, IF(AND(COLUMN($RF$331)-COLUMN($QH$327)=$Q$291,ROW($RF$331)-ROW($QH$327)=$K$291), U$290, RF331), RF331))</f>
        <v>0</v>
      </c>
      <c r="RG331" s="21">
        <f t="shared" si="1924"/>
        <v>0</v>
      </c>
      <c r="RH331" s="21">
        <f t="shared" si="1924"/>
        <v>0</v>
      </c>
      <c r="RI331" s="21">
        <f t="shared" si="1924"/>
        <v>0</v>
      </c>
      <c r="RJ331" s="21">
        <f t="shared" si="1924"/>
        <v>0</v>
      </c>
      <c r="RK331" s="21">
        <f t="shared" si="1924"/>
        <v>0</v>
      </c>
      <c r="RL331" s="21">
        <f t="shared" si="1924"/>
        <v>0</v>
      </c>
      <c r="RM331" s="21">
        <f t="shared" si="1924"/>
        <v>0</v>
      </c>
      <c r="RN331" s="21">
        <f t="shared" ref="RN331:RU331" si="1925">IF($F$290, 0, IF($J$297, IF(AND(COLUMN($RN$331)-COLUMN($QH$327)=$Q$291,ROW($RN$331)-ROW($QH$327)=$K$291), U$290, RN331), RN331))</f>
        <v>0</v>
      </c>
      <c r="RO331" s="21">
        <f t="shared" si="1925"/>
        <v>0</v>
      </c>
      <c r="RP331" s="21">
        <f t="shared" si="1925"/>
        <v>0</v>
      </c>
      <c r="RQ331" s="21">
        <f t="shared" si="1925"/>
        <v>0</v>
      </c>
      <c r="RR331" s="21">
        <f t="shared" si="1925"/>
        <v>0</v>
      </c>
      <c r="RS331" s="21">
        <f t="shared" si="1925"/>
        <v>0</v>
      </c>
      <c r="RT331" s="21">
        <f t="shared" si="1925"/>
        <v>0</v>
      </c>
      <c r="RU331" s="21">
        <f t="shared" si="1925"/>
        <v>0</v>
      </c>
      <c r="RV331" s="21">
        <f t="shared" ref="RV331:SC331" si="1926">IF($F$290, 0, IF($J$297, IF(AND(COLUMN($RV$331)-COLUMN($QH$327)=$Q$291,ROW($RV$331)-ROW($QH$327)=$K$291), U$290, RV331), RV331))</f>
        <v>0</v>
      </c>
      <c r="RW331" s="21">
        <f t="shared" si="1926"/>
        <v>0</v>
      </c>
      <c r="RX331" s="21">
        <f t="shared" si="1926"/>
        <v>0</v>
      </c>
      <c r="RY331" s="21">
        <f t="shared" si="1926"/>
        <v>0</v>
      </c>
      <c r="RZ331" s="21">
        <f t="shared" si="1926"/>
        <v>0</v>
      </c>
      <c r="SA331" s="21">
        <f t="shared" si="1926"/>
        <v>0</v>
      </c>
      <c r="SB331" s="21">
        <f t="shared" si="1926"/>
        <v>0</v>
      </c>
      <c r="SC331" s="21">
        <f t="shared" si="1926"/>
        <v>0</v>
      </c>
      <c r="SD331" s="21">
        <f t="shared" ref="SD331:SK331" si="1927">IF($F$290, 0, IF($J$297, IF(AND(COLUMN($SD$331)-COLUMN($QH$327)=$Q$291,ROW($SD$331)-ROW($QH$327)=$K$291), U$290, SD331), SD331))</f>
        <v>0</v>
      </c>
      <c r="SE331" s="21">
        <f t="shared" si="1927"/>
        <v>0</v>
      </c>
      <c r="SF331" s="21">
        <f t="shared" si="1927"/>
        <v>0</v>
      </c>
      <c r="SG331" s="21">
        <f t="shared" si="1927"/>
        <v>0</v>
      </c>
      <c r="SH331" s="21">
        <f t="shared" si="1927"/>
        <v>0</v>
      </c>
      <c r="SI331" s="21">
        <f t="shared" si="1927"/>
        <v>0</v>
      </c>
      <c r="SJ331" s="21">
        <f t="shared" si="1927"/>
        <v>0</v>
      </c>
      <c r="SK331" s="21">
        <f t="shared" si="1927"/>
        <v>0</v>
      </c>
      <c r="SL331" s="21">
        <f t="shared" ref="SL331:SS331" si="1928">IF($F$290, 0, IF($J$297, IF(AND(COLUMN($SL$331)-COLUMN($QH$327)=$Q$291,ROW($SL$331)-ROW($QH$327)=$K$291), U$290, SL331), SL331))</f>
        <v>0</v>
      </c>
      <c r="SM331" s="21">
        <f t="shared" si="1928"/>
        <v>0</v>
      </c>
      <c r="SN331" s="21">
        <f t="shared" si="1928"/>
        <v>0</v>
      </c>
      <c r="SO331" s="21">
        <f t="shared" si="1928"/>
        <v>0</v>
      </c>
      <c r="SP331" s="21">
        <f t="shared" si="1928"/>
        <v>0</v>
      </c>
      <c r="SQ331" s="21">
        <f t="shared" si="1928"/>
        <v>0</v>
      </c>
      <c r="SR331" s="21">
        <f t="shared" si="1928"/>
        <v>0</v>
      </c>
      <c r="SS331" s="21">
        <f t="shared" si="1928"/>
        <v>0</v>
      </c>
    </row>
    <row r="332" spans="2:513" ht="15" customHeight="1" x14ac:dyDescent="0.25">
      <c r="B332" s="21">
        <f t="shared" ref="B332:I332" si="1929">IF($F$290, 0, IF($C$297, IF(AND(COLUMN($B$332)-COLUMN($B$327)=$Q$291,ROW($B$332)-ROW($B$327)=$K$291), U$290, B332), B332))</f>
        <v>0</v>
      </c>
      <c r="C332" s="21">
        <f t="shared" si="1929"/>
        <v>0</v>
      </c>
      <c r="D332" s="21">
        <f t="shared" si="1929"/>
        <v>0</v>
      </c>
      <c r="E332" s="21">
        <f t="shared" si="1929"/>
        <v>0</v>
      </c>
      <c r="F332" s="21">
        <f t="shared" si="1929"/>
        <v>0</v>
      </c>
      <c r="G332" s="21">
        <f t="shared" si="1929"/>
        <v>0</v>
      </c>
      <c r="H332" s="21">
        <f t="shared" si="1929"/>
        <v>0</v>
      </c>
      <c r="I332" s="21">
        <f t="shared" si="1929"/>
        <v>0</v>
      </c>
      <c r="J332" s="21">
        <f t="shared" ref="J332:Q332" si="1930">IF($F$290, 0, IF($C$297, IF(AND(COLUMN($J$332)-COLUMN($B$327)=$Q$291,ROW($J$332)-ROW($B$327)=$K$291), U$290, J332), J332))</f>
        <v>0</v>
      </c>
      <c r="K332" s="21">
        <f t="shared" si="1930"/>
        <v>0</v>
      </c>
      <c r="L332" s="21">
        <f t="shared" si="1930"/>
        <v>0</v>
      </c>
      <c r="M332" s="21">
        <f t="shared" si="1930"/>
        <v>0</v>
      </c>
      <c r="N332" s="21">
        <f t="shared" si="1930"/>
        <v>0</v>
      </c>
      <c r="O332" s="21">
        <f t="shared" si="1930"/>
        <v>0</v>
      </c>
      <c r="P332" s="21">
        <f t="shared" si="1930"/>
        <v>0</v>
      </c>
      <c r="Q332" s="21">
        <f t="shared" si="1930"/>
        <v>0</v>
      </c>
      <c r="R332" s="21">
        <f>IF($F$290, 0, IF($C$297, IF(AND(COLUMN($R$332)-COLUMN($B$327)=$Q$291,ROW($R$332)-ROW($B$327)=$K$291), U$290, R332), R332))</f>
        <v>0</v>
      </c>
      <c r="S332" s="21">
        <f t="shared" ref="S332:Y332" si="1931">IF($F$290, 0, IF($C$297, IF(AND(COLUMN($R$332)-COLUMN($B$327)=$Q$291,ROW($R$332)-ROW($B$327)=$K$291), V$290, S332), S332))</f>
        <v>0</v>
      </c>
      <c r="T332" s="21">
        <f t="shared" si="1931"/>
        <v>0</v>
      </c>
      <c r="U332" s="21">
        <f t="shared" si="1931"/>
        <v>0</v>
      </c>
      <c r="V332" s="21">
        <f t="shared" si="1931"/>
        <v>0</v>
      </c>
      <c r="W332" s="21">
        <f t="shared" si="1931"/>
        <v>0</v>
      </c>
      <c r="X332" s="21">
        <f t="shared" si="1931"/>
        <v>0</v>
      </c>
      <c r="Y332" s="21">
        <f t="shared" si="1931"/>
        <v>0</v>
      </c>
      <c r="Z332" s="21">
        <f t="shared" ref="Z332:AG332" si="1932">IF($F$290, 0, IF($C$297, IF(AND(COLUMN($Z$332)-COLUMN($B$327)=$Q$291,ROW($Z$332)-ROW($B$327)=$K$291), U$290, Z332), Z332))</f>
        <v>0</v>
      </c>
      <c r="AA332" s="21">
        <f t="shared" si="1932"/>
        <v>0</v>
      </c>
      <c r="AB332" s="21">
        <f t="shared" si="1932"/>
        <v>0</v>
      </c>
      <c r="AC332" s="21">
        <f t="shared" si="1932"/>
        <v>0</v>
      </c>
      <c r="AD332" s="21">
        <f t="shared" si="1932"/>
        <v>0</v>
      </c>
      <c r="AE332" s="21">
        <f t="shared" si="1932"/>
        <v>0</v>
      </c>
      <c r="AF332" s="21">
        <f t="shared" si="1932"/>
        <v>0</v>
      </c>
      <c r="AG332" s="21">
        <f t="shared" si="1932"/>
        <v>0</v>
      </c>
      <c r="AH332" s="21">
        <f t="shared" ref="AH332:AO332" si="1933">IF($F$290, 0, IF($C$297, IF(AND(COLUMN($AH$332)-COLUMN($B$327)=$Q$291,ROW($AH$332)-ROW($B$327)=$K$291), U$290, AH332), AH332))</f>
        <v>0</v>
      </c>
      <c r="AI332" s="21">
        <f t="shared" si="1933"/>
        <v>0</v>
      </c>
      <c r="AJ332" s="21">
        <f t="shared" si="1933"/>
        <v>0</v>
      </c>
      <c r="AK332" s="21">
        <f t="shared" si="1933"/>
        <v>0</v>
      </c>
      <c r="AL332" s="21">
        <f t="shared" si="1933"/>
        <v>0</v>
      </c>
      <c r="AM332" s="21">
        <f t="shared" si="1933"/>
        <v>0</v>
      </c>
      <c r="AN332" s="21">
        <f t="shared" si="1933"/>
        <v>0</v>
      </c>
      <c r="AO332" s="21">
        <f t="shared" si="1933"/>
        <v>0</v>
      </c>
      <c r="AP332" s="21">
        <f t="shared" ref="AP332:AW332" si="1934">IF($F$290, 0, IF($C$297, IF(AND(COLUMN($AP$332)-COLUMN($B$327)=$Q$291,ROW($AP$332)-ROW($B$327)=$K$291), U$290, AP332), AP332))</f>
        <v>0</v>
      </c>
      <c r="AQ332" s="21">
        <f t="shared" si="1934"/>
        <v>0</v>
      </c>
      <c r="AR332" s="21">
        <f t="shared" si="1934"/>
        <v>0</v>
      </c>
      <c r="AS332" s="21">
        <f t="shared" si="1934"/>
        <v>0</v>
      </c>
      <c r="AT332" s="21">
        <f t="shared" si="1934"/>
        <v>0</v>
      </c>
      <c r="AU332" s="21">
        <f t="shared" si="1934"/>
        <v>0</v>
      </c>
      <c r="AV332" s="21">
        <f t="shared" si="1934"/>
        <v>0</v>
      </c>
      <c r="AW332" s="21">
        <f t="shared" si="1934"/>
        <v>0</v>
      </c>
      <c r="AX332" s="21">
        <f t="shared" ref="AX332:BE332" si="1935">IF($F$290, 0, IF($C$297, IF(AND(COLUMN($AX$332)-COLUMN($B$327)=$Q$291,ROW($AX$332)-ROW($B$327)=$K$291), U$290, AX332), AX332))</f>
        <v>0</v>
      </c>
      <c r="AY332" s="21">
        <f t="shared" si="1935"/>
        <v>0</v>
      </c>
      <c r="AZ332" s="21">
        <f t="shared" si="1935"/>
        <v>0</v>
      </c>
      <c r="BA332" s="21">
        <f t="shared" si="1935"/>
        <v>0</v>
      </c>
      <c r="BB332" s="21">
        <f t="shared" si="1935"/>
        <v>0</v>
      </c>
      <c r="BC332" s="21">
        <f t="shared" si="1935"/>
        <v>0</v>
      </c>
      <c r="BD332" s="21">
        <f t="shared" si="1935"/>
        <v>0</v>
      </c>
      <c r="BE332" s="21">
        <f t="shared" si="1935"/>
        <v>0</v>
      </c>
      <c r="BF332" s="21">
        <f t="shared" ref="BF332:BM332" si="1936">IF($F$290, 0, IF($C$297, IF(AND(COLUMN($BF$332)-COLUMN($B$327)=$Q$291,ROW($BF$332)-ROW($B$327)=$K$291), U$290, BF332), BF332))</f>
        <v>0</v>
      </c>
      <c r="BG332" s="21">
        <f t="shared" si="1936"/>
        <v>0</v>
      </c>
      <c r="BH332" s="21">
        <f t="shared" si="1936"/>
        <v>0</v>
      </c>
      <c r="BI332" s="21">
        <f t="shared" si="1936"/>
        <v>0</v>
      </c>
      <c r="BJ332" s="21">
        <f t="shared" si="1936"/>
        <v>0</v>
      </c>
      <c r="BK332" s="21">
        <f t="shared" si="1936"/>
        <v>0</v>
      </c>
      <c r="BL332" s="21">
        <f t="shared" si="1936"/>
        <v>0</v>
      </c>
      <c r="BM332" s="21">
        <f t="shared" si="1936"/>
        <v>0</v>
      </c>
      <c r="BN332" s="21">
        <f t="shared" ref="BN332:BU332" si="1937">IF($F$290, 0, IF($D$297, IF(AND(COLUMN($BN$332)-COLUMN($BN$327)=$Q$291,ROW($BN$332)-ROW($BN$327)=$K$291), U$290, BN332), BN332))</f>
        <v>0</v>
      </c>
      <c r="BO332" s="21">
        <f t="shared" si="1937"/>
        <v>0</v>
      </c>
      <c r="BP332" s="21">
        <f t="shared" si="1937"/>
        <v>0</v>
      </c>
      <c r="BQ332" s="21">
        <f t="shared" si="1937"/>
        <v>0</v>
      </c>
      <c r="BR332" s="21">
        <f t="shared" si="1937"/>
        <v>0</v>
      </c>
      <c r="BS332" s="21">
        <f t="shared" si="1937"/>
        <v>0</v>
      </c>
      <c r="BT332" s="21">
        <f t="shared" si="1937"/>
        <v>0</v>
      </c>
      <c r="BU332" s="21">
        <f t="shared" si="1937"/>
        <v>0</v>
      </c>
      <c r="BV332" s="21">
        <f t="shared" ref="BV332:CC332" si="1938">IF($F$290, 0, IF($D$297, IF(AND(COLUMN($BV$332)-COLUMN($BN$327)=$Q$291,ROW($BV$332)-ROW($BN$327)=$K$291), U$290, BV332), BV332))</f>
        <v>0</v>
      </c>
      <c r="BW332" s="21">
        <f t="shared" si="1938"/>
        <v>0</v>
      </c>
      <c r="BX332" s="21">
        <f t="shared" si="1938"/>
        <v>0</v>
      </c>
      <c r="BY332" s="21">
        <f t="shared" si="1938"/>
        <v>0</v>
      </c>
      <c r="BZ332" s="21">
        <f t="shared" si="1938"/>
        <v>0</v>
      </c>
      <c r="CA332" s="21">
        <f t="shared" si="1938"/>
        <v>0</v>
      </c>
      <c r="CB332" s="21">
        <f t="shared" si="1938"/>
        <v>0</v>
      </c>
      <c r="CC332" s="21">
        <f t="shared" si="1938"/>
        <v>0</v>
      </c>
      <c r="CD332" s="21">
        <f t="shared" ref="CD332:CK332" si="1939">IF($F$290, 0, IF($D$297, IF(AND(COLUMN($CD$332)-COLUMN($BN$327)=$Q$291,ROW($CD$332)-ROW($BN$327)=$K$291), U$290, CD332), CD332))</f>
        <v>0</v>
      </c>
      <c r="CE332" s="21">
        <f t="shared" si="1939"/>
        <v>0</v>
      </c>
      <c r="CF332" s="21">
        <f t="shared" si="1939"/>
        <v>0</v>
      </c>
      <c r="CG332" s="21">
        <f t="shared" si="1939"/>
        <v>0</v>
      </c>
      <c r="CH332" s="21">
        <f t="shared" si="1939"/>
        <v>0</v>
      </c>
      <c r="CI332" s="21">
        <f t="shared" si="1939"/>
        <v>0</v>
      </c>
      <c r="CJ332" s="21">
        <f t="shared" si="1939"/>
        <v>0</v>
      </c>
      <c r="CK332" s="21">
        <f t="shared" si="1939"/>
        <v>0</v>
      </c>
      <c r="CL332" s="21">
        <f t="shared" ref="CL332:CS332" si="1940">IF($F$290, 0, IF($D$297, IF(AND(COLUMN($CL$332)-COLUMN($BN$327)=$Q$291,ROW($CL$332)-ROW($BN$327)=$K$291), U$290, CL332), CL332))</f>
        <v>0</v>
      </c>
      <c r="CM332" s="21">
        <f t="shared" si="1940"/>
        <v>0</v>
      </c>
      <c r="CN332" s="21">
        <f t="shared" si="1940"/>
        <v>0</v>
      </c>
      <c r="CO332" s="21">
        <f t="shared" si="1940"/>
        <v>0</v>
      </c>
      <c r="CP332" s="21">
        <f t="shared" si="1940"/>
        <v>0</v>
      </c>
      <c r="CQ332" s="21">
        <f t="shared" si="1940"/>
        <v>0</v>
      </c>
      <c r="CR332" s="21">
        <f t="shared" si="1940"/>
        <v>0</v>
      </c>
      <c r="CS332" s="21">
        <f t="shared" si="1940"/>
        <v>0</v>
      </c>
      <c r="CT332" s="21">
        <f t="shared" ref="CT332:DA332" si="1941">IF($F$290, 0, IF($D$297, IF(AND(COLUMN($CT$332)-COLUMN($BN$327)=$Q$291,ROW($CT$332)-ROW($BN$327)=$K$291), U$290, CT332), CT332))</f>
        <v>0</v>
      </c>
      <c r="CU332" s="21">
        <f t="shared" si="1941"/>
        <v>0</v>
      </c>
      <c r="CV332" s="21">
        <f t="shared" si="1941"/>
        <v>0</v>
      </c>
      <c r="CW332" s="21">
        <f t="shared" si="1941"/>
        <v>0</v>
      </c>
      <c r="CX332" s="21">
        <f t="shared" si="1941"/>
        <v>0</v>
      </c>
      <c r="CY332" s="21">
        <f t="shared" si="1941"/>
        <v>0</v>
      </c>
      <c r="CZ332" s="21">
        <f t="shared" si="1941"/>
        <v>0</v>
      </c>
      <c r="DA332" s="21">
        <f t="shared" si="1941"/>
        <v>0</v>
      </c>
      <c r="DB332" s="21">
        <f t="shared" ref="DB332:DI332" si="1942">IF($F$290, 0, IF($D$297, IF(AND(COLUMN($DB$332)-COLUMN($BN$327)=$Q$291,ROW($DB$332)-ROW($BN$327)=$K$291), U$290, DB332), DB332))</f>
        <v>0</v>
      </c>
      <c r="DC332" s="21">
        <f t="shared" si="1942"/>
        <v>0</v>
      </c>
      <c r="DD332" s="21">
        <f t="shared" si="1942"/>
        <v>0</v>
      </c>
      <c r="DE332" s="21">
        <f t="shared" si="1942"/>
        <v>0</v>
      </c>
      <c r="DF332" s="21">
        <f t="shared" si="1942"/>
        <v>0</v>
      </c>
      <c r="DG332" s="21">
        <f t="shared" si="1942"/>
        <v>0</v>
      </c>
      <c r="DH332" s="21">
        <f t="shared" si="1942"/>
        <v>0</v>
      </c>
      <c r="DI332" s="21">
        <f t="shared" si="1942"/>
        <v>0</v>
      </c>
      <c r="DJ332" s="21">
        <f t="shared" ref="DJ332:DQ332" si="1943">IF($F$290, 0, IF($D$297, IF(AND(COLUMN($DJ$332)-COLUMN($BN$327)=$Q$291,ROW($DJ$332)-ROW($BN$327)=$K$291), U$290, DJ332), DJ332))</f>
        <v>0</v>
      </c>
      <c r="DK332" s="21">
        <f t="shared" si="1943"/>
        <v>0</v>
      </c>
      <c r="DL332" s="21">
        <f t="shared" si="1943"/>
        <v>0</v>
      </c>
      <c r="DM332" s="21">
        <f t="shared" si="1943"/>
        <v>0</v>
      </c>
      <c r="DN332" s="21">
        <f t="shared" si="1943"/>
        <v>0</v>
      </c>
      <c r="DO332" s="21">
        <f t="shared" si="1943"/>
        <v>0</v>
      </c>
      <c r="DP332" s="21">
        <f t="shared" si="1943"/>
        <v>0</v>
      </c>
      <c r="DQ332" s="21">
        <f t="shared" si="1943"/>
        <v>0</v>
      </c>
      <c r="DR332" s="21">
        <f t="shared" ref="DR332:DY332" si="1944">IF($F$290, 0, IF($D$297, IF(AND(COLUMN($DR$332)-COLUMN($BN$327)=$Q$291,ROW($DR$332)-ROW($BN$327)=$K$291), U$290, DR332), DR332))</f>
        <v>0</v>
      </c>
      <c r="DS332" s="21">
        <f t="shared" si="1944"/>
        <v>0</v>
      </c>
      <c r="DT332" s="21">
        <f t="shared" si="1944"/>
        <v>0</v>
      </c>
      <c r="DU332" s="21">
        <f t="shared" si="1944"/>
        <v>0</v>
      </c>
      <c r="DV332" s="21">
        <f t="shared" si="1944"/>
        <v>0</v>
      </c>
      <c r="DW332" s="21">
        <f t="shared" si="1944"/>
        <v>0</v>
      </c>
      <c r="DX332" s="21">
        <f t="shared" si="1944"/>
        <v>0</v>
      </c>
      <c r="DY332" s="21">
        <f t="shared" si="1944"/>
        <v>0</v>
      </c>
      <c r="DZ332" s="21">
        <f t="shared" ref="DZ332:EG332" si="1945">IF($F$290, 0, IF($E$297, IF(AND(COLUMN($DZ$332)-COLUMN($DZ$327)=$Q$291,ROW($DZ$332)-ROW($DZ$327)=$K$291), U$290, DZ332), DZ332))</f>
        <v>0</v>
      </c>
      <c r="EA332" s="21">
        <f t="shared" si="1945"/>
        <v>0</v>
      </c>
      <c r="EB332" s="21">
        <f t="shared" si="1945"/>
        <v>0</v>
      </c>
      <c r="EC332" s="21">
        <f t="shared" si="1945"/>
        <v>0</v>
      </c>
      <c r="ED332" s="21">
        <f t="shared" si="1945"/>
        <v>0</v>
      </c>
      <c r="EE332" s="21">
        <f t="shared" si="1945"/>
        <v>0</v>
      </c>
      <c r="EF332" s="21">
        <f t="shared" si="1945"/>
        <v>0</v>
      </c>
      <c r="EG332" s="21">
        <f t="shared" si="1945"/>
        <v>0</v>
      </c>
      <c r="EH332" s="21">
        <f t="shared" ref="EH332:EO332" si="1946">IF($F$290, 0, IF($E$297, IF(AND(COLUMN($EH$332)-COLUMN($DZ$327)=$Q$291,ROW($EH$332)-ROW($DZ$327)=$K$291), U$290, EH332), EH332))</f>
        <v>0</v>
      </c>
      <c r="EI332" s="21">
        <f t="shared" si="1946"/>
        <v>0</v>
      </c>
      <c r="EJ332" s="21">
        <f t="shared" si="1946"/>
        <v>0</v>
      </c>
      <c r="EK332" s="21">
        <f t="shared" si="1946"/>
        <v>0</v>
      </c>
      <c r="EL332" s="21">
        <f t="shared" si="1946"/>
        <v>0</v>
      </c>
      <c r="EM332" s="21">
        <f t="shared" si="1946"/>
        <v>0</v>
      </c>
      <c r="EN332" s="21">
        <f t="shared" si="1946"/>
        <v>0</v>
      </c>
      <c r="EO332" s="21">
        <f t="shared" si="1946"/>
        <v>0</v>
      </c>
      <c r="EP332" s="21">
        <f t="shared" ref="EP332:EW332" si="1947">IF($F$290, 0, IF($E$297, IF(AND(COLUMN($EP$332)-COLUMN($DZ$327)=$Q$291,ROW($EP$332)-ROW($DZ$327)=$K$291), U$290, EP332), EP332))</f>
        <v>0</v>
      </c>
      <c r="EQ332" s="21">
        <f t="shared" si="1947"/>
        <v>0</v>
      </c>
      <c r="ER332" s="21">
        <f t="shared" si="1947"/>
        <v>0</v>
      </c>
      <c r="ES332" s="21">
        <f t="shared" si="1947"/>
        <v>0</v>
      </c>
      <c r="ET332" s="21">
        <f t="shared" si="1947"/>
        <v>0</v>
      </c>
      <c r="EU332" s="21">
        <f t="shared" si="1947"/>
        <v>0</v>
      </c>
      <c r="EV332" s="21">
        <f t="shared" si="1947"/>
        <v>0</v>
      </c>
      <c r="EW332" s="21">
        <f t="shared" si="1947"/>
        <v>0</v>
      </c>
      <c r="EX332" s="21">
        <f t="shared" ref="EX332:FE332" si="1948">IF($F$290, 0, IF($E$297, IF(AND(COLUMN($EX$332)-COLUMN($DZ$327)=$Q$291,ROW($EX$332)-ROW($DZ$327)=$K$291), U$290, EX332), EX332))</f>
        <v>0</v>
      </c>
      <c r="EY332" s="21">
        <f t="shared" si="1948"/>
        <v>0</v>
      </c>
      <c r="EZ332" s="21">
        <f t="shared" si="1948"/>
        <v>0</v>
      </c>
      <c r="FA332" s="21">
        <f t="shared" si="1948"/>
        <v>0</v>
      </c>
      <c r="FB332" s="21">
        <f t="shared" si="1948"/>
        <v>0</v>
      </c>
      <c r="FC332" s="21">
        <f t="shared" si="1948"/>
        <v>0</v>
      </c>
      <c r="FD332" s="21">
        <f t="shared" si="1948"/>
        <v>0</v>
      </c>
      <c r="FE332" s="21">
        <f t="shared" si="1948"/>
        <v>0</v>
      </c>
      <c r="FF332" s="21">
        <f t="shared" ref="FF332:FM332" si="1949">IF($F$290, 0, IF($E$297, IF(AND(COLUMN($FF$332)-COLUMN($DZ$327)=$Q$291,ROW($FF$332)-ROW($DZ$327)=$K$291), U$290, FF332), FF332))</f>
        <v>0</v>
      </c>
      <c r="FG332" s="21">
        <f t="shared" si="1949"/>
        <v>0</v>
      </c>
      <c r="FH332" s="21">
        <f t="shared" si="1949"/>
        <v>0</v>
      </c>
      <c r="FI332" s="21">
        <f t="shared" si="1949"/>
        <v>0</v>
      </c>
      <c r="FJ332" s="21">
        <f t="shared" si="1949"/>
        <v>0</v>
      </c>
      <c r="FK332" s="21">
        <f t="shared" si="1949"/>
        <v>0</v>
      </c>
      <c r="FL332" s="21">
        <f t="shared" si="1949"/>
        <v>0</v>
      </c>
      <c r="FM332" s="21">
        <f t="shared" si="1949"/>
        <v>0</v>
      </c>
      <c r="FN332" s="21">
        <f t="shared" ref="FN332:FU332" si="1950">IF($F$290, 0, IF($E$297, IF(AND(COLUMN($FN$332)-COLUMN($DZ$327)=$Q$291,ROW($FN$332)-ROW($DZ$327)=$K$291), U$290, FN332), FN332))</f>
        <v>0</v>
      </c>
      <c r="FO332" s="21">
        <f t="shared" si="1950"/>
        <v>0</v>
      </c>
      <c r="FP332" s="21">
        <f t="shared" si="1950"/>
        <v>0</v>
      </c>
      <c r="FQ332" s="21">
        <f t="shared" si="1950"/>
        <v>0</v>
      </c>
      <c r="FR332" s="21">
        <f t="shared" si="1950"/>
        <v>0</v>
      </c>
      <c r="FS332" s="21">
        <f t="shared" si="1950"/>
        <v>0</v>
      </c>
      <c r="FT332" s="21">
        <f t="shared" si="1950"/>
        <v>0</v>
      </c>
      <c r="FU332" s="21">
        <f t="shared" si="1950"/>
        <v>0</v>
      </c>
      <c r="FV332" s="21">
        <f t="shared" ref="FV332:GC332" si="1951">IF($F$290, 0, IF($E$297, IF(AND(COLUMN($FV$332)-COLUMN($DZ$327)=$Q$291,ROW($FV$332)-ROW($DZ$327)=$K$291), U$290, FV332), FV332))</f>
        <v>0</v>
      </c>
      <c r="FW332" s="21">
        <f t="shared" si="1951"/>
        <v>0</v>
      </c>
      <c r="FX332" s="21">
        <f t="shared" si="1951"/>
        <v>0</v>
      </c>
      <c r="FY332" s="21">
        <f t="shared" si="1951"/>
        <v>0</v>
      </c>
      <c r="FZ332" s="21">
        <f t="shared" si="1951"/>
        <v>0</v>
      </c>
      <c r="GA332" s="21">
        <f t="shared" si="1951"/>
        <v>0</v>
      </c>
      <c r="GB332" s="21">
        <f t="shared" si="1951"/>
        <v>0</v>
      </c>
      <c r="GC332" s="21">
        <f t="shared" si="1951"/>
        <v>0</v>
      </c>
      <c r="GD332" s="21">
        <f t="shared" ref="GD332:GK332" si="1952">IF($F$290, 0, IF($E$297, IF(AND(COLUMN($GD$332)-COLUMN($DZ$327)=$Q$291,ROW($GD$332)-ROW($DZ$327)=$K$291), U$290, GD332), GD332))</f>
        <v>0</v>
      </c>
      <c r="GE332" s="21">
        <f t="shared" si="1952"/>
        <v>0</v>
      </c>
      <c r="GF332" s="21">
        <f t="shared" si="1952"/>
        <v>0</v>
      </c>
      <c r="GG332" s="21">
        <f t="shared" si="1952"/>
        <v>0</v>
      </c>
      <c r="GH332" s="21">
        <f t="shared" si="1952"/>
        <v>0</v>
      </c>
      <c r="GI332" s="21">
        <f t="shared" si="1952"/>
        <v>0</v>
      </c>
      <c r="GJ332" s="21">
        <f t="shared" si="1952"/>
        <v>0</v>
      </c>
      <c r="GK332" s="21">
        <f t="shared" si="1952"/>
        <v>0</v>
      </c>
      <c r="GL332" s="21">
        <f t="shared" ref="GL332:GS332" si="1953">IF($F$290, 0, IF($F$297, IF(AND(COLUMN($GL$332)-COLUMN($GL$327)=$Q$291,ROW($GL$332)-ROW($GL$327)=$K$291), U$290, GL332), GL332))</f>
        <v>0</v>
      </c>
      <c r="GM332" s="21">
        <f t="shared" si="1953"/>
        <v>0</v>
      </c>
      <c r="GN332" s="21">
        <f t="shared" si="1953"/>
        <v>0</v>
      </c>
      <c r="GO332" s="21">
        <f t="shared" si="1953"/>
        <v>0</v>
      </c>
      <c r="GP332" s="21">
        <f t="shared" si="1953"/>
        <v>0</v>
      </c>
      <c r="GQ332" s="21">
        <f t="shared" si="1953"/>
        <v>0</v>
      </c>
      <c r="GR332" s="21">
        <f t="shared" si="1953"/>
        <v>0</v>
      </c>
      <c r="GS332" s="21">
        <f t="shared" si="1953"/>
        <v>0</v>
      </c>
      <c r="GT332" s="21">
        <f t="shared" ref="GT332:HA332" si="1954">IF($F$290, 0, IF($F$297, IF(AND(COLUMN($GT$332)-COLUMN($GL$327)=$Q$291,ROW($GT$332)-ROW($GL$327)=$K$291), U$290, GT332), GT332))</f>
        <v>0</v>
      </c>
      <c r="GU332" s="21">
        <f t="shared" si="1954"/>
        <v>0</v>
      </c>
      <c r="GV332" s="21">
        <f t="shared" si="1954"/>
        <v>0</v>
      </c>
      <c r="GW332" s="21">
        <f t="shared" si="1954"/>
        <v>0</v>
      </c>
      <c r="GX332" s="21">
        <f t="shared" si="1954"/>
        <v>0</v>
      </c>
      <c r="GY332" s="21">
        <f t="shared" si="1954"/>
        <v>0</v>
      </c>
      <c r="GZ332" s="21">
        <f t="shared" si="1954"/>
        <v>0</v>
      </c>
      <c r="HA332" s="21">
        <f t="shared" si="1954"/>
        <v>0</v>
      </c>
      <c r="HB332" s="21">
        <f t="shared" ref="HB332:HI332" si="1955">IF($F$290, 0, IF($F$297, IF(AND(COLUMN($HB$332)-COLUMN($GL$327)=$Q$291,ROW($HB$332)-ROW($GL$327)=$K$291), U$290, HB332), HB332))</f>
        <v>0</v>
      </c>
      <c r="HC332" s="21">
        <f t="shared" si="1955"/>
        <v>0</v>
      </c>
      <c r="HD332" s="21">
        <f t="shared" si="1955"/>
        <v>0</v>
      </c>
      <c r="HE332" s="21">
        <f t="shared" si="1955"/>
        <v>0</v>
      </c>
      <c r="HF332" s="21">
        <f t="shared" si="1955"/>
        <v>0</v>
      </c>
      <c r="HG332" s="21">
        <f t="shared" si="1955"/>
        <v>0</v>
      </c>
      <c r="HH332" s="21">
        <f t="shared" si="1955"/>
        <v>0</v>
      </c>
      <c r="HI332" s="21">
        <f t="shared" si="1955"/>
        <v>0</v>
      </c>
      <c r="HJ332" s="21">
        <f t="shared" ref="HJ332:HQ332" si="1956">IF($F$290, 0, IF($F$297, IF(AND(COLUMN($HJ$332)-COLUMN($GL$327)=$Q$291,ROW($HJ$332)-ROW($GL$327)=$K$291), U$290, HJ332), HJ332))</f>
        <v>0</v>
      </c>
      <c r="HK332" s="21">
        <f t="shared" si="1956"/>
        <v>0</v>
      </c>
      <c r="HL332" s="21">
        <f t="shared" si="1956"/>
        <v>0</v>
      </c>
      <c r="HM332" s="21">
        <f t="shared" si="1956"/>
        <v>0</v>
      </c>
      <c r="HN332" s="21">
        <f t="shared" si="1956"/>
        <v>0</v>
      </c>
      <c r="HO332" s="21">
        <f t="shared" si="1956"/>
        <v>0</v>
      </c>
      <c r="HP332" s="21">
        <f t="shared" si="1956"/>
        <v>0</v>
      </c>
      <c r="HQ332" s="21">
        <f t="shared" si="1956"/>
        <v>0</v>
      </c>
      <c r="HR332" s="21">
        <f t="shared" ref="HR332:HY332" si="1957">IF($F$290, 0, IF($F$297, IF(AND(COLUMN($HR$332)-COLUMN($GL$327)=$Q$291,ROW($HR$332)-ROW($GL$327)=$K$291), U$290, HR332), HR332))</f>
        <v>0</v>
      </c>
      <c r="HS332" s="21">
        <f t="shared" si="1957"/>
        <v>0</v>
      </c>
      <c r="HT332" s="21">
        <f t="shared" si="1957"/>
        <v>0</v>
      </c>
      <c r="HU332" s="21">
        <f t="shared" si="1957"/>
        <v>0</v>
      </c>
      <c r="HV332" s="21">
        <f t="shared" si="1957"/>
        <v>0</v>
      </c>
      <c r="HW332" s="21">
        <f t="shared" si="1957"/>
        <v>0</v>
      </c>
      <c r="HX332" s="21">
        <f t="shared" si="1957"/>
        <v>0</v>
      </c>
      <c r="HY332" s="21">
        <f t="shared" si="1957"/>
        <v>0</v>
      </c>
      <c r="HZ332" s="21">
        <f t="shared" ref="HZ332:IG332" si="1958">IF($F$290, 0, IF($F$297, IF(AND(COLUMN($HZ$332)-COLUMN($GL$327)=$Q$291,ROW($HZ$332)-ROW($GL$327)=$K$291), U$290, HZ332), HZ332))</f>
        <v>0</v>
      </c>
      <c r="IA332" s="21">
        <f t="shared" si="1958"/>
        <v>0</v>
      </c>
      <c r="IB332" s="21">
        <f t="shared" si="1958"/>
        <v>0</v>
      </c>
      <c r="IC332" s="21">
        <f t="shared" si="1958"/>
        <v>0</v>
      </c>
      <c r="ID332" s="21">
        <f t="shared" si="1958"/>
        <v>0</v>
      </c>
      <c r="IE332" s="21">
        <f t="shared" si="1958"/>
        <v>0</v>
      </c>
      <c r="IF332" s="21">
        <f t="shared" si="1958"/>
        <v>0</v>
      </c>
      <c r="IG332" s="21">
        <f t="shared" si="1958"/>
        <v>0</v>
      </c>
      <c r="IH332" s="21">
        <f t="shared" ref="IH332:IO332" si="1959">IF($F$290, 0, IF($F$297, IF(AND(COLUMN($IH$332)-COLUMN($GL$327)=$Q$291,ROW($IH$332)-ROW($GL$327)=$K$291), U$290, IH332), IH332))</f>
        <v>0</v>
      </c>
      <c r="II332" s="21">
        <f t="shared" si="1959"/>
        <v>0</v>
      </c>
      <c r="IJ332" s="21">
        <f t="shared" si="1959"/>
        <v>0</v>
      </c>
      <c r="IK332" s="21">
        <f t="shared" si="1959"/>
        <v>0</v>
      </c>
      <c r="IL332" s="21">
        <f t="shared" si="1959"/>
        <v>0</v>
      </c>
      <c r="IM332" s="21">
        <f t="shared" si="1959"/>
        <v>0</v>
      </c>
      <c r="IN332" s="21">
        <f t="shared" si="1959"/>
        <v>0</v>
      </c>
      <c r="IO332" s="21">
        <f t="shared" si="1959"/>
        <v>0</v>
      </c>
      <c r="IP332" s="21">
        <f t="shared" ref="IP332:IW332" si="1960">IF($F$290, 0, IF($F$297, IF(AND(COLUMN($IP$332)-COLUMN($GL$327)=$Q$291,ROW($IP$332)-ROW($GL$327)=$K$291), U$290, IP332), IP332))</f>
        <v>0</v>
      </c>
      <c r="IQ332" s="21">
        <f t="shared" si="1960"/>
        <v>0</v>
      </c>
      <c r="IR332" s="21">
        <f t="shared" si="1960"/>
        <v>0</v>
      </c>
      <c r="IS332" s="21">
        <f t="shared" si="1960"/>
        <v>0</v>
      </c>
      <c r="IT332" s="21">
        <f t="shared" si="1960"/>
        <v>0</v>
      </c>
      <c r="IU332" s="21">
        <f t="shared" si="1960"/>
        <v>0</v>
      </c>
      <c r="IV332" s="21">
        <f t="shared" si="1960"/>
        <v>0</v>
      </c>
      <c r="IW332" s="21">
        <f t="shared" si="1960"/>
        <v>0</v>
      </c>
      <c r="IX332" s="21">
        <f t="shared" ref="IX332:JE332" si="1961">IF($F$290, 0, IF($G$297, IF(AND(COLUMN($IX$332)-COLUMN($IX$327)=$Q$291,ROW($IX$332)-ROW($IX$327)=$K$291), U$290, IX332), IX332))</f>
        <v>0</v>
      </c>
      <c r="IY332" s="21">
        <f t="shared" si="1961"/>
        <v>0</v>
      </c>
      <c r="IZ332" s="21">
        <f t="shared" si="1961"/>
        <v>0</v>
      </c>
      <c r="JA332" s="21">
        <f t="shared" si="1961"/>
        <v>0</v>
      </c>
      <c r="JB332" s="21">
        <f t="shared" si="1961"/>
        <v>0</v>
      </c>
      <c r="JC332" s="21">
        <f t="shared" si="1961"/>
        <v>0</v>
      </c>
      <c r="JD332" s="21">
        <f t="shared" si="1961"/>
        <v>0</v>
      </c>
      <c r="JE332" s="21">
        <f t="shared" si="1961"/>
        <v>0</v>
      </c>
      <c r="JF332" s="21">
        <f t="shared" ref="JF332:JM332" si="1962">IF($F$290, 0, IF($G$297, IF(AND(COLUMN($JF$332)-COLUMN($IX$327)=$Q$291,ROW($JF$332)-ROW($IX$327)=$K$291), U$290, JF332), JF332))</f>
        <v>0</v>
      </c>
      <c r="JG332" s="21">
        <f t="shared" si="1962"/>
        <v>0</v>
      </c>
      <c r="JH332" s="21">
        <f t="shared" si="1962"/>
        <v>0</v>
      </c>
      <c r="JI332" s="21">
        <f t="shared" si="1962"/>
        <v>0</v>
      </c>
      <c r="JJ332" s="21">
        <f t="shared" si="1962"/>
        <v>0</v>
      </c>
      <c r="JK332" s="21">
        <f t="shared" si="1962"/>
        <v>0</v>
      </c>
      <c r="JL332" s="21">
        <f t="shared" si="1962"/>
        <v>0</v>
      </c>
      <c r="JM332" s="21">
        <f t="shared" si="1962"/>
        <v>0</v>
      </c>
      <c r="JN332" s="21">
        <f t="shared" ref="JN332:JU332" si="1963">IF($F$290, 0, IF($G$297, IF(AND(COLUMN($JN$332)-COLUMN($IX$327)=$Q$291,ROW($JN$332)-ROW($IX$327)=$K$291), U$290, JN332), JN332))</f>
        <v>0</v>
      </c>
      <c r="JO332" s="21">
        <f t="shared" si="1963"/>
        <v>0</v>
      </c>
      <c r="JP332" s="21">
        <f t="shared" si="1963"/>
        <v>0</v>
      </c>
      <c r="JQ332" s="21">
        <f t="shared" si="1963"/>
        <v>0</v>
      </c>
      <c r="JR332" s="21">
        <f t="shared" si="1963"/>
        <v>0</v>
      </c>
      <c r="JS332" s="21">
        <f t="shared" si="1963"/>
        <v>0</v>
      </c>
      <c r="JT332" s="21">
        <f t="shared" si="1963"/>
        <v>0</v>
      </c>
      <c r="JU332" s="21">
        <f t="shared" si="1963"/>
        <v>0</v>
      </c>
      <c r="JV332" s="21">
        <f t="shared" ref="JV332:KC332" si="1964">IF($F$290, 0, IF($G$297, IF(AND(COLUMN($JV$332)-COLUMN($IX$327)=$Q$291,ROW($JV$332)-ROW($IX$327)=$K$291), U$290, JV332), JV332))</f>
        <v>0</v>
      </c>
      <c r="JW332" s="21">
        <f t="shared" si="1964"/>
        <v>0</v>
      </c>
      <c r="JX332" s="21">
        <f t="shared" si="1964"/>
        <v>0</v>
      </c>
      <c r="JY332" s="21">
        <f t="shared" si="1964"/>
        <v>0</v>
      </c>
      <c r="JZ332" s="21">
        <f t="shared" si="1964"/>
        <v>0</v>
      </c>
      <c r="KA332" s="21">
        <f t="shared" si="1964"/>
        <v>0</v>
      </c>
      <c r="KB332" s="21">
        <f t="shared" si="1964"/>
        <v>0</v>
      </c>
      <c r="KC332" s="21">
        <f t="shared" si="1964"/>
        <v>0</v>
      </c>
      <c r="KD332" s="21">
        <f t="shared" ref="KD332:KK332" si="1965">IF($F$290, 0, IF($G$297, IF(AND(COLUMN($KD$332)-COLUMN($IX$327)=$Q$291,ROW($KD$332)-ROW($IX$327)=$K$291), U$290, KD332), KD332))</f>
        <v>0</v>
      </c>
      <c r="KE332" s="21">
        <f t="shared" si="1965"/>
        <v>0</v>
      </c>
      <c r="KF332" s="21">
        <f t="shared" si="1965"/>
        <v>0</v>
      </c>
      <c r="KG332" s="21">
        <f t="shared" si="1965"/>
        <v>0</v>
      </c>
      <c r="KH332" s="21">
        <f t="shared" si="1965"/>
        <v>0</v>
      </c>
      <c r="KI332" s="21">
        <f t="shared" si="1965"/>
        <v>0</v>
      </c>
      <c r="KJ332" s="21">
        <f t="shared" si="1965"/>
        <v>0</v>
      </c>
      <c r="KK332" s="21">
        <f t="shared" si="1965"/>
        <v>0</v>
      </c>
      <c r="KL332" s="21">
        <f t="shared" ref="KL332:KS332" si="1966">IF($F$290, 0, IF($G$297, IF(AND(COLUMN($KL$332)-COLUMN($IX$327)=$Q$291,ROW($KL$332)-ROW($IX$327)=$K$291), U$290, KL332), KL332))</f>
        <v>0</v>
      </c>
      <c r="KM332" s="21">
        <f t="shared" si="1966"/>
        <v>0</v>
      </c>
      <c r="KN332" s="21">
        <f t="shared" si="1966"/>
        <v>0</v>
      </c>
      <c r="KO332" s="21">
        <f t="shared" si="1966"/>
        <v>0</v>
      </c>
      <c r="KP332" s="21">
        <f t="shared" si="1966"/>
        <v>0</v>
      </c>
      <c r="KQ332" s="21">
        <f t="shared" si="1966"/>
        <v>0</v>
      </c>
      <c r="KR332" s="21">
        <f t="shared" si="1966"/>
        <v>0</v>
      </c>
      <c r="KS332" s="21">
        <f t="shared" si="1966"/>
        <v>0</v>
      </c>
      <c r="KT332" s="21">
        <f t="shared" ref="KT332:LA332" si="1967">IF($F$290, 0, IF($G$297, IF(AND(COLUMN($KT$332)-COLUMN($IX$327)=$Q$291,ROW($KT$332)-ROW($IX$327)=$K$291), U$290, KT332), KT332))</f>
        <v>0</v>
      </c>
      <c r="KU332" s="21">
        <f t="shared" si="1967"/>
        <v>0</v>
      </c>
      <c r="KV332" s="21">
        <f t="shared" si="1967"/>
        <v>0</v>
      </c>
      <c r="KW332" s="21">
        <f t="shared" si="1967"/>
        <v>0</v>
      </c>
      <c r="KX332" s="21">
        <f t="shared" si="1967"/>
        <v>0</v>
      </c>
      <c r="KY332" s="21">
        <f t="shared" si="1967"/>
        <v>0</v>
      </c>
      <c r="KZ332" s="21">
        <f t="shared" si="1967"/>
        <v>0</v>
      </c>
      <c r="LA332" s="21">
        <f t="shared" si="1967"/>
        <v>0</v>
      </c>
      <c r="LB332" s="21">
        <f t="shared" ref="LB332:LI332" si="1968">IF($F$290, 0, IF($G$297, IF(AND(COLUMN($LB$332)-COLUMN($IX$327)=$Q$291,ROW($LB$332)-ROW($IX$327)=$K$291), U$290, LB332), LB332))</f>
        <v>0</v>
      </c>
      <c r="LC332" s="21">
        <f t="shared" si="1968"/>
        <v>0</v>
      </c>
      <c r="LD332" s="21">
        <f t="shared" si="1968"/>
        <v>0</v>
      </c>
      <c r="LE332" s="21">
        <f t="shared" si="1968"/>
        <v>0</v>
      </c>
      <c r="LF332" s="21">
        <f t="shared" si="1968"/>
        <v>0</v>
      </c>
      <c r="LG332" s="21">
        <f t="shared" si="1968"/>
        <v>0</v>
      </c>
      <c r="LH332" s="21">
        <f t="shared" si="1968"/>
        <v>0</v>
      </c>
      <c r="LI332" s="21">
        <f t="shared" si="1968"/>
        <v>0</v>
      </c>
      <c r="LJ332" s="21">
        <f t="shared" ref="LJ332:LQ332" si="1969">IF($F$290, 0, IF($H$297, IF(AND(COLUMN($LJ$332)-COLUMN($LJ$327)=$Q$291,ROW($LJ$332)-ROW($LJ$327)=$K$291), U$290, LJ332), LJ332))</f>
        <v>0</v>
      </c>
      <c r="LK332" s="21">
        <f t="shared" si="1969"/>
        <v>0</v>
      </c>
      <c r="LL332" s="21">
        <f t="shared" si="1969"/>
        <v>0</v>
      </c>
      <c r="LM332" s="21">
        <f t="shared" si="1969"/>
        <v>0</v>
      </c>
      <c r="LN332" s="21">
        <f t="shared" si="1969"/>
        <v>0</v>
      </c>
      <c r="LO332" s="21">
        <f t="shared" si="1969"/>
        <v>0</v>
      </c>
      <c r="LP332" s="21">
        <f t="shared" si="1969"/>
        <v>0</v>
      </c>
      <c r="LQ332" s="21">
        <f t="shared" si="1969"/>
        <v>0</v>
      </c>
      <c r="LR332" s="21">
        <f t="shared" ref="LR332:LY332" si="1970">IF($F$290, 0, IF($H$297, IF(AND(COLUMN($LR$332)-COLUMN($LJ$327)=$Q$291,ROW($LR$332)-ROW($LJ$327)=$K$291), U$290, LR332), LR332))</f>
        <v>0</v>
      </c>
      <c r="LS332" s="21">
        <f t="shared" si="1970"/>
        <v>0</v>
      </c>
      <c r="LT332" s="21">
        <f t="shared" si="1970"/>
        <v>0</v>
      </c>
      <c r="LU332" s="21">
        <f t="shared" si="1970"/>
        <v>0</v>
      </c>
      <c r="LV332" s="21">
        <f t="shared" si="1970"/>
        <v>0</v>
      </c>
      <c r="LW332" s="21">
        <f t="shared" si="1970"/>
        <v>0</v>
      </c>
      <c r="LX332" s="21">
        <f t="shared" si="1970"/>
        <v>0</v>
      </c>
      <c r="LY332" s="21">
        <f t="shared" si="1970"/>
        <v>0</v>
      </c>
      <c r="LZ332" s="21">
        <f t="shared" ref="LZ332:MG332" si="1971">IF($F$290, 0, IF($H$297, IF(AND(COLUMN($LZ$332)-COLUMN($LJ$327)=$Q$291,ROW($LZ$332)-ROW($LJ$327)=$K$291), U$290, LZ332), LZ332))</f>
        <v>0</v>
      </c>
      <c r="MA332" s="21">
        <f t="shared" si="1971"/>
        <v>0</v>
      </c>
      <c r="MB332" s="21">
        <f t="shared" si="1971"/>
        <v>0</v>
      </c>
      <c r="MC332" s="21">
        <f t="shared" si="1971"/>
        <v>0</v>
      </c>
      <c r="MD332" s="21">
        <f t="shared" si="1971"/>
        <v>0</v>
      </c>
      <c r="ME332" s="21">
        <f t="shared" si="1971"/>
        <v>0</v>
      </c>
      <c r="MF332" s="21">
        <f t="shared" si="1971"/>
        <v>0</v>
      </c>
      <c r="MG332" s="21">
        <f t="shared" si="1971"/>
        <v>0</v>
      </c>
      <c r="MH332" s="21">
        <f t="shared" ref="MH332:MO332" si="1972">IF($F$290, 0, IF($H$297, IF(AND(COLUMN($MH$332)-COLUMN($LJ$327)=$Q$291,ROW($MH$332)-ROW($LJ$327)=$K$291), U$290, MH332), MH332))</f>
        <v>0</v>
      </c>
      <c r="MI332" s="21">
        <f t="shared" si="1972"/>
        <v>0</v>
      </c>
      <c r="MJ332" s="21">
        <f t="shared" si="1972"/>
        <v>0</v>
      </c>
      <c r="MK332" s="21">
        <f t="shared" si="1972"/>
        <v>0</v>
      </c>
      <c r="ML332" s="21">
        <f t="shared" si="1972"/>
        <v>0</v>
      </c>
      <c r="MM332" s="21">
        <f t="shared" si="1972"/>
        <v>0</v>
      </c>
      <c r="MN332" s="21">
        <f t="shared" si="1972"/>
        <v>0</v>
      </c>
      <c r="MO332" s="21">
        <f t="shared" si="1972"/>
        <v>0</v>
      </c>
      <c r="MP332" s="21">
        <f t="shared" ref="MP332:MW332" si="1973">IF($F$290, 0, IF($H$297, IF(AND(COLUMN($MP$332)-COLUMN($LJ$327)=$Q$291,ROW($MP$332)-ROW($LJ$327)=$K$291), U$290, MP332), MP332))</f>
        <v>0</v>
      </c>
      <c r="MQ332" s="21">
        <f t="shared" si="1973"/>
        <v>0</v>
      </c>
      <c r="MR332" s="21">
        <f t="shared" si="1973"/>
        <v>0</v>
      </c>
      <c r="MS332" s="21">
        <f t="shared" si="1973"/>
        <v>0</v>
      </c>
      <c r="MT332" s="21">
        <f t="shared" si="1973"/>
        <v>0</v>
      </c>
      <c r="MU332" s="21">
        <f t="shared" si="1973"/>
        <v>0</v>
      </c>
      <c r="MV332" s="21">
        <f t="shared" si="1973"/>
        <v>0</v>
      </c>
      <c r="MW332" s="21">
        <f t="shared" si="1973"/>
        <v>0</v>
      </c>
      <c r="MX332" s="21">
        <f t="shared" ref="MX332:NE332" si="1974">IF($F$290, 0, IF($H$297, IF(AND(COLUMN($MX$332)-COLUMN($LJ$327)=$Q$291,ROW($MX$332)-ROW($LJ$327)=$K$291), U$290, MX332), MX332))</f>
        <v>0</v>
      </c>
      <c r="MY332" s="21">
        <f t="shared" si="1974"/>
        <v>0</v>
      </c>
      <c r="MZ332" s="21">
        <f t="shared" si="1974"/>
        <v>0</v>
      </c>
      <c r="NA332" s="21">
        <f t="shared" si="1974"/>
        <v>0</v>
      </c>
      <c r="NB332" s="21">
        <f t="shared" si="1974"/>
        <v>0</v>
      </c>
      <c r="NC332" s="21">
        <f t="shared" si="1974"/>
        <v>0</v>
      </c>
      <c r="ND332" s="21">
        <f t="shared" si="1974"/>
        <v>0</v>
      </c>
      <c r="NE332" s="21">
        <f t="shared" si="1974"/>
        <v>0</v>
      </c>
      <c r="NF332" s="21">
        <f t="shared" ref="NF332:NM332" si="1975">IF($F$290, 0, IF($H$297, IF(AND(COLUMN($NF$332)-COLUMN($LJ$327)=$Q$291,ROW($NF$332)-ROW($LJ$327)=$K$291), U$290, NF332), NF332))</f>
        <v>0</v>
      </c>
      <c r="NG332" s="21">
        <f t="shared" si="1975"/>
        <v>0</v>
      </c>
      <c r="NH332" s="21">
        <f t="shared" si="1975"/>
        <v>0</v>
      </c>
      <c r="NI332" s="21">
        <f t="shared" si="1975"/>
        <v>0</v>
      </c>
      <c r="NJ332" s="21">
        <f t="shared" si="1975"/>
        <v>0</v>
      </c>
      <c r="NK332" s="21">
        <f t="shared" si="1975"/>
        <v>0</v>
      </c>
      <c r="NL332" s="21">
        <f t="shared" si="1975"/>
        <v>0</v>
      </c>
      <c r="NM332" s="21">
        <f t="shared" si="1975"/>
        <v>0</v>
      </c>
      <c r="NN332" s="21">
        <f t="shared" ref="NN332:NU332" si="1976">IF($F$290, 0, IF($H$297, IF(AND(COLUMN($NN$332)-COLUMN($LJ$327)=$Q$291,ROW($NN$332)-ROW($LJ$327)=$K$291), U$290, NN332), NN332))</f>
        <v>0</v>
      </c>
      <c r="NO332" s="21">
        <f t="shared" si="1976"/>
        <v>0</v>
      </c>
      <c r="NP332" s="21">
        <f t="shared" si="1976"/>
        <v>0</v>
      </c>
      <c r="NQ332" s="21">
        <f t="shared" si="1976"/>
        <v>0</v>
      </c>
      <c r="NR332" s="21">
        <f t="shared" si="1976"/>
        <v>0</v>
      </c>
      <c r="NS332" s="21">
        <f t="shared" si="1976"/>
        <v>0</v>
      </c>
      <c r="NT332" s="21">
        <f t="shared" si="1976"/>
        <v>0</v>
      </c>
      <c r="NU332" s="21">
        <f t="shared" si="1976"/>
        <v>0</v>
      </c>
      <c r="NV332" s="21">
        <f t="shared" ref="NV332:OC332" si="1977">IF($F$290, 0, IF($I$297, IF(AND(COLUMN($NV$332)-COLUMN($NV$327)=$Q$291,ROW($NV$332)-ROW($NV$327)=$K$291), U$290, NV332), NV332))</f>
        <v>0</v>
      </c>
      <c r="NW332" s="21">
        <f t="shared" si="1977"/>
        <v>0</v>
      </c>
      <c r="NX332" s="21">
        <f t="shared" si="1977"/>
        <v>0</v>
      </c>
      <c r="NY332" s="21">
        <f t="shared" si="1977"/>
        <v>0</v>
      </c>
      <c r="NZ332" s="21">
        <f t="shared" si="1977"/>
        <v>0</v>
      </c>
      <c r="OA332" s="21">
        <f t="shared" si="1977"/>
        <v>0</v>
      </c>
      <c r="OB332" s="21">
        <f t="shared" si="1977"/>
        <v>0</v>
      </c>
      <c r="OC332" s="21">
        <f t="shared" si="1977"/>
        <v>0</v>
      </c>
      <c r="OD332" s="21">
        <f t="shared" ref="OD332:OK332" si="1978">IF($F$290, 0, IF($I$297, IF(AND(COLUMN($OD$332)-COLUMN($NV$327)=$Q$291,ROW($OD$332)-ROW($NV$327)=$K$291), U$290, OD332), OD332))</f>
        <v>0</v>
      </c>
      <c r="OE332" s="21">
        <f t="shared" si="1978"/>
        <v>0</v>
      </c>
      <c r="OF332" s="21">
        <f t="shared" si="1978"/>
        <v>0</v>
      </c>
      <c r="OG332" s="21">
        <f t="shared" si="1978"/>
        <v>0</v>
      </c>
      <c r="OH332" s="21">
        <f t="shared" si="1978"/>
        <v>0</v>
      </c>
      <c r="OI332" s="21">
        <f t="shared" si="1978"/>
        <v>0</v>
      </c>
      <c r="OJ332" s="21">
        <f t="shared" si="1978"/>
        <v>0</v>
      </c>
      <c r="OK332" s="21">
        <f t="shared" si="1978"/>
        <v>0</v>
      </c>
      <c r="OL332" s="21">
        <f t="shared" ref="OL332:OS332" si="1979">IF($F$290, 0, IF($I$297, IF(AND(COLUMN($OL$332)-COLUMN($NV$327)=$Q$291,ROW($OL$332)-ROW($NV$327)=$K$291), U$290, OL332), OL332))</f>
        <v>0</v>
      </c>
      <c r="OM332" s="21">
        <f t="shared" si="1979"/>
        <v>0</v>
      </c>
      <c r="ON332" s="21">
        <f t="shared" si="1979"/>
        <v>0</v>
      </c>
      <c r="OO332" s="21">
        <f t="shared" si="1979"/>
        <v>0</v>
      </c>
      <c r="OP332" s="21">
        <f t="shared" si="1979"/>
        <v>0</v>
      </c>
      <c r="OQ332" s="21">
        <f t="shared" si="1979"/>
        <v>0</v>
      </c>
      <c r="OR332" s="21">
        <f t="shared" si="1979"/>
        <v>0</v>
      </c>
      <c r="OS332" s="21">
        <f t="shared" si="1979"/>
        <v>0</v>
      </c>
      <c r="OT332" s="21">
        <f t="shared" ref="OT332:PA332" si="1980">IF($F$290, 0, IF($I$297, IF(AND(COLUMN($OT$332)-COLUMN($NV$327)=$Q$291,ROW($OT$332)-ROW($NV$327)=$K$291), U$290, OT332), OT332))</f>
        <v>0</v>
      </c>
      <c r="OU332" s="21">
        <f t="shared" si="1980"/>
        <v>0</v>
      </c>
      <c r="OV332" s="21">
        <f t="shared" si="1980"/>
        <v>0</v>
      </c>
      <c r="OW332" s="21">
        <f t="shared" si="1980"/>
        <v>0</v>
      </c>
      <c r="OX332" s="21">
        <f t="shared" si="1980"/>
        <v>0</v>
      </c>
      <c r="OY332" s="21">
        <f t="shared" si="1980"/>
        <v>0</v>
      </c>
      <c r="OZ332" s="21">
        <f t="shared" si="1980"/>
        <v>0</v>
      </c>
      <c r="PA332" s="21">
        <f t="shared" si="1980"/>
        <v>0</v>
      </c>
      <c r="PB332" s="21">
        <f t="shared" ref="PB332:PI332" si="1981">IF($F$290, 0, IF($I$297, IF(AND(COLUMN($PB$332)-COLUMN($NV$327)=$Q$291,ROW($PB$332)-ROW($NV$327)=$K$291), U$290, PB332), PB332))</f>
        <v>0</v>
      </c>
      <c r="PC332" s="21">
        <f t="shared" si="1981"/>
        <v>0</v>
      </c>
      <c r="PD332" s="21">
        <f t="shared" si="1981"/>
        <v>0</v>
      </c>
      <c r="PE332" s="21">
        <f t="shared" si="1981"/>
        <v>0</v>
      </c>
      <c r="PF332" s="21">
        <f t="shared" si="1981"/>
        <v>0</v>
      </c>
      <c r="PG332" s="21">
        <f t="shared" si="1981"/>
        <v>0</v>
      </c>
      <c r="PH332" s="21">
        <f t="shared" si="1981"/>
        <v>0</v>
      </c>
      <c r="PI332" s="21">
        <f t="shared" si="1981"/>
        <v>0</v>
      </c>
      <c r="PJ332" s="21">
        <f t="shared" ref="PJ332:PQ332" si="1982">IF($F$290, 0, IF($I$297, IF(AND(COLUMN($PJ$332)-COLUMN($NV$327)=$Q$291,ROW($PJ$332)-ROW($NV$327)=$K$291), U$290, PJ332), PJ332))</f>
        <v>0</v>
      </c>
      <c r="PK332" s="21">
        <f t="shared" si="1982"/>
        <v>0</v>
      </c>
      <c r="PL332" s="21">
        <f t="shared" si="1982"/>
        <v>0</v>
      </c>
      <c r="PM332" s="21">
        <f t="shared" si="1982"/>
        <v>0</v>
      </c>
      <c r="PN332" s="21">
        <f t="shared" si="1982"/>
        <v>0</v>
      </c>
      <c r="PO332" s="21">
        <f t="shared" si="1982"/>
        <v>0</v>
      </c>
      <c r="PP332" s="21">
        <f t="shared" si="1982"/>
        <v>0</v>
      </c>
      <c r="PQ332" s="21">
        <f t="shared" si="1982"/>
        <v>0</v>
      </c>
      <c r="PR332" s="21">
        <f t="shared" ref="PR332:PY332" si="1983">IF($F$290, 0, IF($I$297, IF(AND(COLUMN($PR$332)-COLUMN($NV$327)=$Q$291,ROW($PR$332)-ROW($NV$327)=$K$291), U$290, PR332), PR332))</f>
        <v>0</v>
      </c>
      <c r="PS332" s="21">
        <f t="shared" si="1983"/>
        <v>0</v>
      </c>
      <c r="PT332" s="21">
        <f t="shared" si="1983"/>
        <v>0</v>
      </c>
      <c r="PU332" s="21">
        <f t="shared" si="1983"/>
        <v>0</v>
      </c>
      <c r="PV332" s="21">
        <f t="shared" si="1983"/>
        <v>0</v>
      </c>
      <c r="PW332" s="21">
        <f t="shared" si="1983"/>
        <v>0</v>
      </c>
      <c r="PX332" s="21">
        <f t="shared" si="1983"/>
        <v>0</v>
      </c>
      <c r="PY332" s="21">
        <f t="shared" si="1983"/>
        <v>0</v>
      </c>
      <c r="PZ332" s="21">
        <f t="shared" ref="PZ332:QG332" si="1984">IF($F$290, 0, IF($I$297, IF(AND(COLUMN($PZ$332)-COLUMN($NV$327)=$Q$291,ROW($PZ$332)-ROW($NV$327)=$K$291), U$290, PZ332), PZ332))</f>
        <v>0</v>
      </c>
      <c r="QA332" s="21">
        <f t="shared" si="1984"/>
        <v>0</v>
      </c>
      <c r="QB332" s="21">
        <f t="shared" si="1984"/>
        <v>0</v>
      </c>
      <c r="QC332" s="21">
        <f t="shared" si="1984"/>
        <v>0</v>
      </c>
      <c r="QD332" s="21">
        <f t="shared" si="1984"/>
        <v>0</v>
      </c>
      <c r="QE332" s="21">
        <f t="shared" si="1984"/>
        <v>0</v>
      </c>
      <c r="QF332" s="21">
        <f t="shared" si="1984"/>
        <v>0</v>
      </c>
      <c r="QG332" s="21">
        <f t="shared" si="1984"/>
        <v>0</v>
      </c>
      <c r="QH332" s="21">
        <f t="shared" ref="QH332:QO332" si="1985">IF($F$290, 0, IF($J$297, IF(AND(COLUMN($QH$332)-COLUMN($QH$327)=$Q$291,ROW($QH$332)-ROW($QH$327)=$K$291), U$290, QH332), QH332))</f>
        <v>0</v>
      </c>
      <c r="QI332" s="21">
        <f t="shared" si="1985"/>
        <v>0</v>
      </c>
      <c r="QJ332" s="21">
        <f t="shared" si="1985"/>
        <v>0</v>
      </c>
      <c r="QK332" s="21">
        <f t="shared" si="1985"/>
        <v>0</v>
      </c>
      <c r="QL332" s="21">
        <f t="shared" si="1985"/>
        <v>0</v>
      </c>
      <c r="QM332" s="21">
        <f t="shared" si="1985"/>
        <v>0</v>
      </c>
      <c r="QN332" s="21">
        <f t="shared" si="1985"/>
        <v>0</v>
      </c>
      <c r="QO332" s="21">
        <f t="shared" si="1985"/>
        <v>0</v>
      </c>
      <c r="QP332" s="21">
        <f t="shared" ref="QP332:QW332" si="1986">IF($F$290, 0, IF($J$297, IF(AND(COLUMN($QP$332)-COLUMN($QH$327)=$Q$291,ROW($QP$332)-ROW($QH$327)=$K$291), U$290, QP332), QP332))</f>
        <v>0</v>
      </c>
      <c r="QQ332" s="21">
        <f t="shared" si="1986"/>
        <v>0</v>
      </c>
      <c r="QR332" s="21">
        <f t="shared" si="1986"/>
        <v>0</v>
      </c>
      <c r="QS332" s="21">
        <f t="shared" si="1986"/>
        <v>0</v>
      </c>
      <c r="QT332" s="21">
        <f t="shared" si="1986"/>
        <v>0</v>
      </c>
      <c r="QU332" s="21">
        <f t="shared" si="1986"/>
        <v>0</v>
      </c>
      <c r="QV332" s="21">
        <f t="shared" si="1986"/>
        <v>0</v>
      </c>
      <c r="QW332" s="21">
        <f t="shared" si="1986"/>
        <v>0</v>
      </c>
      <c r="QX332" s="21">
        <f t="shared" ref="QX332:RE332" si="1987">IF($F$290, 0, IF($J$297, IF(AND(COLUMN($QX$332)-COLUMN($QH$327)=$Q$291,ROW($QX$332)-ROW($QH$327)=$K$291), U$290, QX332), QX332))</f>
        <v>0</v>
      </c>
      <c r="QY332" s="21">
        <f t="shared" si="1987"/>
        <v>0</v>
      </c>
      <c r="QZ332" s="21">
        <f t="shared" si="1987"/>
        <v>0</v>
      </c>
      <c r="RA332" s="21">
        <f t="shared" si="1987"/>
        <v>0</v>
      </c>
      <c r="RB332" s="21">
        <f t="shared" si="1987"/>
        <v>0</v>
      </c>
      <c r="RC332" s="21">
        <f t="shared" si="1987"/>
        <v>0</v>
      </c>
      <c r="RD332" s="21">
        <f t="shared" si="1987"/>
        <v>0</v>
      </c>
      <c r="RE332" s="21">
        <f t="shared" si="1987"/>
        <v>0</v>
      </c>
      <c r="RF332" s="21">
        <f t="shared" ref="RF332:RM332" si="1988">IF($F$290, 0, IF($J$297, IF(AND(COLUMN($RF$332)-COLUMN($QH$327)=$Q$291,ROW($RF$332)-ROW($QH$327)=$K$291), U$290, RF332), RF332))</f>
        <v>0</v>
      </c>
      <c r="RG332" s="21">
        <f t="shared" si="1988"/>
        <v>0</v>
      </c>
      <c r="RH332" s="21">
        <f t="shared" si="1988"/>
        <v>0</v>
      </c>
      <c r="RI332" s="21">
        <f t="shared" si="1988"/>
        <v>0</v>
      </c>
      <c r="RJ332" s="21">
        <f t="shared" si="1988"/>
        <v>0</v>
      </c>
      <c r="RK332" s="21">
        <f t="shared" si="1988"/>
        <v>0</v>
      </c>
      <c r="RL332" s="21">
        <f t="shared" si="1988"/>
        <v>0</v>
      </c>
      <c r="RM332" s="21">
        <f t="shared" si="1988"/>
        <v>0</v>
      </c>
      <c r="RN332" s="21">
        <f t="shared" ref="RN332:RU332" si="1989">IF($F$290, 0, IF($J$297, IF(AND(COLUMN($RN$332)-COLUMN($QH$327)=$Q$291,ROW($RN$332)-ROW($QH$327)=$K$291), U$290, RN332), RN332))</f>
        <v>0</v>
      </c>
      <c r="RO332" s="21">
        <f t="shared" si="1989"/>
        <v>0</v>
      </c>
      <c r="RP332" s="21">
        <f t="shared" si="1989"/>
        <v>0</v>
      </c>
      <c r="RQ332" s="21">
        <f t="shared" si="1989"/>
        <v>0</v>
      </c>
      <c r="RR332" s="21">
        <f t="shared" si="1989"/>
        <v>0</v>
      </c>
      <c r="RS332" s="21">
        <f t="shared" si="1989"/>
        <v>0</v>
      </c>
      <c r="RT332" s="21">
        <f t="shared" si="1989"/>
        <v>0</v>
      </c>
      <c r="RU332" s="21">
        <f t="shared" si="1989"/>
        <v>0</v>
      </c>
      <c r="RV332" s="21">
        <f t="shared" ref="RV332:SC332" si="1990">IF($F$290, 0, IF($J$297, IF(AND(COLUMN($RV$332)-COLUMN($QH$327)=$Q$291,ROW($RV$332)-ROW($QH$327)=$K$291), U$290, RV332), RV332))</f>
        <v>0</v>
      </c>
      <c r="RW332" s="21">
        <f t="shared" si="1990"/>
        <v>0</v>
      </c>
      <c r="RX332" s="21">
        <f t="shared" si="1990"/>
        <v>0</v>
      </c>
      <c r="RY332" s="21">
        <f t="shared" si="1990"/>
        <v>0</v>
      </c>
      <c r="RZ332" s="21">
        <f t="shared" si="1990"/>
        <v>0</v>
      </c>
      <c r="SA332" s="21">
        <f t="shared" si="1990"/>
        <v>0</v>
      </c>
      <c r="SB332" s="21">
        <f t="shared" si="1990"/>
        <v>0</v>
      </c>
      <c r="SC332" s="21">
        <f t="shared" si="1990"/>
        <v>0</v>
      </c>
      <c r="SD332" s="21">
        <f t="shared" ref="SD332:SK332" si="1991">IF($F$290, 0, IF($J$297, IF(AND(COLUMN($SD$332)-COLUMN($QH$327)=$Q$291,ROW($SD$332)-ROW($QH$327)=$K$291), U$290, SD332), SD332))</f>
        <v>0</v>
      </c>
      <c r="SE332" s="21">
        <f t="shared" si="1991"/>
        <v>0</v>
      </c>
      <c r="SF332" s="21">
        <f t="shared" si="1991"/>
        <v>0</v>
      </c>
      <c r="SG332" s="21">
        <f t="shared" si="1991"/>
        <v>0</v>
      </c>
      <c r="SH332" s="21">
        <f t="shared" si="1991"/>
        <v>0</v>
      </c>
      <c r="SI332" s="21">
        <f t="shared" si="1991"/>
        <v>0</v>
      </c>
      <c r="SJ332" s="21">
        <f t="shared" si="1991"/>
        <v>0</v>
      </c>
      <c r="SK332" s="21">
        <f t="shared" si="1991"/>
        <v>0</v>
      </c>
      <c r="SL332" s="21">
        <f t="shared" ref="SL332:SS332" si="1992">IF($F$290, 0, IF($J$297, IF(AND(COLUMN($SL$332)-COLUMN($QH$327)=$Q$291,ROW($SL$332)-ROW($QH$327)=$K$291), U$290, SL332), SL332))</f>
        <v>0</v>
      </c>
      <c r="SM332" s="21">
        <f t="shared" si="1992"/>
        <v>0</v>
      </c>
      <c r="SN332" s="21">
        <f t="shared" si="1992"/>
        <v>0</v>
      </c>
      <c r="SO332" s="21">
        <f t="shared" si="1992"/>
        <v>0</v>
      </c>
      <c r="SP332" s="21">
        <f t="shared" si="1992"/>
        <v>0</v>
      </c>
      <c r="SQ332" s="21">
        <f t="shared" si="1992"/>
        <v>0</v>
      </c>
      <c r="SR332" s="21">
        <f t="shared" si="1992"/>
        <v>0</v>
      </c>
      <c r="SS332" s="21">
        <f t="shared" si="1992"/>
        <v>0</v>
      </c>
    </row>
    <row r="333" spans="2:513" ht="15" customHeight="1" x14ac:dyDescent="0.25">
      <c r="B333" s="21">
        <f t="shared" ref="B333:I333" si="1993">IF($F$290, 0, IF($C$297, IF(AND(COLUMN($B$333)-COLUMN($B$327)=$Q$291,ROW($B$333)-ROW($B$327)=$K$291), U$290, B333), B333))</f>
        <v>0</v>
      </c>
      <c r="C333" s="21">
        <f t="shared" si="1993"/>
        <v>0</v>
      </c>
      <c r="D333" s="21">
        <f t="shared" si="1993"/>
        <v>0</v>
      </c>
      <c r="E333" s="21">
        <f t="shared" si="1993"/>
        <v>0</v>
      </c>
      <c r="F333" s="21">
        <f t="shared" si="1993"/>
        <v>0</v>
      </c>
      <c r="G333" s="21">
        <f t="shared" si="1993"/>
        <v>0</v>
      </c>
      <c r="H333" s="21">
        <f t="shared" si="1993"/>
        <v>0</v>
      </c>
      <c r="I333" s="21">
        <f t="shared" si="1993"/>
        <v>0</v>
      </c>
      <c r="J333" s="21">
        <f t="shared" ref="J333:Q333" si="1994">IF($F$290, 0, IF($C$297, IF(AND(COLUMN($J$333)-COLUMN($B$327)=$Q$291,ROW($J$333)-ROW($B$327)=$K$291), U$290, J333), J333))</f>
        <v>0</v>
      </c>
      <c r="K333" s="21">
        <f t="shared" si="1994"/>
        <v>0</v>
      </c>
      <c r="L333" s="21">
        <f t="shared" si="1994"/>
        <v>0</v>
      </c>
      <c r="M333" s="21">
        <f t="shared" si="1994"/>
        <v>0</v>
      </c>
      <c r="N333" s="21">
        <f t="shared" si="1994"/>
        <v>0</v>
      </c>
      <c r="O333" s="21">
        <f t="shared" si="1994"/>
        <v>0</v>
      </c>
      <c r="P333" s="21">
        <f t="shared" si="1994"/>
        <v>0</v>
      </c>
      <c r="Q333" s="21">
        <f t="shared" si="1994"/>
        <v>0</v>
      </c>
      <c r="R333" s="21">
        <f>IF($F$290, 0, IF($C$297, IF(AND(COLUMN($R$333)-COLUMN($B$327)=$Q$291,ROW($R$333)-ROW($B$327)=$K$291), U$290, R333), R333))</f>
        <v>0</v>
      </c>
      <c r="S333" s="21">
        <f t="shared" ref="S333:Y333" si="1995">IF($F$290, 0, IF($C$297, IF(AND(COLUMN($R$333)-COLUMN($B$327)=$Q$291,ROW($R$333)-ROW($B$327)=$K$291), V$290, S333), S333))</f>
        <v>0</v>
      </c>
      <c r="T333" s="21">
        <f t="shared" si="1995"/>
        <v>0</v>
      </c>
      <c r="U333" s="21">
        <f t="shared" si="1995"/>
        <v>0</v>
      </c>
      <c r="V333" s="21">
        <f t="shared" si="1995"/>
        <v>0</v>
      </c>
      <c r="W333" s="21">
        <f t="shared" si="1995"/>
        <v>0</v>
      </c>
      <c r="X333" s="21">
        <f t="shared" si="1995"/>
        <v>0</v>
      </c>
      <c r="Y333" s="21">
        <f t="shared" si="1995"/>
        <v>0</v>
      </c>
      <c r="Z333" s="21">
        <f t="shared" ref="Z333:AG333" si="1996">IF($F$290, 0, IF($C$297, IF(AND(COLUMN($Z$333)-COLUMN($B$327)=$Q$291,ROW($Z$333)-ROW($B$327)=$K$291), U$290, Z333), Z333))</f>
        <v>0</v>
      </c>
      <c r="AA333" s="21">
        <f t="shared" si="1996"/>
        <v>0</v>
      </c>
      <c r="AB333" s="21">
        <f t="shared" si="1996"/>
        <v>0</v>
      </c>
      <c r="AC333" s="21">
        <f t="shared" si="1996"/>
        <v>0</v>
      </c>
      <c r="AD333" s="21">
        <f t="shared" si="1996"/>
        <v>0</v>
      </c>
      <c r="AE333" s="21">
        <f t="shared" si="1996"/>
        <v>0</v>
      </c>
      <c r="AF333" s="21">
        <f t="shared" si="1996"/>
        <v>0</v>
      </c>
      <c r="AG333" s="21">
        <f t="shared" si="1996"/>
        <v>0</v>
      </c>
      <c r="AH333" s="21">
        <f t="shared" ref="AH333:AO333" si="1997">IF($F$290, 0, IF($C$297, IF(AND(COLUMN($AH$333)-COLUMN($B$327)=$Q$291,ROW($AH$333)-ROW($B$327)=$K$291), U$290, AH333), AH333))</f>
        <v>0</v>
      </c>
      <c r="AI333" s="21">
        <f t="shared" si="1997"/>
        <v>0</v>
      </c>
      <c r="AJ333" s="21">
        <f t="shared" si="1997"/>
        <v>0</v>
      </c>
      <c r="AK333" s="21">
        <f t="shared" si="1997"/>
        <v>0</v>
      </c>
      <c r="AL333" s="21">
        <f t="shared" si="1997"/>
        <v>0</v>
      </c>
      <c r="AM333" s="21">
        <f t="shared" si="1997"/>
        <v>0</v>
      </c>
      <c r="AN333" s="21">
        <f t="shared" si="1997"/>
        <v>0</v>
      </c>
      <c r="AO333" s="21">
        <f t="shared" si="1997"/>
        <v>0</v>
      </c>
      <c r="AP333" s="21">
        <f t="shared" ref="AP333:AW333" si="1998">IF($F$290, 0, IF($C$297, IF(AND(COLUMN($AP$333)-COLUMN($B$327)=$Q$291,ROW($AP$333)-ROW($B$327)=$K$291), U$290, AP333), AP333))</f>
        <v>0</v>
      </c>
      <c r="AQ333" s="21">
        <f t="shared" si="1998"/>
        <v>0</v>
      </c>
      <c r="AR333" s="21">
        <f t="shared" si="1998"/>
        <v>0</v>
      </c>
      <c r="AS333" s="21">
        <f t="shared" si="1998"/>
        <v>0</v>
      </c>
      <c r="AT333" s="21">
        <f t="shared" si="1998"/>
        <v>0</v>
      </c>
      <c r="AU333" s="21">
        <f t="shared" si="1998"/>
        <v>0</v>
      </c>
      <c r="AV333" s="21">
        <f t="shared" si="1998"/>
        <v>0</v>
      </c>
      <c r="AW333" s="21">
        <f t="shared" si="1998"/>
        <v>0</v>
      </c>
      <c r="AX333" s="21">
        <f t="shared" ref="AX333:BE333" si="1999">IF($F$290, 0, IF($C$297, IF(AND(COLUMN($AX$333)-COLUMN($B$327)=$Q$291,ROW($AX$333)-ROW($B$327)=$K$291), U$290, AX333), AX333))</f>
        <v>0</v>
      </c>
      <c r="AY333" s="21">
        <f t="shared" si="1999"/>
        <v>0</v>
      </c>
      <c r="AZ333" s="21">
        <f t="shared" si="1999"/>
        <v>0</v>
      </c>
      <c r="BA333" s="21">
        <f t="shared" si="1999"/>
        <v>0</v>
      </c>
      <c r="BB333" s="21">
        <f t="shared" si="1999"/>
        <v>0</v>
      </c>
      <c r="BC333" s="21">
        <f t="shared" si="1999"/>
        <v>0</v>
      </c>
      <c r="BD333" s="21">
        <f t="shared" si="1999"/>
        <v>0</v>
      </c>
      <c r="BE333" s="21">
        <f t="shared" si="1999"/>
        <v>0</v>
      </c>
      <c r="BF333" s="21">
        <f t="shared" ref="BF333:BM333" si="2000">IF($F$290, 0, IF($C$297, IF(AND(COLUMN($BF$333)-COLUMN($B$327)=$Q$291,ROW($BF$333)-ROW($B$327)=$K$291), U$290, BF333), BF333))</f>
        <v>0</v>
      </c>
      <c r="BG333" s="21">
        <f t="shared" si="2000"/>
        <v>0</v>
      </c>
      <c r="BH333" s="21">
        <f t="shared" si="2000"/>
        <v>0</v>
      </c>
      <c r="BI333" s="21">
        <f t="shared" si="2000"/>
        <v>0</v>
      </c>
      <c r="BJ333" s="21">
        <f t="shared" si="2000"/>
        <v>0</v>
      </c>
      <c r="BK333" s="21">
        <f t="shared" si="2000"/>
        <v>0</v>
      </c>
      <c r="BL333" s="21">
        <f t="shared" si="2000"/>
        <v>0</v>
      </c>
      <c r="BM333" s="21">
        <f t="shared" si="2000"/>
        <v>0</v>
      </c>
      <c r="BN333" s="21">
        <f t="shared" ref="BN333:BU333" si="2001">IF($F$290, 0, IF($D$297, IF(AND(COLUMN($BN$333)-COLUMN($BN$327)=$Q$291,ROW($BN$333)-ROW($BN$327)=$K$291), U$290, BN333), BN333))</f>
        <v>0</v>
      </c>
      <c r="BO333" s="21">
        <f t="shared" si="2001"/>
        <v>0</v>
      </c>
      <c r="BP333" s="21">
        <f t="shared" si="2001"/>
        <v>0</v>
      </c>
      <c r="BQ333" s="21">
        <f t="shared" si="2001"/>
        <v>0</v>
      </c>
      <c r="BR333" s="21">
        <f t="shared" si="2001"/>
        <v>0</v>
      </c>
      <c r="BS333" s="21">
        <f t="shared" si="2001"/>
        <v>0</v>
      </c>
      <c r="BT333" s="21">
        <f t="shared" si="2001"/>
        <v>0</v>
      </c>
      <c r="BU333" s="21">
        <f t="shared" si="2001"/>
        <v>0</v>
      </c>
      <c r="BV333" s="21">
        <f t="shared" ref="BV333:CC333" si="2002">IF($F$290, 0, IF($D$297, IF(AND(COLUMN($BV$333)-COLUMN($BN$327)=$Q$291,ROW($BV$333)-ROW($BN$327)=$K$291), U$290, BV333), BV333))</f>
        <v>0</v>
      </c>
      <c r="BW333" s="21">
        <f t="shared" si="2002"/>
        <v>0</v>
      </c>
      <c r="BX333" s="21">
        <f t="shared" si="2002"/>
        <v>0</v>
      </c>
      <c r="BY333" s="21">
        <f t="shared" si="2002"/>
        <v>0</v>
      </c>
      <c r="BZ333" s="21">
        <f t="shared" si="2002"/>
        <v>0</v>
      </c>
      <c r="CA333" s="21">
        <f t="shared" si="2002"/>
        <v>0</v>
      </c>
      <c r="CB333" s="21">
        <f t="shared" si="2002"/>
        <v>0</v>
      </c>
      <c r="CC333" s="21">
        <f t="shared" si="2002"/>
        <v>0</v>
      </c>
      <c r="CD333" s="21">
        <f t="shared" ref="CD333:CK333" si="2003">IF($F$290, 0, IF($D$297, IF(AND(COLUMN($CD$333)-COLUMN($BN$327)=$Q$291,ROW($CD$333)-ROW($BN$327)=$K$291), U$290, CD333), CD333))</f>
        <v>0</v>
      </c>
      <c r="CE333" s="21">
        <f t="shared" si="2003"/>
        <v>0</v>
      </c>
      <c r="CF333" s="21">
        <f t="shared" si="2003"/>
        <v>0</v>
      </c>
      <c r="CG333" s="21">
        <f t="shared" si="2003"/>
        <v>0</v>
      </c>
      <c r="CH333" s="21">
        <f t="shared" si="2003"/>
        <v>0</v>
      </c>
      <c r="CI333" s="21">
        <f t="shared" si="2003"/>
        <v>0</v>
      </c>
      <c r="CJ333" s="21">
        <f t="shared" si="2003"/>
        <v>0</v>
      </c>
      <c r="CK333" s="21">
        <f t="shared" si="2003"/>
        <v>0</v>
      </c>
      <c r="CL333" s="21">
        <f t="shared" ref="CL333:CS333" si="2004">IF($F$290, 0, IF($D$297, IF(AND(COLUMN($CL$333)-COLUMN($BN$327)=$Q$291,ROW($CL$333)-ROW($BN$327)=$K$291), U$290, CL333), CL333))</f>
        <v>0</v>
      </c>
      <c r="CM333" s="21">
        <f t="shared" si="2004"/>
        <v>0</v>
      </c>
      <c r="CN333" s="21">
        <f t="shared" si="2004"/>
        <v>0</v>
      </c>
      <c r="CO333" s="21">
        <f t="shared" si="2004"/>
        <v>0</v>
      </c>
      <c r="CP333" s="21">
        <f t="shared" si="2004"/>
        <v>0</v>
      </c>
      <c r="CQ333" s="21">
        <f t="shared" si="2004"/>
        <v>0</v>
      </c>
      <c r="CR333" s="21">
        <f t="shared" si="2004"/>
        <v>0</v>
      </c>
      <c r="CS333" s="21">
        <f t="shared" si="2004"/>
        <v>0</v>
      </c>
      <c r="CT333" s="21">
        <f t="shared" ref="CT333:DA333" si="2005">IF($F$290, 0, IF($D$297, IF(AND(COLUMN($CT$333)-COLUMN($BN$327)=$Q$291,ROW($CT$333)-ROW($BN$327)=$K$291), U$290, CT333), CT333))</f>
        <v>0</v>
      </c>
      <c r="CU333" s="21">
        <f t="shared" si="2005"/>
        <v>0</v>
      </c>
      <c r="CV333" s="21">
        <f t="shared" si="2005"/>
        <v>0</v>
      </c>
      <c r="CW333" s="21">
        <f t="shared" si="2005"/>
        <v>0</v>
      </c>
      <c r="CX333" s="21">
        <f t="shared" si="2005"/>
        <v>0</v>
      </c>
      <c r="CY333" s="21">
        <f t="shared" si="2005"/>
        <v>0</v>
      </c>
      <c r="CZ333" s="21">
        <f t="shared" si="2005"/>
        <v>0</v>
      </c>
      <c r="DA333" s="21">
        <f t="shared" si="2005"/>
        <v>0</v>
      </c>
      <c r="DB333" s="21">
        <f t="shared" ref="DB333:DI333" si="2006">IF($F$290, 0, IF($D$297, IF(AND(COLUMN($DB$333)-COLUMN($BN$327)=$Q$291,ROW($DB$333)-ROW($BN$327)=$K$291), U$290, DB333), DB333))</f>
        <v>0</v>
      </c>
      <c r="DC333" s="21">
        <f t="shared" si="2006"/>
        <v>0</v>
      </c>
      <c r="DD333" s="21">
        <f t="shared" si="2006"/>
        <v>0</v>
      </c>
      <c r="DE333" s="21">
        <f t="shared" si="2006"/>
        <v>0</v>
      </c>
      <c r="DF333" s="21">
        <f t="shared" si="2006"/>
        <v>0</v>
      </c>
      <c r="DG333" s="21">
        <f t="shared" si="2006"/>
        <v>0</v>
      </c>
      <c r="DH333" s="21">
        <f t="shared" si="2006"/>
        <v>0</v>
      </c>
      <c r="DI333" s="21">
        <f t="shared" si="2006"/>
        <v>0</v>
      </c>
      <c r="DJ333" s="21">
        <f t="shared" ref="DJ333:DQ333" si="2007">IF($F$290, 0, IF($D$297, IF(AND(COLUMN($DJ$333)-COLUMN($BN$327)=$Q$291,ROW($DJ$333)-ROW($BN$327)=$K$291), U$290, DJ333), DJ333))</f>
        <v>0</v>
      </c>
      <c r="DK333" s="21">
        <f t="shared" si="2007"/>
        <v>0</v>
      </c>
      <c r="DL333" s="21">
        <f t="shared" si="2007"/>
        <v>0</v>
      </c>
      <c r="DM333" s="21">
        <f t="shared" si="2007"/>
        <v>0</v>
      </c>
      <c r="DN333" s="21">
        <f t="shared" si="2007"/>
        <v>0</v>
      </c>
      <c r="DO333" s="21">
        <f t="shared" si="2007"/>
        <v>0</v>
      </c>
      <c r="DP333" s="21">
        <f t="shared" si="2007"/>
        <v>0</v>
      </c>
      <c r="DQ333" s="21">
        <f t="shared" si="2007"/>
        <v>0</v>
      </c>
      <c r="DR333" s="21">
        <f t="shared" ref="DR333:DY333" si="2008">IF($F$290, 0, IF($D$297, IF(AND(COLUMN($DR$333)-COLUMN($BN$327)=$Q$291,ROW($DR$333)-ROW($BN$327)=$K$291), U$290, DR333), DR333))</f>
        <v>0</v>
      </c>
      <c r="DS333" s="21">
        <f t="shared" si="2008"/>
        <v>0</v>
      </c>
      <c r="DT333" s="21">
        <f t="shared" si="2008"/>
        <v>0</v>
      </c>
      <c r="DU333" s="21">
        <f t="shared" si="2008"/>
        <v>0</v>
      </c>
      <c r="DV333" s="21">
        <f t="shared" si="2008"/>
        <v>0</v>
      </c>
      <c r="DW333" s="21">
        <f t="shared" si="2008"/>
        <v>0</v>
      </c>
      <c r="DX333" s="21">
        <f t="shared" si="2008"/>
        <v>0</v>
      </c>
      <c r="DY333" s="21">
        <f t="shared" si="2008"/>
        <v>0</v>
      </c>
      <c r="DZ333" s="21">
        <f t="shared" ref="DZ333:EG333" si="2009">IF($F$290, 0, IF($E$297, IF(AND(COLUMN($DZ$333)-COLUMN($DZ$327)=$Q$291,ROW($DZ$333)-ROW($DZ$327)=$K$291), U$290, DZ333), DZ333))</f>
        <v>0</v>
      </c>
      <c r="EA333" s="21">
        <f t="shared" si="2009"/>
        <v>0</v>
      </c>
      <c r="EB333" s="21">
        <f t="shared" si="2009"/>
        <v>0</v>
      </c>
      <c r="EC333" s="21">
        <f t="shared" si="2009"/>
        <v>0</v>
      </c>
      <c r="ED333" s="21">
        <f t="shared" si="2009"/>
        <v>0</v>
      </c>
      <c r="EE333" s="21">
        <f t="shared" si="2009"/>
        <v>0</v>
      </c>
      <c r="EF333" s="21">
        <f t="shared" si="2009"/>
        <v>0</v>
      </c>
      <c r="EG333" s="21">
        <f t="shared" si="2009"/>
        <v>0</v>
      </c>
      <c r="EH333" s="21">
        <f t="shared" ref="EH333:EO333" si="2010">IF($F$290, 0, IF($E$297, IF(AND(COLUMN($EH$333)-COLUMN($DZ$327)=$Q$291,ROW($EH$333)-ROW($DZ$327)=$K$291), U$290, EH333), EH333))</f>
        <v>0</v>
      </c>
      <c r="EI333" s="21">
        <f t="shared" si="2010"/>
        <v>0</v>
      </c>
      <c r="EJ333" s="21">
        <f t="shared" si="2010"/>
        <v>0</v>
      </c>
      <c r="EK333" s="21">
        <f t="shared" si="2010"/>
        <v>0</v>
      </c>
      <c r="EL333" s="21">
        <f t="shared" si="2010"/>
        <v>0</v>
      </c>
      <c r="EM333" s="21">
        <f t="shared" si="2010"/>
        <v>0</v>
      </c>
      <c r="EN333" s="21">
        <f t="shared" si="2010"/>
        <v>0</v>
      </c>
      <c r="EO333" s="21">
        <f t="shared" si="2010"/>
        <v>0</v>
      </c>
      <c r="EP333" s="21">
        <f t="shared" ref="EP333:EW333" si="2011">IF($F$290, 0, IF($E$297, IF(AND(COLUMN($EP$333)-COLUMN($DZ$327)=$Q$291,ROW($EP$333)-ROW($DZ$327)=$K$291), U$290, EP333), EP333))</f>
        <v>0</v>
      </c>
      <c r="EQ333" s="21">
        <f t="shared" si="2011"/>
        <v>0</v>
      </c>
      <c r="ER333" s="21">
        <f t="shared" si="2011"/>
        <v>0</v>
      </c>
      <c r="ES333" s="21">
        <f t="shared" si="2011"/>
        <v>0</v>
      </c>
      <c r="ET333" s="21">
        <f t="shared" si="2011"/>
        <v>0</v>
      </c>
      <c r="EU333" s="21">
        <f t="shared" si="2011"/>
        <v>0</v>
      </c>
      <c r="EV333" s="21">
        <f t="shared" si="2011"/>
        <v>0</v>
      </c>
      <c r="EW333" s="21">
        <f t="shared" si="2011"/>
        <v>0</v>
      </c>
      <c r="EX333" s="21">
        <f t="shared" ref="EX333:FE333" si="2012">IF($F$290, 0, IF($E$297, IF(AND(COLUMN($EX$333)-COLUMN($DZ$327)=$Q$291,ROW($EX$333)-ROW($DZ$327)=$K$291), U$290, EX333), EX333))</f>
        <v>0</v>
      </c>
      <c r="EY333" s="21">
        <f t="shared" si="2012"/>
        <v>0</v>
      </c>
      <c r="EZ333" s="21">
        <f t="shared" si="2012"/>
        <v>0</v>
      </c>
      <c r="FA333" s="21">
        <f t="shared" si="2012"/>
        <v>0</v>
      </c>
      <c r="FB333" s="21">
        <f t="shared" si="2012"/>
        <v>0</v>
      </c>
      <c r="FC333" s="21">
        <f t="shared" si="2012"/>
        <v>0</v>
      </c>
      <c r="FD333" s="21">
        <f t="shared" si="2012"/>
        <v>0</v>
      </c>
      <c r="FE333" s="21">
        <f t="shared" si="2012"/>
        <v>0</v>
      </c>
      <c r="FF333" s="21">
        <f t="shared" ref="FF333:FM333" si="2013">IF($F$290, 0, IF($E$297, IF(AND(COLUMN($FF$333)-COLUMN($DZ$327)=$Q$291,ROW($FF$333)-ROW($DZ$327)=$K$291), U$290, FF333), FF333))</f>
        <v>0</v>
      </c>
      <c r="FG333" s="21">
        <f t="shared" si="2013"/>
        <v>0</v>
      </c>
      <c r="FH333" s="21">
        <f t="shared" si="2013"/>
        <v>0</v>
      </c>
      <c r="FI333" s="21">
        <f t="shared" si="2013"/>
        <v>0</v>
      </c>
      <c r="FJ333" s="21">
        <f t="shared" si="2013"/>
        <v>0</v>
      </c>
      <c r="FK333" s="21">
        <f t="shared" si="2013"/>
        <v>0</v>
      </c>
      <c r="FL333" s="21">
        <f t="shared" si="2013"/>
        <v>0</v>
      </c>
      <c r="FM333" s="21">
        <f t="shared" si="2013"/>
        <v>0</v>
      </c>
      <c r="FN333" s="21">
        <f t="shared" ref="FN333:FU333" si="2014">IF($F$290, 0, IF($E$297, IF(AND(COLUMN($FN$333)-COLUMN($DZ$327)=$Q$291,ROW($FN$333)-ROW($DZ$327)=$K$291), U$290, FN333), FN333))</f>
        <v>0</v>
      </c>
      <c r="FO333" s="21">
        <f t="shared" si="2014"/>
        <v>0</v>
      </c>
      <c r="FP333" s="21">
        <f t="shared" si="2014"/>
        <v>0</v>
      </c>
      <c r="FQ333" s="21">
        <f t="shared" si="2014"/>
        <v>0</v>
      </c>
      <c r="FR333" s="21">
        <f t="shared" si="2014"/>
        <v>0</v>
      </c>
      <c r="FS333" s="21">
        <f t="shared" si="2014"/>
        <v>0</v>
      </c>
      <c r="FT333" s="21">
        <f t="shared" si="2014"/>
        <v>0</v>
      </c>
      <c r="FU333" s="21">
        <f t="shared" si="2014"/>
        <v>0</v>
      </c>
      <c r="FV333" s="21">
        <f t="shared" ref="FV333:GC333" si="2015">IF($F$290, 0, IF($E$297, IF(AND(COLUMN($FV$333)-COLUMN($DZ$327)=$Q$291,ROW($FV$333)-ROW($DZ$327)=$K$291), U$290, FV333), FV333))</f>
        <v>0</v>
      </c>
      <c r="FW333" s="21">
        <f t="shared" si="2015"/>
        <v>0</v>
      </c>
      <c r="FX333" s="21">
        <f t="shared" si="2015"/>
        <v>0</v>
      </c>
      <c r="FY333" s="21">
        <f t="shared" si="2015"/>
        <v>0</v>
      </c>
      <c r="FZ333" s="21">
        <f t="shared" si="2015"/>
        <v>0</v>
      </c>
      <c r="GA333" s="21">
        <f t="shared" si="2015"/>
        <v>0</v>
      </c>
      <c r="GB333" s="21">
        <f t="shared" si="2015"/>
        <v>0</v>
      </c>
      <c r="GC333" s="21">
        <f t="shared" si="2015"/>
        <v>0</v>
      </c>
      <c r="GD333" s="21">
        <f t="shared" ref="GD333:GK333" si="2016">IF($F$290, 0, IF($E$297, IF(AND(COLUMN($GD$333)-COLUMN($DZ$327)=$Q$291,ROW($GD$333)-ROW($DZ$327)=$K$291), U$290, GD333), GD333))</f>
        <v>0</v>
      </c>
      <c r="GE333" s="21">
        <f t="shared" si="2016"/>
        <v>0</v>
      </c>
      <c r="GF333" s="21">
        <f t="shared" si="2016"/>
        <v>0</v>
      </c>
      <c r="GG333" s="21">
        <f t="shared" si="2016"/>
        <v>0</v>
      </c>
      <c r="GH333" s="21">
        <f t="shared" si="2016"/>
        <v>0</v>
      </c>
      <c r="GI333" s="21">
        <f t="shared" si="2016"/>
        <v>0</v>
      </c>
      <c r="GJ333" s="21">
        <f t="shared" si="2016"/>
        <v>0</v>
      </c>
      <c r="GK333" s="21">
        <f t="shared" si="2016"/>
        <v>0</v>
      </c>
      <c r="GL333" s="21">
        <f t="shared" ref="GL333:GS333" si="2017">IF($F$290, 0, IF($F$297, IF(AND(COLUMN($GL$333)-COLUMN($GL$327)=$Q$291,ROW($GL$333)-ROW($GL$327)=$K$291), U$290, GL333), GL333))</f>
        <v>0</v>
      </c>
      <c r="GM333" s="21">
        <f t="shared" si="2017"/>
        <v>0</v>
      </c>
      <c r="GN333" s="21">
        <f t="shared" si="2017"/>
        <v>0</v>
      </c>
      <c r="GO333" s="21">
        <f t="shared" si="2017"/>
        <v>0</v>
      </c>
      <c r="GP333" s="21">
        <f t="shared" si="2017"/>
        <v>0</v>
      </c>
      <c r="GQ333" s="21">
        <f t="shared" si="2017"/>
        <v>0</v>
      </c>
      <c r="GR333" s="21">
        <f t="shared" si="2017"/>
        <v>0</v>
      </c>
      <c r="GS333" s="21">
        <f t="shared" si="2017"/>
        <v>0</v>
      </c>
      <c r="GT333" s="21">
        <f t="shared" ref="GT333:HA333" si="2018">IF($F$290, 0, IF($F$297, IF(AND(COLUMN($GT$333)-COLUMN($GL$327)=$Q$291,ROW($GT$333)-ROW($GL$327)=$K$291), U$290, GT333), GT333))</f>
        <v>0</v>
      </c>
      <c r="GU333" s="21">
        <f t="shared" si="2018"/>
        <v>0</v>
      </c>
      <c r="GV333" s="21">
        <f t="shared" si="2018"/>
        <v>0</v>
      </c>
      <c r="GW333" s="21">
        <f t="shared" si="2018"/>
        <v>0</v>
      </c>
      <c r="GX333" s="21">
        <f t="shared" si="2018"/>
        <v>0</v>
      </c>
      <c r="GY333" s="21">
        <f t="shared" si="2018"/>
        <v>0</v>
      </c>
      <c r="GZ333" s="21">
        <f t="shared" si="2018"/>
        <v>0</v>
      </c>
      <c r="HA333" s="21">
        <f t="shared" si="2018"/>
        <v>0</v>
      </c>
      <c r="HB333" s="21">
        <f t="shared" ref="HB333:HI333" si="2019">IF($F$290, 0, IF($F$297, IF(AND(COLUMN($HB$333)-COLUMN($GL$327)=$Q$291,ROW($HB$333)-ROW($GL$327)=$K$291), U$290, HB333), HB333))</f>
        <v>0</v>
      </c>
      <c r="HC333" s="21">
        <f t="shared" si="2019"/>
        <v>0</v>
      </c>
      <c r="HD333" s="21">
        <f t="shared" si="2019"/>
        <v>0</v>
      </c>
      <c r="HE333" s="21">
        <f t="shared" si="2019"/>
        <v>0</v>
      </c>
      <c r="HF333" s="21">
        <f t="shared" si="2019"/>
        <v>0</v>
      </c>
      <c r="HG333" s="21">
        <f t="shared" si="2019"/>
        <v>0</v>
      </c>
      <c r="HH333" s="21">
        <f t="shared" si="2019"/>
        <v>0</v>
      </c>
      <c r="HI333" s="21">
        <f t="shared" si="2019"/>
        <v>0</v>
      </c>
      <c r="HJ333" s="21">
        <f t="shared" ref="HJ333:HQ333" si="2020">IF($F$290, 0, IF($F$297, IF(AND(COLUMN($HJ$333)-COLUMN($GL$327)=$Q$291,ROW($HJ$333)-ROW($GL$327)=$K$291), U$290, HJ333), HJ333))</f>
        <v>0</v>
      </c>
      <c r="HK333" s="21">
        <f t="shared" si="2020"/>
        <v>0</v>
      </c>
      <c r="HL333" s="21">
        <f t="shared" si="2020"/>
        <v>0</v>
      </c>
      <c r="HM333" s="21">
        <f t="shared" si="2020"/>
        <v>0</v>
      </c>
      <c r="HN333" s="21">
        <f t="shared" si="2020"/>
        <v>0</v>
      </c>
      <c r="HO333" s="21">
        <f t="shared" si="2020"/>
        <v>0</v>
      </c>
      <c r="HP333" s="21">
        <f t="shared" si="2020"/>
        <v>0</v>
      </c>
      <c r="HQ333" s="21">
        <f t="shared" si="2020"/>
        <v>0</v>
      </c>
      <c r="HR333" s="21">
        <f t="shared" ref="HR333:HY333" si="2021">IF($F$290, 0, IF($F$297, IF(AND(COLUMN($HR$333)-COLUMN($GL$327)=$Q$291,ROW($HR$333)-ROW($GL$327)=$K$291), U$290, HR333), HR333))</f>
        <v>0</v>
      </c>
      <c r="HS333" s="21">
        <f t="shared" si="2021"/>
        <v>0</v>
      </c>
      <c r="HT333" s="21">
        <f t="shared" si="2021"/>
        <v>0</v>
      </c>
      <c r="HU333" s="21">
        <f t="shared" si="2021"/>
        <v>0</v>
      </c>
      <c r="HV333" s="21">
        <f t="shared" si="2021"/>
        <v>0</v>
      </c>
      <c r="HW333" s="21">
        <f t="shared" si="2021"/>
        <v>0</v>
      </c>
      <c r="HX333" s="21">
        <f t="shared" si="2021"/>
        <v>0</v>
      </c>
      <c r="HY333" s="21">
        <f t="shared" si="2021"/>
        <v>0</v>
      </c>
      <c r="HZ333" s="21">
        <f t="shared" ref="HZ333:IG333" si="2022">IF($F$290, 0, IF($F$297, IF(AND(COLUMN($HZ$333)-COLUMN($GL$327)=$Q$291,ROW($HZ$333)-ROW($GL$327)=$K$291), U$290, HZ333), HZ333))</f>
        <v>0</v>
      </c>
      <c r="IA333" s="21">
        <f t="shared" si="2022"/>
        <v>0</v>
      </c>
      <c r="IB333" s="21">
        <f t="shared" si="2022"/>
        <v>0</v>
      </c>
      <c r="IC333" s="21">
        <f t="shared" si="2022"/>
        <v>0</v>
      </c>
      <c r="ID333" s="21">
        <f t="shared" si="2022"/>
        <v>0</v>
      </c>
      <c r="IE333" s="21">
        <f t="shared" si="2022"/>
        <v>0</v>
      </c>
      <c r="IF333" s="21">
        <f t="shared" si="2022"/>
        <v>0</v>
      </c>
      <c r="IG333" s="21">
        <f t="shared" si="2022"/>
        <v>0</v>
      </c>
      <c r="IH333" s="21">
        <f t="shared" ref="IH333:IO333" si="2023">IF($F$290, 0, IF($F$297, IF(AND(COLUMN($IH$333)-COLUMN($GL$327)=$Q$291,ROW($IH$333)-ROW($GL$327)=$K$291), U$290, IH333), IH333))</f>
        <v>0</v>
      </c>
      <c r="II333" s="21">
        <f t="shared" si="2023"/>
        <v>0</v>
      </c>
      <c r="IJ333" s="21">
        <f t="shared" si="2023"/>
        <v>0</v>
      </c>
      <c r="IK333" s="21">
        <f t="shared" si="2023"/>
        <v>0</v>
      </c>
      <c r="IL333" s="21">
        <f t="shared" si="2023"/>
        <v>0</v>
      </c>
      <c r="IM333" s="21">
        <f t="shared" si="2023"/>
        <v>0</v>
      </c>
      <c r="IN333" s="21">
        <f t="shared" si="2023"/>
        <v>0</v>
      </c>
      <c r="IO333" s="21">
        <f t="shared" si="2023"/>
        <v>0</v>
      </c>
      <c r="IP333" s="21">
        <f t="shared" ref="IP333:IW333" si="2024">IF($F$290, 0, IF($F$297, IF(AND(COLUMN($IP$333)-COLUMN($GL$327)=$Q$291,ROW($IP$333)-ROW($GL$327)=$K$291), U$290, IP333), IP333))</f>
        <v>0</v>
      </c>
      <c r="IQ333" s="21">
        <f t="shared" si="2024"/>
        <v>0</v>
      </c>
      <c r="IR333" s="21">
        <f t="shared" si="2024"/>
        <v>0</v>
      </c>
      <c r="IS333" s="21">
        <f t="shared" si="2024"/>
        <v>0</v>
      </c>
      <c r="IT333" s="21">
        <f t="shared" si="2024"/>
        <v>0</v>
      </c>
      <c r="IU333" s="21">
        <f t="shared" si="2024"/>
        <v>0</v>
      </c>
      <c r="IV333" s="21">
        <f t="shared" si="2024"/>
        <v>0</v>
      </c>
      <c r="IW333" s="21">
        <f t="shared" si="2024"/>
        <v>0</v>
      </c>
      <c r="IX333" s="21">
        <f t="shared" ref="IX333:JE333" si="2025">IF($F$290, 0, IF($G$297, IF(AND(COLUMN($IX$333)-COLUMN($IX$327)=$Q$291,ROW($IX$333)-ROW($IX$327)=$K$291), U$290, IX333), IX333))</f>
        <v>0</v>
      </c>
      <c r="IY333" s="21">
        <f t="shared" si="2025"/>
        <v>0</v>
      </c>
      <c r="IZ333" s="21">
        <f t="shared" si="2025"/>
        <v>0</v>
      </c>
      <c r="JA333" s="21">
        <f t="shared" si="2025"/>
        <v>0</v>
      </c>
      <c r="JB333" s="21">
        <f t="shared" si="2025"/>
        <v>0</v>
      </c>
      <c r="JC333" s="21">
        <f t="shared" si="2025"/>
        <v>0</v>
      </c>
      <c r="JD333" s="21">
        <f t="shared" si="2025"/>
        <v>0</v>
      </c>
      <c r="JE333" s="21">
        <f t="shared" si="2025"/>
        <v>0</v>
      </c>
      <c r="JF333" s="21">
        <f t="shared" ref="JF333:JM333" si="2026">IF($F$290, 0, IF($G$297, IF(AND(COLUMN($JF$333)-COLUMN($IX$327)=$Q$291,ROW($JF$333)-ROW($IX$327)=$K$291), U$290, JF333), JF333))</f>
        <v>0</v>
      </c>
      <c r="JG333" s="21">
        <f t="shared" si="2026"/>
        <v>0</v>
      </c>
      <c r="JH333" s="21">
        <f t="shared" si="2026"/>
        <v>0</v>
      </c>
      <c r="JI333" s="21">
        <f t="shared" si="2026"/>
        <v>0</v>
      </c>
      <c r="JJ333" s="21">
        <f t="shared" si="2026"/>
        <v>0</v>
      </c>
      <c r="JK333" s="21">
        <f t="shared" si="2026"/>
        <v>0</v>
      </c>
      <c r="JL333" s="21">
        <f t="shared" si="2026"/>
        <v>0</v>
      </c>
      <c r="JM333" s="21">
        <f t="shared" si="2026"/>
        <v>0</v>
      </c>
      <c r="JN333" s="21">
        <f t="shared" ref="JN333:JU333" si="2027">IF($F$290, 0, IF($G$297, IF(AND(COLUMN($JN$333)-COLUMN($IX$327)=$Q$291,ROW($JN$333)-ROW($IX$327)=$K$291), U$290, JN333), JN333))</f>
        <v>0</v>
      </c>
      <c r="JO333" s="21">
        <f t="shared" si="2027"/>
        <v>0</v>
      </c>
      <c r="JP333" s="21">
        <f t="shared" si="2027"/>
        <v>0</v>
      </c>
      <c r="JQ333" s="21">
        <f t="shared" si="2027"/>
        <v>0</v>
      </c>
      <c r="JR333" s="21">
        <f t="shared" si="2027"/>
        <v>0</v>
      </c>
      <c r="JS333" s="21">
        <f t="shared" si="2027"/>
        <v>0</v>
      </c>
      <c r="JT333" s="21">
        <f t="shared" si="2027"/>
        <v>0</v>
      </c>
      <c r="JU333" s="21">
        <f t="shared" si="2027"/>
        <v>0</v>
      </c>
      <c r="JV333" s="21">
        <f t="shared" ref="JV333:KC333" si="2028">IF($F$290, 0, IF($G$297, IF(AND(COLUMN($JV$333)-COLUMN($IX$327)=$Q$291,ROW($JV$333)-ROW($IX$327)=$K$291), U$290, JV333), JV333))</f>
        <v>0</v>
      </c>
      <c r="JW333" s="21">
        <f t="shared" si="2028"/>
        <v>0</v>
      </c>
      <c r="JX333" s="21">
        <f t="shared" si="2028"/>
        <v>0</v>
      </c>
      <c r="JY333" s="21">
        <f t="shared" si="2028"/>
        <v>0</v>
      </c>
      <c r="JZ333" s="21">
        <f t="shared" si="2028"/>
        <v>0</v>
      </c>
      <c r="KA333" s="21">
        <f t="shared" si="2028"/>
        <v>0</v>
      </c>
      <c r="KB333" s="21">
        <f t="shared" si="2028"/>
        <v>0</v>
      </c>
      <c r="KC333" s="21">
        <f t="shared" si="2028"/>
        <v>0</v>
      </c>
      <c r="KD333" s="21">
        <f t="shared" ref="KD333:KK333" si="2029">IF($F$290, 0, IF($G$297, IF(AND(COLUMN($KD$333)-COLUMN($IX$327)=$Q$291,ROW($KD$333)-ROW($IX$327)=$K$291), U$290, KD333), KD333))</f>
        <v>0</v>
      </c>
      <c r="KE333" s="21">
        <f t="shared" si="2029"/>
        <v>0</v>
      </c>
      <c r="KF333" s="21">
        <f t="shared" si="2029"/>
        <v>0</v>
      </c>
      <c r="KG333" s="21">
        <f t="shared" si="2029"/>
        <v>0</v>
      </c>
      <c r="KH333" s="21">
        <f t="shared" si="2029"/>
        <v>0</v>
      </c>
      <c r="KI333" s="21">
        <f t="shared" si="2029"/>
        <v>0</v>
      </c>
      <c r="KJ333" s="21">
        <f t="shared" si="2029"/>
        <v>0</v>
      </c>
      <c r="KK333" s="21">
        <f t="shared" si="2029"/>
        <v>0</v>
      </c>
      <c r="KL333" s="21">
        <f t="shared" ref="KL333:KS333" si="2030">IF($F$290, 0, IF($G$297, IF(AND(COLUMN($KL$333)-COLUMN($IX$327)=$Q$291,ROW($KL$333)-ROW($IX$327)=$K$291), U$290, KL333), KL333))</f>
        <v>0</v>
      </c>
      <c r="KM333" s="21">
        <f t="shared" si="2030"/>
        <v>0</v>
      </c>
      <c r="KN333" s="21">
        <f t="shared" si="2030"/>
        <v>0</v>
      </c>
      <c r="KO333" s="21">
        <f t="shared" si="2030"/>
        <v>0</v>
      </c>
      <c r="KP333" s="21">
        <f t="shared" si="2030"/>
        <v>0</v>
      </c>
      <c r="KQ333" s="21">
        <f t="shared" si="2030"/>
        <v>0</v>
      </c>
      <c r="KR333" s="21">
        <f t="shared" si="2030"/>
        <v>0</v>
      </c>
      <c r="KS333" s="21">
        <f t="shared" si="2030"/>
        <v>0</v>
      </c>
      <c r="KT333" s="21">
        <f t="shared" ref="KT333:LA333" si="2031">IF($F$290, 0, IF($G$297, IF(AND(COLUMN($KT$333)-COLUMN($IX$327)=$Q$291,ROW($KT$333)-ROW($IX$327)=$K$291), U$290, KT333), KT333))</f>
        <v>0</v>
      </c>
      <c r="KU333" s="21">
        <f t="shared" si="2031"/>
        <v>0</v>
      </c>
      <c r="KV333" s="21">
        <f t="shared" si="2031"/>
        <v>0</v>
      </c>
      <c r="KW333" s="21">
        <f t="shared" si="2031"/>
        <v>0</v>
      </c>
      <c r="KX333" s="21">
        <f t="shared" si="2031"/>
        <v>0</v>
      </c>
      <c r="KY333" s="21">
        <f t="shared" si="2031"/>
        <v>0</v>
      </c>
      <c r="KZ333" s="21">
        <f t="shared" si="2031"/>
        <v>0</v>
      </c>
      <c r="LA333" s="21">
        <f t="shared" si="2031"/>
        <v>0</v>
      </c>
      <c r="LB333" s="21">
        <f t="shared" ref="LB333:LI333" si="2032">IF($F$290, 0, IF($G$297, IF(AND(COLUMN($LB$333)-COLUMN($IX$327)=$Q$291,ROW($LB$333)-ROW($IX$327)=$K$291), U$290, LB333), LB333))</f>
        <v>0</v>
      </c>
      <c r="LC333" s="21">
        <f t="shared" si="2032"/>
        <v>0</v>
      </c>
      <c r="LD333" s="21">
        <f t="shared" si="2032"/>
        <v>0</v>
      </c>
      <c r="LE333" s="21">
        <f t="shared" si="2032"/>
        <v>0</v>
      </c>
      <c r="LF333" s="21">
        <f t="shared" si="2032"/>
        <v>0</v>
      </c>
      <c r="LG333" s="21">
        <f t="shared" si="2032"/>
        <v>0</v>
      </c>
      <c r="LH333" s="21">
        <f t="shared" si="2032"/>
        <v>0</v>
      </c>
      <c r="LI333" s="21">
        <f t="shared" si="2032"/>
        <v>0</v>
      </c>
      <c r="LJ333" s="21">
        <f t="shared" ref="LJ333:LQ333" si="2033">IF($F$290, 0, IF($H$297, IF(AND(COLUMN($LJ$333)-COLUMN($LJ$327)=$Q$291,ROW($LJ$333)-ROW($LJ$327)=$K$291), U$290, LJ333), LJ333))</f>
        <v>0</v>
      </c>
      <c r="LK333" s="21">
        <f t="shared" si="2033"/>
        <v>0</v>
      </c>
      <c r="LL333" s="21">
        <f t="shared" si="2033"/>
        <v>0</v>
      </c>
      <c r="LM333" s="21">
        <f t="shared" si="2033"/>
        <v>0</v>
      </c>
      <c r="LN333" s="21">
        <f t="shared" si="2033"/>
        <v>0</v>
      </c>
      <c r="LO333" s="21">
        <f t="shared" si="2033"/>
        <v>0</v>
      </c>
      <c r="LP333" s="21">
        <f t="shared" si="2033"/>
        <v>0</v>
      </c>
      <c r="LQ333" s="21">
        <f t="shared" si="2033"/>
        <v>0</v>
      </c>
      <c r="LR333" s="21">
        <f t="shared" ref="LR333:LY333" si="2034">IF($F$290, 0, IF($H$297, IF(AND(COLUMN($LR$333)-COLUMN($LJ$327)=$Q$291,ROW($LR$333)-ROW($LJ$327)=$K$291), U$290, LR333), LR333))</f>
        <v>0</v>
      </c>
      <c r="LS333" s="21">
        <f t="shared" si="2034"/>
        <v>0</v>
      </c>
      <c r="LT333" s="21">
        <f t="shared" si="2034"/>
        <v>0</v>
      </c>
      <c r="LU333" s="21">
        <f t="shared" si="2034"/>
        <v>0</v>
      </c>
      <c r="LV333" s="21">
        <f t="shared" si="2034"/>
        <v>0</v>
      </c>
      <c r="LW333" s="21">
        <f t="shared" si="2034"/>
        <v>0</v>
      </c>
      <c r="LX333" s="21">
        <f t="shared" si="2034"/>
        <v>0</v>
      </c>
      <c r="LY333" s="21">
        <f t="shared" si="2034"/>
        <v>0</v>
      </c>
      <c r="LZ333" s="21">
        <f t="shared" ref="LZ333:MG333" si="2035">IF($F$290, 0, IF($H$297, IF(AND(COLUMN($LZ$333)-COLUMN($LJ$327)=$Q$291,ROW($LZ$333)-ROW($LJ$327)=$K$291), U$290, LZ333), LZ333))</f>
        <v>0</v>
      </c>
      <c r="MA333" s="21">
        <f t="shared" si="2035"/>
        <v>0</v>
      </c>
      <c r="MB333" s="21">
        <f t="shared" si="2035"/>
        <v>0</v>
      </c>
      <c r="MC333" s="21">
        <f t="shared" si="2035"/>
        <v>0</v>
      </c>
      <c r="MD333" s="21">
        <f t="shared" si="2035"/>
        <v>0</v>
      </c>
      <c r="ME333" s="21">
        <f t="shared" si="2035"/>
        <v>0</v>
      </c>
      <c r="MF333" s="21">
        <f t="shared" si="2035"/>
        <v>0</v>
      </c>
      <c r="MG333" s="21">
        <f t="shared" si="2035"/>
        <v>0</v>
      </c>
      <c r="MH333" s="21">
        <f t="shared" ref="MH333:MO333" si="2036">IF($F$290, 0, IF($H$297, IF(AND(COLUMN($MH$333)-COLUMN($LJ$327)=$Q$291,ROW($MH$333)-ROW($LJ$327)=$K$291), U$290, MH333), MH333))</f>
        <v>0</v>
      </c>
      <c r="MI333" s="21">
        <f t="shared" si="2036"/>
        <v>0</v>
      </c>
      <c r="MJ333" s="21">
        <f t="shared" si="2036"/>
        <v>0</v>
      </c>
      <c r="MK333" s="21">
        <f t="shared" si="2036"/>
        <v>0</v>
      </c>
      <c r="ML333" s="21">
        <f t="shared" si="2036"/>
        <v>0</v>
      </c>
      <c r="MM333" s="21">
        <f t="shared" si="2036"/>
        <v>0</v>
      </c>
      <c r="MN333" s="21">
        <f t="shared" si="2036"/>
        <v>0</v>
      </c>
      <c r="MO333" s="21">
        <f t="shared" si="2036"/>
        <v>0</v>
      </c>
      <c r="MP333" s="21">
        <f t="shared" ref="MP333:MW333" si="2037">IF($F$290, 0, IF($H$297, IF(AND(COLUMN($MP$333)-COLUMN($LJ$327)=$Q$291,ROW($MP$333)-ROW($LJ$327)=$K$291), U$290, MP333), MP333))</f>
        <v>0</v>
      </c>
      <c r="MQ333" s="21">
        <f t="shared" si="2037"/>
        <v>0</v>
      </c>
      <c r="MR333" s="21">
        <f t="shared" si="2037"/>
        <v>0</v>
      </c>
      <c r="MS333" s="21">
        <f t="shared" si="2037"/>
        <v>0</v>
      </c>
      <c r="MT333" s="21">
        <f t="shared" si="2037"/>
        <v>0</v>
      </c>
      <c r="MU333" s="21">
        <f t="shared" si="2037"/>
        <v>0</v>
      </c>
      <c r="MV333" s="21">
        <f t="shared" si="2037"/>
        <v>0</v>
      </c>
      <c r="MW333" s="21">
        <f t="shared" si="2037"/>
        <v>0</v>
      </c>
      <c r="MX333" s="21">
        <f t="shared" ref="MX333:NE333" si="2038">IF($F$290, 0, IF($H$297, IF(AND(COLUMN($MX$333)-COLUMN($LJ$327)=$Q$291,ROW($MX$333)-ROW($LJ$327)=$K$291), U$290, MX333), MX333))</f>
        <v>0</v>
      </c>
      <c r="MY333" s="21">
        <f t="shared" si="2038"/>
        <v>0</v>
      </c>
      <c r="MZ333" s="21">
        <f t="shared" si="2038"/>
        <v>0</v>
      </c>
      <c r="NA333" s="21">
        <f t="shared" si="2038"/>
        <v>0</v>
      </c>
      <c r="NB333" s="21">
        <f t="shared" si="2038"/>
        <v>0</v>
      </c>
      <c r="NC333" s="21">
        <f t="shared" si="2038"/>
        <v>0</v>
      </c>
      <c r="ND333" s="21">
        <f t="shared" si="2038"/>
        <v>0</v>
      </c>
      <c r="NE333" s="21">
        <f t="shared" si="2038"/>
        <v>0</v>
      </c>
      <c r="NF333" s="21">
        <f t="shared" ref="NF333:NM333" si="2039">IF($F$290, 0, IF($H$297, IF(AND(COLUMN($NF$333)-COLUMN($LJ$327)=$Q$291,ROW($NF$333)-ROW($LJ$327)=$K$291), U$290, NF333), NF333))</f>
        <v>0</v>
      </c>
      <c r="NG333" s="21">
        <f t="shared" si="2039"/>
        <v>0</v>
      </c>
      <c r="NH333" s="21">
        <f t="shared" si="2039"/>
        <v>0</v>
      </c>
      <c r="NI333" s="21">
        <f t="shared" si="2039"/>
        <v>0</v>
      </c>
      <c r="NJ333" s="21">
        <f t="shared" si="2039"/>
        <v>0</v>
      </c>
      <c r="NK333" s="21">
        <f t="shared" si="2039"/>
        <v>0</v>
      </c>
      <c r="NL333" s="21">
        <f t="shared" si="2039"/>
        <v>0</v>
      </c>
      <c r="NM333" s="21">
        <f t="shared" si="2039"/>
        <v>0</v>
      </c>
      <c r="NN333" s="21">
        <f t="shared" ref="NN333:NU333" si="2040">IF($F$290, 0, IF($H$297, IF(AND(COLUMN($NN$333)-COLUMN($LJ$327)=$Q$291,ROW($NN$333)-ROW($LJ$327)=$K$291), U$290, NN333), NN333))</f>
        <v>0</v>
      </c>
      <c r="NO333" s="21">
        <f t="shared" si="2040"/>
        <v>0</v>
      </c>
      <c r="NP333" s="21">
        <f t="shared" si="2040"/>
        <v>0</v>
      </c>
      <c r="NQ333" s="21">
        <f t="shared" si="2040"/>
        <v>0</v>
      </c>
      <c r="NR333" s="21">
        <f t="shared" si="2040"/>
        <v>0</v>
      </c>
      <c r="NS333" s="21">
        <f t="shared" si="2040"/>
        <v>0</v>
      </c>
      <c r="NT333" s="21">
        <f t="shared" si="2040"/>
        <v>0</v>
      </c>
      <c r="NU333" s="21">
        <f t="shared" si="2040"/>
        <v>0</v>
      </c>
      <c r="NV333" s="21">
        <f t="shared" ref="NV333:OC333" si="2041">IF($F$290, 0, IF($I$297, IF(AND(COLUMN($NV$333)-COLUMN($NV$327)=$Q$291,ROW($NV$333)-ROW($NV$327)=$K$291), U$290, NV333), NV333))</f>
        <v>0</v>
      </c>
      <c r="NW333" s="21">
        <f t="shared" si="2041"/>
        <v>0</v>
      </c>
      <c r="NX333" s="21">
        <f t="shared" si="2041"/>
        <v>0</v>
      </c>
      <c r="NY333" s="21">
        <f t="shared" si="2041"/>
        <v>0</v>
      </c>
      <c r="NZ333" s="21">
        <f t="shared" si="2041"/>
        <v>0</v>
      </c>
      <c r="OA333" s="21">
        <f t="shared" si="2041"/>
        <v>0</v>
      </c>
      <c r="OB333" s="21">
        <f t="shared" si="2041"/>
        <v>0</v>
      </c>
      <c r="OC333" s="21">
        <f t="shared" si="2041"/>
        <v>0</v>
      </c>
      <c r="OD333" s="21">
        <f t="shared" ref="OD333:OK333" si="2042">IF($F$290, 0, IF($I$297, IF(AND(COLUMN($OD$333)-COLUMN($NV$327)=$Q$291,ROW($OD$333)-ROW($NV$327)=$K$291), U$290, OD333), OD333))</f>
        <v>0</v>
      </c>
      <c r="OE333" s="21">
        <f t="shared" si="2042"/>
        <v>0</v>
      </c>
      <c r="OF333" s="21">
        <f t="shared" si="2042"/>
        <v>0</v>
      </c>
      <c r="OG333" s="21">
        <f t="shared" si="2042"/>
        <v>0</v>
      </c>
      <c r="OH333" s="21">
        <f t="shared" si="2042"/>
        <v>0</v>
      </c>
      <c r="OI333" s="21">
        <f t="shared" si="2042"/>
        <v>0</v>
      </c>
      <c r="OJ333" s="21">
        <f t="shared" si="2042"/>
        <v>0</v>
      </c>
      <c r="OK333" s="21">
        <f t="shared" si="2042"/>
        <v>0</v>
      </c>
      <c r="OL333" s="21">
        <f t="shared" ref="OL333:OS333" si="2043">IF($F$290, 0, IF($I$297, IF(AND(COLUMN($OL$333)-COLUMN($NV$327)=$Q$291,ROW($OL$333)-ROW($NV$327)=$K$291), U$290, OL333), OL333))</f>
        <v>0</v>
      </c>
      <c r="OM333" s="21">
        <f t="shared" si="2043"/>
        <v>0</v>
      </c>
      <c r="ON333" s="21">
        <f t="shared" si="2043"/>
        <v>0</v>
      </c>
      <c r="OO333" s="21">
        <f t="shared" si="2043"/>
        <v>0</v>
      </c>
      <c r="OP333" s="21">
        <f t="shared" si="2043"/>
        <v>0</v>
      </c>
      <c r="OQ333" s="21">
        <f t="shared" si="2043"/>
        <v>0</v>
      </c>
      <c r="OR333" s="21">
        <f t="shared" si="2043"/>
        <v>0</v>
      </c>
      <c r="OS333" s="21">
        <f t="shared" si="2043"/>
        <v>0</v>
      </c>
      <c r="OT333" s="21">
        <f t="shared" ref="OT333:PA333" si="2044">IF($F$290, 0, IF($I$297, IF(AND(COLUMN($OT$333)-COLUMN($NV$327)=$Q$291,ROW($OT$333)-ROW($NV$327)=$K$291), U$290, OT333), OT333))</f>
        <v>0</v>
      </c>
      <c r="OU333" s="21">
        <f t="shared" si="2044"/>
        <v>0</v>
      </c>
      <c r="OV333" s="21">
        <f t="shared" si="2044"/>
        <v>0</v>
      </c>
      <c r="OW333" s="21">
        <f t="shared" si="2044"/>
        <v>0</v>
      </c>
      <c r="OX333" s="21">
        <f t="shared" si="2044"/>
        <v>0</v>
      </c>
      <c r="OY333" s="21">
        <f t="shared" si="2044"/>
        <v>0</v>
      </c>
      <c r="OZ333" s="21">
        <f t="shared" si="2044"/>
        <v>0</v>
      </c>
      <c r="PA333" s="21">
        <f t="shared" si="2044"/>
        <v>0</v>
      </c>
      <c r="PB333" s="21">
        <f t="shared" ref="PB333:PI333" si="2045">IF($F$290, 0, IF($I$297, IF(AND(COLUMN($PB$333)-COLUMN($NV$327)=$Q$291,ROW($PB$333)-ROW($NV$327)=$K$291), U$290, PB333), PB333))</f>
        <v>0</v>
      </c>
      <c r="PC333" s="21">
        <f t="shared" si="2045"/>
        <v>0</v>
      </c>
      <c r="PD333" s="21">
        <f t="shared" si="2045"/>
        <v>0</v>
      </c>
      <c r="PE333" s="21">
        <f t="shared" si="2045"/>
        <v>0</v>
      </c>
      <c r="PF333" s="21">
        <f t="shared" si="2045"/>
        <v>0</v>
      </c>
      <c r="PG333" s="21">
        <f t="shared" si="2045"/>
        <v>0</v>
      </c>
      <c r="PH333" s="21">
        <f t="shared" si="2045"/>
        <v>0</v>
      </c>
      <c r="PI333" s="21">
        <f t="shared" si="2045"/>
        <v>0</v>
      </c>
      <c r="PJ333" s="21">
        <f t="shared" ref="PJ333:PQ333" si="2046">IF($F$290, 0, IF($I$297, IF(AND(COLUMN($PJ$333)-COLUMN($NV$327)=$Q$291,ROW($PJ$333)-ROW($NV$327)=$K$291), U$290, PJ333), PJ333))</f>
        <v>0</v>
      </c>
      <c r="PK333" s="21">
        <f t="shared" si="2046"/>
        <v>0</v>
      </c>
      <c r="PL333" s="21">
        <f t="shared" si="2046"/>
        <v>0</v>
      </c>
      <c r="PM333" s="21">
        <f t="shared" si="2046"/>
        <v>0</v>
      </c>
      <c r="PN333" s="21">
        <f t="shared" si="2046"/>
        <v>0</v>
      </c>
      <c r="PO333" s="21">
        <f t="shared" si="2046"/>
        <v>0</v>
      </c>
      <c r="PP333" s="21">
        <f t="shared" si="2046"/>
        <v>0</v>
      </c>
      <c r="PQ333" s="21">
        <f t="shared" si="2046"/>
        <v>0</v>
      </c>
      <c r="PR333" s="21">
        <f t="shared" ref="PR333:PY333" si="2047">IF($F$290, 0, IF($I$297, IF(AND(COLUMN($PR$333)-COLUMN($NV$327)=$Q$291,ROW($PR$333)-ROW($NV$327)=$K$291), U$290, PR333), PR333))</f>
        <v>0</v>
      </c>
      <c r="PS333" s="21">
        <f t="shared" si="2047"/>
        <v>0</v>
      </c>
      <c r="PT333" s="21">
        <f t="shared" si="2047"/>
        <v>0</v>
      </c>
      <c r="PU333" s="21">
        <f t="shared" si="2047"/>
        <v>0</v>
      </c>
      <c r="PV333" s="21">
        <f t="shared" si="2047"/>
        <v>0</v>
      </c>
      <c r="PW333" s="21">
        <f t="shared" si="2047"/>
        <v>0</v>
      </c>
      <c r="PX333" s="21">
        <f t="shared" si="2047"/>
        <v>0</v>
      </c>
      <c r="PY333" s="21">
        <f t="shared" si="2047"/>
        <v>0</v>
      </c>
      <c r="PZ333" s="21">
        <f t="shared" ref="PZ333:QG333" si="2048">IF($F$290, 0, IF($I$297, IF(AND(COLUMN($PZ$333)-COLUMN($NV$327)=$Q$291,ROW($PZ$333)-ROW($NV$327)=$K$291), U$290, PZ333), PZ333))</f>
        <v>0</v>
      </c>
      <c r="QA333" s="21">
        <f t="shared" si="2048"/>
        <v>0</v>
      </c>
      <c r="QB333" s="21">
        <f t="shared" si="2048"/>
        <v>0</v>
      </c>
      <c r="QC333" s="21">
        <f t="shared" si="2048"/>
        <v>0</v>
      </c>
      <c r="QD333" s="21">
        <f t="shared" si="2048"/>
        <v>0</v>
      </c>
      <c r="QE333" s="21">
        <f t="shared" si="2048"/>
        <v>0</v>
      </c>
      <c r="QF333" s="21">
        <f t="shared" si="2048"/>
        <v>0</v>
      </c>
      <c r="QG333" s="21">
        <f t="shared" si="2048"/>
        <v>0</v>
      </c>
      <c r="QH333" s="21">
        <f t="shared" ref="QH333:QO333" si="2049">IF($F$290, 0, IF($J$297, IF(AND(COLUMN($QH$333)-COLUMN($QH$327)=$Q$291,ROW($QH$333)-ROW($QH$327)=$K$291), U$290, QH333), QH333))</f>
        <v>0</v>
      </c>
      <c r="QI333" s="21">
        <f t="shared" si="2049"/>
        <v>0</v>
      </c>
      <c r="QJ333" s="21">
        <f t="shared" si="2049"/>
        <v>0</v>
      </c>
      <c r="QK333" s="21">
        <f t="shared" si="2049"/>
        <v>0</v>
      </c>
      <c r="QL333" s="21">
        <f t="shared" si="2049"/>
        <v>0</v>
      </c>
      <c r="QM333" s="21">
        <f t="shared" si="2049"/>
        <v>0</v>
      </c>
      <c r="QN333" s="21">
        <f t="shared" si="2049"/>
        <v>0</v>
      </c>
      <c r="QO333" s="21">
        <f t="shared" si="2049"/>
        <v>0</v>
      </c>
      <c r="QP333" s="21">
        <f t="shared" ref="QP333:QW333" si="2050">IF($F$290, 0, IF($J$297, IF(AND(COLUMN($QP$333)-COLUMN($QH$327)=$Q$291,ROW($QP$333)-ROW($QH$327)=$K$291), U$290, QP333), QP333))</f>
        <v>0</v>
      </c>
      <c r="QQ333" s="21">
        <f t="shared" si="2050"/>
        <v>0</v>
      </c>
      <c r="QR333" s="21">
        <f t="shared" si="2050"/>
        <v>0</v>
      </c>
      <c r="QS333" s="21">
        <f t="shared" si="2050"/>
        <v>0</v>
      </c>
      <c r="QT333" s="21">
        <f t="shared" si="2050"/>
        <v>0</v>
      </c>
      <c r="QU333" s="21">
        <f t="shared" si="2050"/>
        <v>0</v>
      </c>
      <c r="QV333" s="21">
        <f t="shared" si="2050"/>
        <v>0</v>
      </c>
      <c r="QW333" s="21">
        <f t="shared" si="2050"/>
        <v>0</v>
      </c>
      <c r="QX333" s="21">
        <f t="shared" ref="QX333:RE333" si="2051">IF($F$290, 0, IF($J$297, IF(AND(COLUMN($QX$333)-COLUMN($QH$327)=$Q$291,ROW($QX$333)-ROW($QH$327)=$K$291), U$290, QX333), QX333))</f>
        <v>0</v>
      </c>
      <c r="QY333" s="21">
        <f t="shared" si="2051"/>
        <v>0</v>
      </c>
      <c r="QZ333" s="21">
        <f t="shared" si="2051"/>
        <v>0</v>
      </c>
      <c r="RA333" s="21">
        <f t="shared" si="2051"/>
        <v>0</v>
      </c>
      <c r="RB333" s="21">
        <f t="shared" si="2051"/>
        <v>0</v>
      </c>
      <c r="RC333" s="21">
        <f t="shared" si="2051"/>
        <v>0</v>
      </c>
      <c r="RD333" s="21">
        <f t="shared" si="2051"/>
        <v>0</v>
      </c>
      <c r="RE333" s="21">
        <f t="shared" si="2051"/>
        <v>0</v>
      </c>
      <c r="RF333" s="21">
        <f t="shared" ref="RF333:RM333" si="2052">IF($F$290, 0, IF($J$297, IF(AND(COLUMN($RF$333)-COLUMN($QH$327)=$Q$291,ROW($RF$333)-ROW($QH$327)=$K$291), U$290, RF333), RF333))</f>
        <v>0</v>
      </c>
      <c r="RG333" s="21">
        <f t="shared" si="2052"/>
        <v>0</v>
      </c>
      <c r="RH333" s="21">
        <f t="shared" si="2052"/>
        <v>0</v>
      </c>
      <c r="RI333" s="21">
        <f t="shared" si="2052"/>
        <v>0</v>
      </c>
      <c r="RJ333" s="21">
        <f t="shared" si="2052"/>
        <v>0</v>
      </c>
      <c r="RK333" s="21">
        <f t="shared" si="2052"/>
        <v>0</v>
      </c>
      <c r="RL333" s="21">
        <f t="shared" si="2052"/>
        <v>0</v>
      </c>
      <c r="RM333" s="21">
        <f t="shared" si="2052"/>
        <v>0</v>
      </c>
      <c r="RN333" s="21">
        <f t="shared" ref="RN333:RU333" si="2053">IF($F$290, 0, IF($J$297, IF(AND(COLUMN($RN$333)-COLUMN($QH$327)=$Q$291,ROW($RN$333)-ROW($QH$327)=$K$291), U$290, RN333), RN333))</f>
        <v>0</v>
      </c>
      <c r="RO333" s="21">
        <f t="shared" si="2053"/>
        <v>0</v>
      </c>
      <c r="RP333" s="21">
        <f t="shared" si="2053"/>
        <v>0</v>
      </c>
      <c r="RQ333" s="21">
        <f t="shared" si="2053"/>
        <v>0</v>
      </c>
      <c r="RR333" s="21">
        <f t="shared" si="2053"/>
        <v>0</v>
      </c>
      <c r="RS333" s="21">
        <f t="shared" si="2053"/>
        <v>0</v>
      </c>
      <c r="RT333" s="21">
        <f t="shared" si="2053"/>
        <v>0</v>
      </c>
      <c r="RU333" s="21">
        <f t="shared" si="2053"/>
        <v>0</v>
      </c>
      <c r="RV333" s="21">
        <f t="shared" ref="RV333:SC333" si="2054">IF($F$290, 0, IF($J$297, IF(AND(COLUMN($RV$333)-COLUMN($QH$327)=$Q$291,ROW($RV$333)-ROW($QH$327)=$K$291), U$290, RV333), RV333))</f>
        <v>0</v>
      </c>
      <c r="RW333" s="21">
        <f t="shared" si="2054"/>
        <v>0</v>
      </c>
      <c r="RX333" s="21">
        <f t="shared" si="2054"/>
        <v>0</v>
      </c>
      <c r="RY333" s="21">
        <f t="shared" si="2054"/>
        <v>0</v>
      </c>
      <c r="RZ333" s="21">
        <f t="shared" si="2054"/>
        <v>0</v>
      </c>
      <c r="SA333" s="21">
        <f t="shared" si="2054"/>
        <v>0</v>
      </c>
      <c r="SB333" s="21">
        <f t="shared" si="2054"/>
        <v>0</v>
      </c>
      <c r="SC333" s="21">
        <f t="shared" si="2054"/>
        <v>0</v>
      </c>
      <c r="SD333" s="21">
        <f t="shared" ref="SD333:SK333" si="2055">IF($F$290, 0, IF($J$297, IF(AND(COLUMN($SD$333)-COLUMN($QH$327)=$Q$291,ROW($SD$333)-ROW($QH$327)=$K$291), U$290, SD333), SD333))</f>
        <v>0</v>
      </c>
      <c r="SE333" s="21">
        <f t="shared" si="2055"/>
        <v>0</v>
      </c>
      <c r="SF333" s="21">
        <f t="shared" si="2055"/>
        <v>0</v>
      </c>
      <c r="SG333" s="21">
        <f t="shared" si="2055"/>
        <v>0</v>
      </c>
      <c r="SH333" s="21">
        <f t="shared" si="2055"/>
        <v>0</v>
      </c>
      <c r="SI333" s="21">
        <f t="shared" si="2055"/>
        <v>0</v>
      </c>
      <c r="SJ333" s="21">
        <f t="shared" si="2055"/>
        <v>0</v>
      </c>
      <c r="SK333" s="21">
        <f t="shared" si="2055"/>
        <v>0</v>
      </c>
      <c r="SL333" s="21">
        <f t="shared" ref="SL333:SS333" si="2056">IF($F$290, 0, IF($J$297, IF(AND(COLUMN($SL$333)-COLUMN($QH$327)=$Q$291,ROW($SL$333)-ROW($QH$327)=$K$291), U$290, SL333), SL333))</f>
        <v>0</v>
      </c>
      <c r="SM333" s="21">
        <f t="shared" si="2056"/>
        <v>0</v>
      </c>
      <c r="SN333" s="21">
        <f t="shared" si="2056"/>
        <v>0</v>
      </c>
      <c r="SO333" s="21">
        <f t="shared" si="2056"/>
        <v>0</v>
      </c>
      <c r="SP333" s="21">
        <f t="shared" si="2056"/>
        <v>0</v>
      </c>
      <c r="SQ333" s="21">
        <f t="shared" si="2056"/>
        <v>0</v>
      </c>
      <c r="SR333" s="21">
        <f t="shared" si="2056"/>
        <v>0</v>
      </c>
      <c r="SS333" s="21">
        <f t="shared" si="2056"/>
        <v>0</v>
      </c>
    </row>
    <row r="334" spans="2:513" ht="15" customHeight="1" x14ac:dyDescent="0.25">
      <c r="B334" s="21">
        <f t="shared" ref="B334:I334" si="2057">IF($F$290, 0, IF($C$297, IF(AND(COLUMN($B$334)-COLUMN($B$327)=$Q$291,ROW($B$334)-ROW($B$327)=$K$291), U$290, B334), B334))</f>
        <v>0</v>
      </c>
      <c r="C334" s="21">
        <f t="shared" si="2057"/>
        <v>0</v>
      </c>
      <c r="D334" s="21">
        <f t="shared" si="2057"/>
        <v>0</v>
      </c>
      <c r="E334" s="21">
        <f t="shared" si="2057"/>
        <v>0</v>
      </c>
      <c r="F334" s="21">
        <f t="shared" si="2057"/>
        <v>0</v>
      </c>
      <c r="G334" s="21">
        <f t="shared" si="2057"/>
        <v>0</v>
      </c>
      <c r="H334" s="21">
        <f t="shared" si="2057"/>
        <v>0</v>
      </c>
      <c r="I334" s="21">
        <f t="shared" si="2057"/>
        <v>0</v>
      </c>
      <c r="J334" s="21">
        <f t="shared" ref="J334:Q334" si="2058">IF($F$290, 0, IF($C$297, IF(AND(COLUMN($J$334)-COLUMN($B$327)=$Q$291,ROW($J$334)-ROW($B$327)=$K$291), U$290, J334), J334))</f>
        <v>0</v>
      </c>
      <c r="K334" s="21">
        <f t="shared" si="2058"/>
        <v>0</v>
      </c>
      <c r="L334" s="21">
        <f t="shared" si="2058"/>
        <v>0</v>
      </c>
      <c r="M334" s="21">
        <f t="shared" si="2058"/>
        <v>0</v>
      </c>
      <c r="N334" s="21">
        <f t="shared" si="2058"/>
        <v>0</v>
      </c>
      <c r="O334" s="21">
        <f t="shared" si="2058"/>
        <v>0</v>
      </c>
      <c r="P334" s="21">
        <f t="shared" si="2058"/>
        <v>0</v>
      </c>
      <c r="Q334" s="21">
        <f t="shared" si="2058"/>
        <v>0</v>
      </c>
      <c r="R334" s="21">
        <f>IF($F$290, 0, IF($C$297, IF(AND(COLUMN($R$334)-COLUMN($B$327)=$Q$291,ROW($R$334)-ROW($B$327)=$K$291), U$290, R334), R334))</f>
        <v>0</v>
      </c>
      <c r="S334" s="21">
        <f t="shared" ref="S334:Y334" si="2059">IF($F$290, 0, IF($C$297, IF(AND(COLUMN($R$334)-COLUMN($B$327)=$Q$291,ROW($R$334)-ROW($B$327)=$K$291), V$290, S334), S334))</f>
        <v>0</v>
      </c>
      <c r="T334" s="21">
        <f t="shared" si="2059"/>
        <v>0</v>
      </c>
      <c r="U334" s="21">
        <f t="shared" si="2059"/>
        <v>0</v>
      </c>
      <c r="V334" s="21">
        <f t="shared" si="2059"/>
        <v>0</v>
      </c>
      <c r="W334" s="21">
        <f t="shared" si="2059"/>
        <v>0</v>
      </c>
      <c r="X334" s="21">
        <f t="shared" si="2059"/>
        <v>0</v>
      </c>
      <c r="Y334" s="21">
        <f t="shared" si="2059"/>
        <v>0</v>
      </c>
      <c r="Z334" s="21">
        <f t="shared" ref="Z334:AG334" si="2060">IF($F$290, 0, IF($C$297, IF(AND(COLUMN($Z$334)-COLUMN($B$327)=$Q$291,ROW($Z$334)-ROW($B$327)=$K$291), U$290, Z334), Z334))</f>
        <v>0</v>
      </c>
      <c r="AA334" s="21">
        <f t="shared" si="2060"/>
        <v>0</v>
      </c>
      <c r="AB334" s="21">
        <f t="shared" si="2060"/>
        <v>0</v>
      </c>
      <c r="AC334" s="21">
        <f t="shared" si="2060"/>
        <v>0</v>
      </c>
      <c r="AD334" s="21">
        <f t="shared" si="2060"/>
        <v>0</v>
      </c>
      <c r="AE334" s="21">
        <f t="shared" si="2060"/>
        <v>0</v>
      </c>
      <c r="AF334" s="21">
        <f t="shared" si="2060"/>
        <v>0</v>
      </c>
      <c r="AG334" s="21">
        <f t="shared" si="2060"/>
        <v>0</v>
      </c>
      <c r="AH334" s="21">
        <f t="shared" ref="AH334:AO334" si="2061">IF($F$290, 0, IF($C$297, IF(AND(COLUMN($AH$334)-COLUMN($B$327)=$Q$291,ROW($AH$334)-ROW($B$327)=$K$291), U$290, AH334), AH334))</f>
        <v>0</v>
      </c>
      <c r="AI334" s="21">
        <f t="shared" si="2061"/>
        <v>0</v>
      </c>
      <c r="AJ334" s="21">
        <f t="shared" si="2061"/>
        <v>0</v>
      </c>
      <c r="AK334" s="21">
        <f t="shared" si="2061"/>
        <v>0</v>
      </c>
      <c r="AL334" s="21">
        <f t="shared" si="2061"/>
        <v>0</v>
      </c>
      <c r="AM334" s="21">
        <f t="shared" si="2061"/>
        <v>0</v>
      </c>
      <c r="AN334" s="21">
        <f t="shared" si="2061"/>
        <v>0</v>
      </c>
      <c r="AO334" s="21">
        <f t="shared" si="2061"/>
        <v>0</v>
      </c>
      <c r="AP334" s="21">
        <f t="shared" ref="AP334:AW334" si="2062">IF($F$290, 0, IF($C$297, IF(AND(COLUMN($AP$334)-COLUMN($B$327)=$Q$291,ROW($AP$334)-ROW($B$327)=$K$291), U$290, AP334), AP334))</f>
        <v>0</v>
      </c>
      <c r="AQ334" s="21">
        <f t="shared" si="2062"/>
        <v>0</v>
      </c>
      <c r="AR334" s="21">
        <f t="shared" si="2062"/>
        <v>0</v>
      </c>
      <c r="AS334" s="21">
        <f t="shared" si="2062"/>
        <v>0</v>
      </c>
      <c r="AT334" s="21">
        <f t="shared" si="2062"/>
        <v>0</v>
      </c>
      <c r="AU334" s="21">
        <f t="shared" si="2062"/>
        <v>0</v>
      </c>
      <c r="AV334" s="21">
        <f t="shared" si="2062"/>
        <v>0</v>
      </c>
      <c r="AW334" s="21">
        <f t="shared" si="2062"/>
        <v>0</v>
      </c>
      <c r="AX334" s="21">
        <f t="shared" ref="AX334:BE334" si="2063">IF($F$290, 0, IF($C$297, IF(AND(COLUMN($AX$334)-COLUMN($B$327)=$Q$291,ROW($AX$334)-ROW($B$327)=$K$291), U$290, AX334), AX334))</f>
        <v>0</v>
      </c>
      <c r="AY334" s="21">
        <f t="shared" si="2063"/>
        <v>0</v>
      </c>
      <c r="AZ334" s="21">
        <f t="shared" si="2063"/>
        <v>0</v>
      </c>
      <c r="BA334" s="21">
        <f t="shared" si="2063"/>
        <v>0</v>
      </c>
      <c r="BB334" s="21">
        <f t="shared" si="2063"/>
        <v>0</v>
      </c>
      <c r="BC334" s="21">
        <f t="shared" si="2063"/>
        <v>0</v>
      </c>
      <c r="BD334" s="21">
        <f t="shared" si="2063"/>
        <v>0</v>
      </c>
      <c r="BE334" s="21">
        <f t="shared" si="2063"/>
        <v>0</v>
      </c>
      <c r="BF334" s="21">
        <f t="shared" ref="BF334:BM334" si="2064">IF($F$290, 0, IF($C$297, IF(AND(COLUMN($BF$334)-COLUMN($B$327)=$Q$291,ROW($BF$334)-ROW($B$327)=$K$291), U$290, BF334), BF334))</f>
        <v>0</v>
      </c>
      <c r="BG334" s="21">
        <f t="shared" si="2064"/>
        <v>0</v>
      </c>
      <c r="BH334" s="21">
        <f t="shared" si="2064"/>
        <v>0</v>
      </c>
      <c r="BI334" s="21">
        <f t="shared" si="2064"/>
        <v>0</v>
      </c>
      <c r="BJ334" s="21">
        <f t="shared" si="2064"/>
        <v>0</v>
      </c>
      <c r="BK334" s="21">
        <f t="shared" si="2064"/>
        <v>0</v>
      </c>
      <c r="BL334" s="21">
        <f t="shared" si="2064"/>
        <v>0</v>
      </c>
      <c r="BM334" s="21">
        <f t="shared" si="2064"/>
        <v>0</v>
      </c>
      <c r="BN334" s="21">
        <f t="shared" ref="BN334:BU334" si="2065">IF($F$290, 0, IF($D$297, IF(AND(COLUMN($BN$334)-COLUMN($BN$327)=$Q$291,ROW($BN$334)-ROW($BN$327)=$K$291), U$290, BN334), BN334))</f>
        <v>0</v>
      </c>
      <c r="BO334" s="21">
        <f t="shared" si="2065"/>
        <v>0</v>
      </c>
      <c r="BP334" s="21">
        <f t="shared" si="2065"/>
        <v>0</v>
      </c>
      <c r="BQ334" s="21">
        <f t="shared" si="2065"/>
        <v>0</v>
      </c>
      <c r="BR334" s="21">
        <f t="shared" si="2065"/>
        <v>0</v>
      </c>
      <c r="BS334" s="21">
        <f t="shared" si="2065"/>
        <v>0</v>
      </c>
      <c r="BT334" s="21">
        <f t="shared" si="2065"/>
        <v>0</v>
      </c>
      <c r="BU334" s="21">
        <f t="shared" si="2065"/>
        <v>0</v>
      </c>
      <c r="BV334" s="21">
        <f t="shared" ref="BV334:CC334" si="2066">IF($F$290, 0, IF($D$297, IF(AND(COLUMN($BV$334)-COLUMN($BN$327)=$Q$291,ROW($BV$334)-ROW($BN$327)=$K$291), U$290, BV334), BV334))</f>
        <v>0</v>
      </c>
      <c r="BW334" s="21">
        <f t="shared" si="2066"/>
        <v>0</v>
      </c>
      <c r="BX334" s="21">
        <f t="shared" si="2066"/>
        <v>0</v>
      </c>
      <c r="BY334" s="21">
        <f t="shared" si="2066"/>
        <v>0</v>
      </c>
      <c r="BZ334" s="21">
        <f t="shared" si="2066"/>
        <v>0</v>
      </c>
      <c r="CA334" s="21">
        <f t="shared" si="2066"/>
        <v>0</v>
      </c>
      <c r="CB334" s="21">
        <f t="shared" si="2066"/>
        <v>0</v>
      </c>
      <c r="CC334" s="21">
        <f t="shared" si="2066"/>
        <v>0</v>
      </c>
      <c r="CD334" s="21">
        <f t="shared" ref="CD334:CK334" si="2067">IF($F$290, 0, IF($D$297, IF(AND(COLUMN($CD$334)-COLUMN($BN$327)=$Q$291,ROW($CD$334)-ROW($BN$327)=$K$291), U$290, CD334), CD334))</f>
        <v>0</v>
      </c>
      <c r="CE334" s="21">
        <f t="shared" si="2067"/>
        <v>0</v>
      </c>
      <c r="CF334" s="21">
        <f t="shared" si="2067"/>
        <v>0</v>
      </c>
      <c r="CG334" s="21">
        <f t="shared" si="2067"/>
        <v>0</v>
      </c>
      <c r="CH334" s="21">
        <f t="shared" si="2067"/>
        <v>0</v>
      </c>
      <c r="CI334" s="21">
        <f t="shared" si="2067"/>
        <v>0</v>
      </c>
      <c r="CJ334" s="21">
        <f t="shared" si="2067"/>
        <v>0</v>
      </c>
      <c r="CK334" s="21">
        <f t="shared" si="2067"/>
        <v>0</v>
      </c>
      <c r="CL334" s="21">
        <f t="shared" ref="CL334:CS334" si="2068">IF($F$290, 0, IF($D$297, IF(AND(COLUMN($CL$334)-COLUMN($BN$327)=$Q$291,ROW($CL$334)-ROW($BN$327)=$K$291), U$290, CL334), CL334))</f>
        <v>0</v>
      </c>
      <c r="CM334" s="21">
        <f t="shared" si="2068"/>
        <v>0</v>
      </c>
      <c r="CN334" s="21">
        <f t="shared" si="2068"/>
        <v>0</v>
      </c>
      <c r="CO334" s="21">
        <f t="shared" si="2068"/>
        <v>0</v>
      </c>
      <c r="CP334" s="21">
        <f t="shared" si="2068"/>
        <v>0</v>
      </c>
      <c r="CQ334" s="21">
        <f t="shared" si="2068"/>
        <v>0</v>
      </c>
      <c r="CR334" s="21">
        <f t="shared" si="2068"/>
        <v>0</v>
      </c>
      <c r="CS334" s="21">
        <f t="shared" si="2068"/>
        <v>0</v>
      </c>
      <c r="CT334" s="21">
        <f t="shared" ref="CT334:DA334" si="2069">IF($F$290, 0, IF($D$297, IF(AND(COLUMN($CT$334)-COLUMN($BN$327)=$Q$291,ROW($CT$334)-ROW($BN$327)=$K$291), U$290, CT334), CT334))</f>
        <v>0</v>
      </c>
      <c r="CU334" s="21">
        <f t="shared" si="2069"/>
        <v>0</v>
      </c>
      <c r="CV334" s="21">
        <f t="shared" si="2069"/>
        <v>0</v>
      </c>
      <c r="CW334" s="21">
        <f t="shared" si="2069"/>
        <v>0</v>
      </c>
      <c r="CX334" s="21">
        <f t="shared" si="2069"/>
        <v>0</v>
      </c>
      <c r="CY334" s="21">
        <f t="shared" si="2069"/>
        <v>0</v>
      </c>
      <c r="CZ334" s="21">
        <f t="shared" si="2069"/>
        <v>0</v>
      </c>
      <c r="DA334" s="21">
        <f t="shared" si="2069"/>
        <v>0</v>
      </c>
      <c r="DB334" s="21">
        <f t="shared" ref="DB334:DI334" si="2070">IF($F$290, 0, IF($D$297, IF(AND(COLUMN($DB$334)-COLUMN($BN$327)=$Q$291,ROW($DB$334)-ROW($BN$327)=$K$291), U$290, DB334), DB334))</f>
        <v>0</v>
      </c>
      <c r="DC334" s="21">
        <f t="shared" si="2070"/>
        <v>0</v>
      </c>
      <c r="DD334" s="21">
        <f t="shared" si="2070"/>
        <v>0</v>
      </c>
      <c r="DE334" s="21">
        <f t="shared" si="2070"/>
        <v>0</v>
      </c>
      <c r="DF334" s="21">
        <f t="shared" si="2070"/>
        <v>0</v>
      </c>
      <c r="DG334" s="21">
        <f t="shared" si="2070"/>
        <v>0</v>
      </c>
      <c r="DH334" s="21">
        <f t="shared" si="2070"/>
        <v>0</v>
      </c>
      <c r="DI334" s="21">
        <f t="shared" si="2070"/>
        <v>0</v>
      </c>
      <c r="DJ334" s="21">
        <f t="shared" ref="DJ334:DQ334" si="2071">IF($F$290, 0, IF($D$297, IF(AND(COLUMN($DJ$334)-COLUMN($BN$327)=$Q$291,ROW($DJ$334)-ROW($BN$327)=$K$291), U$290, DJ334), DJ334))</f>
        <v>0</v>
      </c>
      <c r="DK334" s="21">
        <f t="shared" si="2071"/>
        <v>0</v>
      </c>
      <c r="DL334" s="21">
        <f t="shared" si="2071"/>
        <v>0</v>
      </c>
      <c r="DM334" s="21">
        <f t="shared" si="2071"/>
        <v>0</v>
      </c>
      <c r="DN334" s="21">
        <f t="shared" si="2071"/>
        <v>0</v>
      </c>
      <c r="DO334" s="21">
        <f t="shared" si="2071"/>
        <v>0</v>
      </c>
      <c r="DP334" s="21">
        <f t="shared" si="2071"/>
        <v>0</v>
      </c>
      <c r="DQ334" s="21">
        <f t="shared" si="2071"/>
        <v>0</v>
      </c>
      <c r="DR334" s="21">
        <f t="shared" ref="DR334:DY334" si="2072">IF($F$290, 0, IF($D$297, IF(AND(COLUMN($DR$334)-COLUMN($BN$327)=$Q$291,ROW($DR$334)-ROW($BN$327)=$K$291), U$290, DR334), DR334))</f>
        <v>0</v>
      </c>
      <c r="DS334" s="21">
        <f t="shared" si="2072"/>
        <v>0</v>
      </c>
      <c r="DT334" s="21">
        <f t="shared" si="2072"/>
        <v>0</v>
      </c>
      <c r="DU334" s="21">
        <f t="shared" si="2072"/>
        <v>0</v>
      </c>
      <c r="DV334" s="21">
        <f t="shared" si="2072"/>
        <v>0</v>
      </c>
      <c r="DW334" s="21">
        <f t="shared" si="2072"/>
        <v>0</v>
      </c>
      <c r="DX334" s="21">
        <f t="shared" si="2072"/>
        <v>0</v>
      </c>
      <c r="DY334" s="21">
        <f t="shared" si="2072"/>
        <v>0</v>
      </c>
      <c r="DZ334" s="21">
        <f t="shared" ref="DZ334:EG334" si="2073">IF($F$290, 0, IF($E$297, IF(AND(COLUMN($DZ$334)-COLUMN($DZ$327)=$Q$291,ROW($DZ$334)-ROW($DZ$327)=$K$291), U$290, DZ334), DZ334))</f>
        <v>0</v>
      </c>
      <c r="EA334" s="21">
        <f t="shared" si="2073"/>
        <v>0</v>
      </c>
      <c r="EB334" s="21">
        <f t="shared" si="2073"/>
        <v>0</v>
      </c>
      <c r="EC334" s="21">
        <f t="shared" si="2073"/>
        <v>0</v>
      </c>
      <c r="ED334" s="21">
        <f t="shared" si="2073"/>
        <v>0</v>
      </c>
      <c r="EE334" s="21">
        <f t="shared" si="2073"/>
        <v>0</v>
      </c>
      <c r="EF334" s="21">
        <f t="shared" si="2073"/>
        <v>0</v>
      </c>
      <c r="EG334" s="21">
        <f t="shared" si="2073"/>
        <v>0</v>
      </c>
      <c r="EH334" s="21">
        <f t="shared" ref="EH334:EO334" si="2074">IF($F$290, 0, IF($E$297, IF(AND(COLUMN($EH$334)-COLUMN($DZ$327)=$Q$291,ROW($EH$334)-ROW($DZ$327)=$K$291), U$290, EH334), EH334))</f>
        <v>0</v>
      </c>
      <c r="EI334" s="21">
        <f t="shared" si="2074"/>
        <v>0</v>
      </c>
      <c r="EJ334" s="21">
        <f t="shared" si="2074"/>
        <v>0</v>
      </c>
      <c r="EK334" s="21">
        <f t="shared" si="2074"/>
        <v>0</v>
      </c>
      <c r="EL334" s="21">
        <f t="shared" si="2074"/>
        <v>0</v>
      </c>
      <c r="EM334" s="21">
        <f t="shared" si="2074"/>
        <v>0</v>
      </c>
      <c r="EN334" s="21">
        <f t="shared" si="2074"/>
        <v>0</v>
      </c>
      <c r="EO334" s="21">
        <f t="shared" si="2074"/>
        <v>0</v>
      </c>
      <c r="EP334" s="21">
        <f t="shared" ref="EP334:EW334" si="2075">IF($F$290, 0, IF($E$297, IF(AND(COLUMN($EP$334)-COLUMN($DZ$327)=$Q$291,ROW($EP$334)-ROW($DZ$327)=$K$291), U$290, EP334), EP334))</f>
        <v>0</v>
      </c>
      <c r="EQ334" s="21">
        <f t="shared" si="2075"/>
        <v>0</v>
      </c>
      <c r="ER334" s="21">
        <f t="shared" si="2075"/>
        <v>0</v>
      </c>
      <c r="ES334" s="21">
        <f t="shared" si="2075"/>
        <v>0</v>
      </c>
      <c r="ET334" s="21">
        <f t="shared" si="2075"/>
        <v>0</v>
      </c>
      <c r="EU334" s="21">
        <f t="shared" si="2075"/>
        <v>0</v>
      </c>
      <c r="EV334" s="21">
        <f t="shared" si="2075"/>
        <v>0</v>
      </c>
      <c r="EW334" s="21">
        <f t="shared" si="2075"/>
        <v>0</v>
      </c>
      <c r="EX334" s="21">
        <f t="shared" ref="EX334:FE334" si="2076">IF($F$290, 0, IF($E$297, IF(AND(COLUMN($EX$334)-COLUMN($DZ$327)=$Q$291,ROW($EX$334)-ROW($DZ$327)=$K$291), U$290, EX334), EX334))</f>
        <v>0</v>
      </c>
      <c r="EY334" s="21">
        <f t="shared" si="2076"/>
        <v>0</v>
      </c>
      <c r="EZ334" s="21">
        <f t="shared" si="2076"/>
        <v>0</v>
      </c>
      <c r="FA334" s="21">
        <f t="shared" si="2076"/>
        <v>0</v>
      </c>
      <c r="FB334" s="21">
        <f t="shared" si="2076"/>
        <v>0</v>
      </c>
      <c r="FC334" s="21">
        <f t="shared" si="2076"/>
        <v>0</v>
      </c>
      <c r="FD334" s="21">
        <f t="shared" si="2076"/>
        <v>0</v>
      </c>
      <c r="FE334" s="21">
        <f t="shared" si="2076"/>
        <v>0</v>
      </c>
      <c r="FF334" s="21">
        <f t="shared" ref="FF334:FM334" si="2077">IF($F$290, 0, IF($E$297, IF(AND(COLUMN($FF$334)-COLUMN($DZ$327)=$Q$291,ROW($FF$334)-ROW($DZ$327)=$K$291), U$290, FF334), FF334))</f>
        <v>0</v>
      </c>
      <c r="FG334" s="21">
        <f t="shared" si="2077"/>
        <v>0</v>
      </c>
      <c r="FH334" s="21">
        <f t="shared" si="2077"/>
        <v>0</v>
      </c>
      <c r="FI334" s="21">
        <f t="shared" si="2077"/>
        <v>0</v>
      </c>
      <c r="FJ334" s="21">
        <f t="shared" si="2077"/>
        <v>0</v>
      </c>
      <c r="FK334" s="21">
        <f t="shared" si="2077"/>
        <v>0</v>
      </c>
      <c r="FL334" s="21">
        <f t="shared" si="2077"/>
        <v>0</v>
      </c>
      <c r="FM334" s="21">
        <f t="shared" si="2077"/>
        <v>0</v>
      </c>
      <c r="FN334" s="21">
        <f t="shared" ref="FN334:FU334" si="2078">IF($F$290, 0, IF($E$297, IF(AND(COLUMN($FN$334)-COLUMN($DZ$327)=$Q$291,ROW($FN$334)-ROW($DZ$327)=$K$291), U$290, FN334), FN334))</f>
        <v>0</v>
      </c>
      <c r="FO334" s="21">
        <f t="shared" si="2078"/>
        <v>0</v>
      </c>
      <c r="FP334" s="21">
        <f t="shared" si="2078"/>
        <v>0</v>
      </c>
      <c r="FQ334" s="21">
        <f t="shared" si="2078"/>
        <v>0</v>
      </c>
      <c r="FR334" s="21">
        <f t="shared" si="2078"/>
        <v>0</v>
      </c>
      <c r="FS334" s="21">
        <f t="shared" si="2078"/>
        <v>0</v>
      </c>
      <c r="FT334" s="21">
        <f t="shared" si="2078"/>
        <v>0</v>
      </c>
      <c r="FU334" s="21">
        <f t="shared" si="2078"/>
        <v>0</v>
      </c>
      <c r="FV334" s="21">
        <f t="shared" ref="FV334:GC334" si="2079">IF($F$290, 0, IF($E$297, IF(AND(COLUMN($FV$334)-COLUMN($DZ$327)=$Q$291,ROW($FV$334)-ROW($DZ$327)=$K$291), U$290, FV334), FV334))</f>
        <v>0</v>
      </c>
      <c r="FW334" s="21">
        <f t="shared" si="2079"/>
        <v>0</v>
      </c>
      <c r="FX334" s="21">
        <f t="shared" si="2079"/>
        <v>0</v>
      </c>
      <c r="FY334" s="21">
        <f t="shared" si="2079"/>
        <v>0</v>
      </c>
      <c r="FZ334" s="21">
        <f t="shared" si="2079"/>
        <v>0</v>
      </c>
      <c r="GA334" s="21">
        <f t="shared" si="2079"/>
        <v>0</v>
      </c>
      <c r="GB334" s="21">
        <f t="shared" si="2079"/>
        <v>0</v>
      </c>
      <c r="GC334" s="21">
        <f t="shared" si="2079"/>
        <v>0</v>
      </c>
      <c r="GD334" s="21">
        <f t="shared" ref="GD334:GK334" si="2080">IF($F$290, 0, IF($E$297, IF(AND(COLUMN($GD$334)-COLUMN($DZ$327)=$Q$291,ROW($GD$334)-ROW($DZ$327)=$K$291), U$290, GD334), GD334))</f>
        <v>0</v>
      </c>
      <c r="GE334" s="21">
        <f t="shared" si="2080"/>
        <v>0</v>
      </c>
      <c r="GF334" s="21">
        <f t="shared" si="2080"/>
        <v>0</v>
      </c>
      <c r="GG334" s="21">
        <f t="shared" si="2080"/>
        <v>0</v>
      </c>
      <c r="GH334" s="21">
        <f t="shared" si="2080"/>
        <v>0</v>
      </c>
      <c r="GI334" s="21">
        <f t="shared" si="2080"/>
        <v>0</v>
      </c>
      <c r="GJ334" s="21">
        <f t="shared" si="2080"/>
        <v>0</v>
      </c>
      <c r="GK334" s="21">
        <f t="shared" si="2080"/>
        <v>0</v>
      </c>
      <c r="GL334" s="21">
        <f t="shared" ref="GL334:GS334" si="2081">IF($F$290, 0, IF($F$297, IF(AND(COLUMN($GL$334)-COLUMN($GL$327)=$Q$291,ROW($GL$334)-ROW($GL$327)=$K$291), U$290, GL334), GL334))</f>
        <v>0</v>
      </c>
      <c r="GM334" s="21">
        <f t="shared" si="2081"/>
        <v>0</v>
      </c>
      <c r="GN334" s="21">
        <f t="shared" si="2081"/>
        <v>0</v>
      </c>
      <c r="GO334" s="21">
        <f t="shared" si="2081"/>
        <v>0</v>
      </c>
      <c r="GP334" s="21">
        <f t="shared" si="2081"/>
        <v>0</v>
      </c>
      <c r="GQ334" s="21">
        <f t="shared" si="2081"/>
        <v>0</v>
      </c>
      <c r="GR334" s="21">
        <f t="shared" si="2081"/>
        <v>0</v>
      </c>
      <c r="GS334" s="21">
        <f t="shared" si="2081"/>
        <v>0</v>
      </c>
      <c r="GT334" s="21">
        <f t="shared" ref="GT334:HA334" si="2082">IF($F$290, 0, IF($F$297, IF(AND(COLUMN($GT$334)-COLUMN($GL$327)=$Q$291,ROW($GT$334)-ROW($GL$327)=$K$291), U$290, GT334), GT334))</f>
        <v>0</v>
      </c>
      <c r="GU334" s="21">
        <f t="shared" si="2082"/>
        <v>0</v>
      </c>
      <c r="GV334" s="21">
        <f t="shared" si="2082"/>
        <v>0</v>
      </c>
      <c r="GW334" s="21">
        <f t="shared" si="2082"/>
        <v>0</v>
      </c>
      <c r="GX334" s="21">
        <f t="shared" si="2082"/>
        <v>0</v>
      </c>
      <c r="GY334" s="21">
        <f t="shared" si="2082"/>
        <v>0</v>
      </c>
      <c r="GZ334" s="21">
        <f t="shared" si="2082"/>
        <v>0</v>
      </c>
      <c r="HA334" s="21">
        <f t="shared" si="2082"/>
        <v>0</v>
      </c>
      <c r="HB334" s="21">
        <f t="shared" ref="HB334:HI334" si="2083">IF($F$290, 0, IF($F$297, IF(AND(COLUMN($HB$334)-COLUMN($GL$327)=$Q$291,ROW($HB$334)-ROW($GL$327)=$K$291), U$290, HB334), HB334))</f>
        <v>0</v>
      </c>
      <c r="HC334" s="21">
        <f t="shared" si="2083"/>
        <v>0</v>
      </c>
      <c r="HD334" s="21">
        <f t="shared" si="2083"/>
        <v>0</v>
      </c>
      <c r="HE334" s="21">
        <f t="shared" si="2083"/>
        <v>0</v>
      </c>
      <c r="HF334" s="21">
        <f t="shared" si="2083"/>
        <v>0</v>
      </c>
      <c r="HG334" s="21">
        <f t="shared" si="2083"/>
        <v>0</v>
      </c>
      <c r="HH334" s="21">
        <f t="shared" si="2083"/>
        <v>0</v>
      </c>
      <c r="HI334" s="21">
        <f t="shared" si="2083"/>
        <v>0</v>
      </c>
      <c r="HJ334" s="21">
        <f t="shared" ref="HJ334:HQ334" si="2084">IF($F$290, 0, IF($F$297, IF(AND(COLUMN($HJ$334)-COLUMN($GL$327)=$Q$291,ROW($HJ$334)-ROW($GL$327)=$K$291), U$290, HJ334), HJ334))</f>
        <v>0</v>
      </c>
      <c r="HK334" s="21">
        <f t="shared" si="2084"/>
        <v>0</v>
      </c>
      <c r="HL334" s="21">
        <f t="shared" si="2084"/>
        <v>0</v>
      </c>
      <c r="HM334" s="21">
        <f t="shared" si="2084"/>
        <v>0</v>
      </c>
      <c r="HN334" s="21">
        <f t="shared" si="2084"/>
        <v>0</v>
      </c>
      <c r="HO334" s="21">
        <f t="shared" si="2084"/>
        <v>0</v>
      </c>
      <c r="HP334" s="21">
        <f t="shared" si="2084"/>
        <v>0</v>
      </c>
      <c r="HQ334" s="21">
        <f t="shared" si="2084"/>
        <v>0</v>
      </c>
      <c r="HR334" s="21">
        <f t="shared" ref="HR334:HY334" si="2085">IF($F$290, 0, IF($F$297, IF(AND(COLUMN($HR$334)-COLUMN($GL$327)=$Q$291,ROW($HR$334)-ROW($GL$327)=$K$291), U$290, HR334), HR334))</f>
        <v>0</v>
      </c>
      <c r="HS334" s="21">
        <f t="shared" si="2085"/>
        <v>0</v>
      </c>
      <c r="HT334" s="21">
        <f t="shared" si="2085"/>
        <v>0</v>
      </c>
      <c r="HU334" s="21">
        <f t="shared" si="2085"/>
        <v>0</v>
      </c>
      <c r="HV334" s="21">
        <f t="shared" si="2085"/>
        <v>0</v>
      </c>
      <c r="HW334" s="21">
        <f t="shared" si="2085"/>
        <v>0</v>
      </c>
      <c r="HX334" s="21">
        <f t="shared" si="2085"/>
        <v>0</v>
      </c>
      <c r="HY334" s="21">
        <f t="shared" si="2085"/>
        <v>0</v>
      </c>
      <c r="HZ334" s="21">
        <f t="shared" ref="HZ334:IG334" si="2086">IF($F$290, 0, IF($F$297, IF(AND(COLUMN($HZ$334)-COLUMN($GL$327)=$Q$291,ROW($HZ$334)-ROW($GL$327)=$K$291), U$290, HZ334), HZ334))</f>
        <v>0</v>
      </c>
      <c r="IA334" s="21">
        <f t="shared" si="2086"/>
        <v>0</v>
      </c>
      <c r="IB334" s="21">
        <f t="shared" si="2086"/>
        <v>0</v>
      </c>
      <c r="IC334" s="21">
        <f t="shared" si="2086"/>
        <v>0</v>
      </c>
      <c r="ID334" s="21">
        <f t="shared" si="2086"/>
        <v>0</v>
      </c>
      <c r="IE334" s="21">
        <f t="shared" si="2086"/>
        <v>0</v>
      </c>
      <c r="IF334" s="21">
        <f t="shared" si="2086"/>
        <v>0</v>
      </c>
      <c r="IG334" s="21">
        <f t="shared" si="2086"/>
        <v>0</v>
      </c>
      <c r="IH334" s="21">
        <f t="shared" ref="IH334:IO334" si="2087">IF($F$290, 0, IF($F$297, IF(AND(COLUMN($IH$334)-COLUMN($GL$327)=$Q$291,ROW($IH$334)-ROW($GL$327)=$K$291), U$290, IH334), IH334))</f>
        <v>0</v>
      </c>
      <c r="II334" s="21">
        <f t="shared" si="2087"/>
        <v>0</v>
      </c>
      <c r="IJ334" s="21">
        <f t="shared" si="2087"/>
        <v>0</v>
      </c>
      <c r="IK334" s="21">
        <f t="shared" si="2087"/>
        <v>0</v>
      </c>
      <c r="IL334" s="21">
        <f t="shared" si="2087"/>
        <v>0</v>
      </c>
      <c r="IM334" s="21">
        <f t="shared" si="2087"/>
        <v>0</v>
      </c>
      <c r="IN334" s="21">
        <f t="shared" si="2087"/>
        <v>0</v>
      </c>
      <c r="IO334" s="21">
        <f t="shared" si="2087"/>
        <v>0</v>
      </c>
      <c r="IP334" s="21">
        <f t="shared" ref="IP334:IW334" si="2088">IF($F$290, 0, IF($F$297, IF(AND(COLUMN($IP$334)-COLUMN($GL$327)=$Q$291,ROW($IP$334)-ROW($GL$327)=$K$291), U$290, IP334), IP334))</f>
        <v>0</v>
      </c>
      <c r="IQ334" s="21">
        <f t="shared" si="2088"/>
        <v>0</v>
      </c>
      <c r="IR334" s="21">
        <f t="shared" si="2088"/>
        <v>0</v>
      </c>
      <c r="IS334" s="21">
        <f t="shared" si="2088"/>
        <v>0</v>
      </c>
      <c r="IT334" s="21">
        <f t="shared" si="2088"/>
        <v>0</v>
      </c>
      <c r="IU334" s="21">
        <f t="shared" si="2088"/>
        <v>0</v>
      </c>
      <c r="IV334" s="21">
        <f t="shared" si="2088"/>
        <v>0</v>
      </c>
      <c r="IW334" s="21">
        <f t="shared" si="2088"/>
        <v>0</v>
      </c>
      <c r="IX334" s="21">
        <f t="shared" ref="IX334:JE334" si="2089">IF($F$290, 0, IF($G$297, IF(AND(COLUMN($IX$334)-COLUMN($IX$327)=$Q$291,ROW($IX$334)-ROW($IX$327)=$K$291), U$290, IX334), IX334))</f>
        <v>0</v>
      </c>
      <c r="IY334" s="21">
        <f t="shared" si="2089"/>
        <v>0</v>
      </c>
      <c r="IZ334" s="21">
        <f t="shared" si="2089"/>
        <v>0</v>
      </c>
      <c r="JA334" s="21">
        <f t="shared" si="2089"/>
        <v>0</v>
      </c>
      <c r="JB334" s="21">
        <f t="shared" si="2089"/>
        <v>0</v>
      </c>
      <c r="JC334" s="21">
        <f t="shared" si="2089"/>
        <v>0</v>
      </c>
      <c r="JD334" s="21">
        <f t="shared" si="2089"/>
        <v>0</v>
      </c>
      <c r="JE334" s="21">
        <f t="shared" si="2089"/>
        <v>0</v>
      </c>
      <c r="JF334" s="21">
        <f t="shared" ref="JF334:JM334" si="2090">IF($F$290, 0, IF($G$297, IF(AND(COLUMN($JF$334)-COLUMN($IX$327)=$Q$291,ROW($JF$334)-ROW($IX$327)=$K$291), U$290, JF334), JF334))</f>
        <v>0</v>
      </c>
      <c r="JG334" s="21">
        <f t="shared" si="2090"/>
        <v>0</v>
      </c>
      <c r="JH334" s="21">
        <f t="shared" si="2090"/>
        <v>0</v>
      </c>
      <c r="JI334" s="21">
        <f t="shared" si="2090"/>
        <v>0</v>
      </c>
      <c r="JJ334" s="21">
        <f t="shared" si="2090"/>
        <v>0</v>
      </c>
      <c r="JK334" s="21">
        <f t="shared" si="2090"/>
        <v>0</v>
      </c>
      <c r="JL334" s="21">
        <f t="shared" si="2090"/>
        <v>0</v>
      </c>
      <c r="JM334" s="21">
        <f t="shared" si="2090"/>
        <v>0</v>
      </c>
      <c r="JN334" s="21">
        <f t="shared" ref="JN334:JU334" si="2091">IF($F$290, 0, IF($G$297, IF(AND(COLUMN($JN$334)-COLUMN($IX$327)=$Q$291,ROW($JN$334)-ROW($IX$327)=$K$291), U$290, JN334), JN334))</f>
        <v>0</v>
      </c>
      <c r="JO334" s="21">
        <f t="shared" si="2091"/>
        <v>0</v>
      </c>
      <c r="JP334" s="21">
        <f t="shared" si="2091"/>
        <v>0</v>
      </c>
      <c r="JQ334" s="21">
        <f t="shared" si="2091"/>
        <v>0</v>
      </c>
      <c r="JR334" s="21">
        <f t="shared" si="2091"/>
        <v>0</v>
      </c>
      <c r="JS334" s="21">
        <f t="shared" si="2091"/>
        <v>0</v>
      </c>
      <c r="JT334" s="21">
        <f t="shared" si="2091"/>
        <v>0</v>
      </c>
      <c r="JU334" s="21">
        <f t="shared" si="2091"/>
        <v>0</v>
      </c>
      <c r="JV334" s="21">
        <f t="shared" ref="JV334:KC334" si="2092">IF($F$290, 0, IF($G$297, IF(AND(COLUMN($JV$334)-COLUMN($IX$327)=$Q$291,ROW($JV$334)-ROW($IX$327)=$K$291), U$290, JV334), JV334))</f>
        <v>0</v>
      </c>
      <c r="JW334" s="21">
        <f t="shared" si="2092"/>
        <v>0</v>
      </c>
      <c r="JX334" s="21">
        <f t="shared" si="2092"/>
        <v>0</v>
      </c>
      <c r="JY334" s="21">
        <f t="shared" si="2092"/>
        <v>0</v>
      </c>
      <c r="JZ334" s="21">
        <f t="shared" si="2092"/>
        <v>0</v>
      </c>
      <c r="KA334" s="21">
        <f t="shared" si="2092"/>
        <v>0</v>
      </c>
      <c r="KB334" s="21">
        <f t="shared" si="2092"/>
        <v>0</v>
      </c>
      <c r="KC334" s="21">
        <f t="shared" si="2092"/>
        <v>0</v>
      </c>
      <c r="KD334" s="21">
        <f t="shared" ref="KD334:KK334" si="2093">IF($F$290, 0, IF($G$297, IF(AND(COLUMN($KD$334)-COLUMN($IX$327)=$Q$291,ROW($KD$334)-ROW($IX$327)=$K$291), U$290, KD334), KD334))</f>
        <v>0</v>
      </c>
      <c r="KE334" s="21">
        <f t="shared" si="2093"/>
        <v>0</v>
      </c>
      <c r="KF334" s="21">
        <f t="shared" si="2093"/>
        <v>0</v>
      </c>
      <c r="KG334" s="21">
        <f t="shared" si="2093"/>
        <v>0</v>
      </c>
      <c r="KH334" s="21">
        <f t="shared" si="2093"/>
        <v>0</v>
      </c>
      <c r="KI334" s="21">
        <f t="shared" si="2093"/>
        <v>0</v>
      </c>
      <c r="KJ334" s="21">
        <f t="shared" si="2093"/>
        <v>0</v>
      </c>
      <c r="KK334" s="21">
        <f t="shared" si="2093"/>
        <v>0</v>
      </c>
      <c r="KL334" s="21">
        <f t="shared" ref="KL334:KS334" si="2094">IF($F$290, 0, IF($G$297, IF(AND(COLUMN($KL$334)-COLUMN($IX$327)=$Q$291,ROW($KL$334)-ROW($IX$327)=$K$291), U$290, KL334), KL334))</f>
        <v>0</v>
      </c>
      <c r="KM334" s="21">
        <f t="shared" si="2094"/>
        <v>0</v>
      </c>
      <c r="KN334" s="21">
        <f t="shared" si="2094"/>
        <v>0</v>
      </c>
      <c r="KO334" s="21">
        <f t="shared" si="2094"/>
        <v>0</v>
      </c>
      <c r="KP334" s="21">
        <f t="shared" si="2094"/>
        <v>0</v>
      </c>
      <c r="KQ334" s="21">
        <f t="shared" si="2094"/>
        <v>0</v>
      </c>
      <c r="KR334" s="21">
        <f t="shared" si="2094"/>
        <v>0</v>
      </c>
      <c r="KS334" s="21">
        <f t="shared" si="2094"/>
        <v>0</v>
      </c>
      <c r="KT334" s="21">
        <f t="shared" ref="KT334:LA334" si="2095">IF($F$290, 0, IF($G$297, IF(AND(COLUMN($KT$334)-COLUMN($IX$327)=$Q$291,ROW($KT$334)-ROW($IX$327)=$K$291), U$290, KT334), KT334))</f>
        <v>0</v>
      </c>
      <c r="KU334" s="21">
        <f t="shared" si="2095"/>
        <v>0</v>
      </c>
      <c r="KV334" s="21">
        <f t="shared" si="2095"/>
        <v>0</v>
      </c>
      <c r="KW334" s="21">
        <f t="shared" si="2095"/>
        <v>0</v>
      </c>
      <c r="KX334" s="21">
        <f t="shared" si="2095"/>
        <v>0</v>
      </c>
      <c r="KY334" s="21">
        <f t="shared" si="2095"/>
        <v>0</v>
      </c>
      <c r="KZ334" s="21">
        <f t="shared" si="2095"/>
        <v>0</v>
      </c>
      <c r="LA334" s="21">
        <f t="shared" si="2095"/>
        <v>0</v>
      </c>
      <c r="LB334" s="21">
        <f t="shared" ref="LB334:LI334" si="2096">IF($F$290, 0, IF($G$297, IF(AND(COLUMN($LB$334)-COLUMN($IX$327)=$Q$291,ROW($LB$334)-ROW($IX$327)=$K$291), U$290, LB334), LB334))</f>
        <v>0</v>
      </c>
      <c r="LC334" s="21">
        <f t="shared" si="2096"/>
        <v>0</v>
      </c>
      <c r="LD334" s="21">
        <f t="shared" si="2096"/>
        <v>0</v>
      </c>
      <c r="LE334" s="21">
        <f t="shared" si="2096"/>
        <v>0</v>
      </c>
      <c r="LF334" s="21">
        <f t="shared" si="2096"/>
        <v>0</v>
      </c>
      <c r="LG334" s="21">
        <f t="shared" si="2096"/>
        <v>0</v>
      </c>
      <c r="LH334" s="21">
        <f t="shared" si="2096"/>
        <v>0</v>
      </c>
      <c r="LI334" s="21">
        <f t="shared" si="2096"/>
        <v>0</v>
      </c>
      <c r="LJ334" s="21">
        <f t="shared" ref="LJ334:LQ334" si="2097">IF($F$290, 0, IF($H$297, IF(AND(COLUMN($LJ$334)-COLUMN($LJ$327)=$Q$291,ROW($LJ$334)-ROW($LJ$327)=$K$291), U$290, LJ334), LJ334))</f>
        <v>0</v>
      </c>
      <c r="LK334" s="21">
        <f t="shared" si="2097"/>
        <v>0</v>
      </c>
      <c r="LL334" s="21">
        <f t="shared" si="2097"/>
        <v>0</v>
      </c>
      <c r="LM334" s="21">
        <f t="shared" si="2097"/>
        <v>0</v>
      </c>
      <c r="LN334" s="21">
        <f t="shared" si="2097"/>
        <v>0</v>
      </c>
      <c r="LO334" s="21">
        <f t="shared" si="2097"/>
        <v>0</v>
      </c>
      <c r="LP334" s="21">
        <f t="shared" si="2097"/>
        <v>0</v>
      </c>
      <c r="LQ334" s="21">
        <f t="shared" si="2097"/>
        <v>0</v>
      </c>
      <c r="LR334" s="21">
        <f t="shared" ref="LR334:LY334" si="2098">IF($F$290, 0, IF($H$297, IF(AND(COLUMN($LR$334)-COLUMN($LJ$327)=$Q$291,ROW($LR$334)-ROW($LJ$327)=$K$291), U$290, LR334), LR334))</f>
        <v>0</v>
      </c>
      <c r="LS334" s="21">
        <f t="shared" si="2098"/>
        <v>0</v>
      </c>
      <c r="LT334" s="21">
        <f t="shared" si="2098"/>
        <v>0</v>
      </c>
      <c r="LU334" s="21">
        <f t="shared" si="2098"/>
        <v>0</v>
      </c>
      <c r="LV334" s="21">
        <f t="shared" si="2098"/>
        <v>0</v>
      </c>
      <c r="LW334" s="21">
        <f t="shared" si="2098"/>
        <v>0</v>
      </c>
      <c r="LX334" s="21">
        <f t="shared" si="2098"/>
        <v>0</v>
      </c>
      <c r="LY334" s="21">
        <f t="shared" si="2098"/>
        <v>0</v>
      </c>
      <c r="LZ334" s="21">
        <f t="shared" ref="LZ334:MG334" si="2099">IF($F$290, 0, IF($H$297, IF(AND(COLUMN($LZ$334)-COLUMN($LJ$327)=$Q$291,ROW($LZ$334)-ROW($LJ$327)=$K$291), U$290, LZ334), LZ334))</f>
        <v>0</v>
      </c>
      <c r="MA334" s="21">
        <f t="shared" si="2099"/>
        <v>0</v>
      </c>
      <c r="MB334" s="21">
        <f t="shared" si="2099"/>
        <v>0</v>
      </c>
      <c r="MC334" s="21">
        <f t="shared" si="2099"/>
        <v>0</v>
      </c>
      <c r="MD334" s="21">
        <f t="shared" si="2099"/>
        <v>0</v>
      </c>
      <c r="ME334" s="21">
        <f t="shared" si="2099"/>
        <v>0</v>
      </c>
      <c r="MF334" s="21">
        <f t="shared" si="2099"/>
        <v>0</v>
      </c>
      <c r="MG334" s="21">
        <f t="shared" si="2099"/>
        <v>0</v>
      </c>
      <c r="MH334" s="21">
        <f t="shared" ref="MH334:MO334" si="2100">IF($F$290, 0, IF($H$297, IF(AND(COLUMN($MH$334)-COLUMN($LJ$327)=$Q$291,ROW($MH$334)-ROW($LJ$327)=$K$291), U$290, MH334), MH334))</f>
        <v>0</v>
      </c>
      <c r="MI334" s="21">
        <f t="shared" si="2100"/>
        <v>0</v>
      </c>
      <c r="MJ334" s="21">
        <f t="shared" si="2100"/>
        <v>0</v>
      </c>
      <c r="MK334" s="21">
        <f t="shared" si="2100"/>
        <v>0</v>
      </c>
      <c r="ML334" s="21">
        <f t="shared" si="2100"/>
        <v>0</v>
      </c>
      <c r="MM334" s="21">
        <f t="shared" si="2100"/>
        <v>0</v>
      </c>
      <c r="MN334" s="21">
        <f t="shared" si="2100"/>
        <v>0</v>
      </c>
      <c r="MO334" s="21">
        <f t="shared" si="2100"/>
        <v>0</v>
      </c>
      <c r="MP334" s="21">
        <f t="shared" ref="MP334:MW334" si="2101">IF($F$290, 0, IF($H$297, IF(AND(COLUMN($MP$334)-COLUMN($LJ$327)=$Q$291,ROW($MP$334)-ROW($LJ$327)=$K$291), U$290, MP334), MP334))</f>
        <v>0</v>
      </c>
      <c r="MQ334" s="21">
        <f t="shared" si="2101"/>
        <v>0</v>
      </c>
      <c r="MR334" s="21">
        <f t="shared" si="2101"/>
        <v>0</v>
      </c>
      <c r="MS334" s="21">
        <f t="shared" si="2101"/>
        <v>0</v>
      </c>
      <c r="MT334" s="21">
        <f t="shared" si="2101"/>
        <v>0</v>
      </c>
      <c r="MU334" s="21">
        <f t="shared" si="2101"/>
        <v>0</v>
      </c>
      <c r="MV334" s="21">
        <f t="shared" si="2101"/>
        <v>0</v>
      </c>
      <c r="MW334" s="21">
        <f t="shared" si="2101"/>
        <v>0</v>
      </c>
      <c r="MX334" s="21">
        <f t="shared" ref="MX334:NE334" si="2102">IF($F$290, 0, IF($H$297, IF(AND(COLUMN($MX$334)-COLUMN($LJ$327)=$Q$291,ROW($MX$334)-ROW($LJ$327)=$K$291), U$290, MX334), MX334))</f>
        <v>0</v>
      </c>
      <c r="MY334" s="21">
        <f t="shared" si="2102"/>
        <v>0</v>
      </c>
      <c r="MZ334" s="21">
        <f t="shared" si="2102"/>
        <v>0</v>
      </c>
      <c r="NA334" s="21">
        <f t="shared" si="2102"/>
        <v>0</v>
      </c>
      <c r="NB334" s="21">
        <f t="shared" si="2102"/>
        <v>0</v>
      </c>
      <c r="NC334" s="21">
        <f t="shared" si="2102"/>
        <v>0</v>
      </c>
      <c r="ND334" s="21">
        <f t="shared" si="2102"/>
        <v>0</v>
      </c>
      <c r="NE334" s="21">
        <f t="shared" si="2102"/>
        <v>0</v>
      </c>
      <c r="NF334" s="21">
        <f t="shared" ref="NF334:NM334" si="2103">IF($F$290, 0, IF($H$297, IF(AND(COLUMN($NF$334)-COLUMN($LJ$327)=$Q$291,ROW($NF$334)-ROW($LJ$327)=$K$291), U$290, NF334), NF334))</f>
        <v>0</v>
      </c>
      <c r="NG334" s="21">
        <f t="shared" si="2103"/>
        <v>0</v>
      </c>
      <c r="NH334" s="21">
        <f t="shared" si="2103"/>
        <v>0</v>
      </c>
      <c r="NI334" s="21">
        <f t="shared" si="2103"/>
        <v>0</v>
      </c>
      <c r="NJ334" s="21">
        <f t="shared" si="2103"/>
        <v>0</v>
      </c>
      <c r="NK334" s="21">
        <f t="shared" si="2103"/>
        <v>0</v>
      </c>
      <c r="NL334" s="21">
        <f t="shared" si="2103"/>
        <v>0</v>
      </c>
      <c r="NM334" s="21">
        <f t="shared" si="2103"/>
        <v>0</v>
      </c>
      <c r="NN334" s="21">
        <f t="shared" ref="NN334:NU334" si="2104">IF($F$290, 0, IF($H$297, IF(AND(COLUMN($NN$334)-COLUMN($LJ$327)=$Q$291,ROW($NN$334)-ROW($LJ$327)=$K$291), U$290, NN334), NN334))</f>
        <v>0</v>
      </c>
      <c r="NO334" s="21">
        <f t="shared" si="2104"/>
        <v>0</v>
      </c>
      <c r="NP334" s="21">
        <f t="shared" si="2104"/>
        <v>0</v>
      </c>
      <c r="NQ334" s="21">
        <f t="shared" si="2104"/>
        <v>0</v>
      </c>
      <c r="NR334" s="21">
        <f t="shared" si="2104"/>
        <v>0</v>
      </c>
      <c r="NS334" s="21">
        <f t="shared" si="2104"/>
        <v>0</v>
      </c>
      <c r="NT334" s="21">
        <f t="shared" si="2104"/>
        <v>0</v>
      </c>
      <c r="NU334" s="21">
        <f t="shared" si="2104"/>
        <v>0</v>
      </c>
      <c r="NV334" s="21">
        <f t="shared" ref="NV334:OC334" si="2105">IF($F$290, 0, IF($I$297, IF(AND(COLUMN($NV$334)-COLUMN($NV$327)=$Q$291,ROW($NV$334)-ROW($NV$327)=$K$291), U$290, NV334), NV334))</f>
        <v>0</v>
      </c>
      <c r="NW334" s="21">
        <f t="shared" si="2105"/>
        <v>0</v>
      </c>
      <c r="NX334" s="21">
        <f t="shared" si="2105"/>
        <v>0</v>
      </c>
      <c r="NY334" s="21">
        <f t="shared" si="2105"/>
        <v>0</v>
      </c>
      <c r="NZ334" s="21">
        <f t="shared" si="2105"/>
        <v>0</v>
      </c>
      <c r="OA334" s="21">
        <f t="shared" si="2105"/>
        <v>0</v>
      </c>
      <c r="OB334" s="21">
        <f t="shared" si="2105"/>
        <v>0</v>
      </c>
      <c r="OC334" s="21">
        <f t="shared" si="2105"/>
        <v>0</v>
      </c>
      <c r="OD334" s="21">
        <f t="shared" ref="OD334:OK334" si="2106">IF($F$290, 0, IF($I$297, IF(AND(COLUMN($OD$334)-COLUMN($NV$327)=$Q$291,ROW($OD$334)-ROW($NV$327)=$K$291), U$290, OD334), OD334))</f>
        <v>0</v>
      </c>
      <c r="OE334" s="21">
        <f t="shared" si="2106"/>
        <v>0</v>
      </c>
      <c r="OF334" s="21">
        <f t="shared" si="2106"/>
        <v>0</v>
      </c>
      <c r="OG334" s="21">
        <f t="shared" si="2106"/>
        <v>0</v>
      </c>
      <c r="OH334" s="21">
        <f t="shared" si="2106"/>
        <v>0</v>
      </c>
      <c r="OI334" s="21">
        <f t="shared" si="2106"/>
        <v>0</v>
      </c>
      <c r="OJ334" s="21">
        <f t="shared" si="2106"/>
        <v>0</v>
      </c>
      <c r="OK334" s="21">
        <f t="shared" si="2106"/>
        <v>0</v>
      </c>
      <c r="OL334" s="21">
        <f t="shared" ref="OL334:OS334" si="2107">IF($F$290, 0, IF($I$297, IF(AND(COLUMN($OL$334)-COLUMN($NV$327)=$Q$291,ROW($OL$334)-ROW($NV$327)=$K$291), U$290, OL334), OL334))</f>
        <v>0</v>
      </c>
      <c r="OM334" s="21">
        <f t="shared" si="2107"/>
        <v>0</v>
      </c>
      <c r="ON334" s="21">
        <f t="shared" si="2107"/>
        <v>0</v>
      </c>
      <c r="OO334" s="21">
        <f t="shared" si="2107"/>
        <v>0</v>
      </c>
      <c r="OP334" s="21">
        <f t="shared" si="2107"/>
        <v>0</v>
      </c>
      <c r="OQ334" s="21">
        <f t="shared" si="2107"/>
        <v>0</v>
      </c>
      <c r="OR334" s="21">
        <f t="shared" si="2107"/>
        <v>0</v>
      </c>
      <c r="OS334" s="21">
        <f t="shared" si="2107"/>
        <v>0</v>
      </c>
      <c r="OT334" s="21">
        <f t="shared" ref="OT334:PA334" si="2108">IF($F$290, 0, IF($I$297, IF(AND(COLUMN($OT$334)-COLUMN($NV$327)=$Q$291,ROW($OT$334)-ROW($NV$327)=$K$291), U$290, OT334), OT334))</f>
        <v>0</v>
      </c>
      <c r="OU334" s="21">
        <f t="shared" si="2108"/>
        <v>0</v>
      </c>
      <c r="OV334" s="21">
        <f t="shared" si="2108"/>
        <v>0</v>
      </c>
      <c r="OW334" s="21">
        <f t="shared" si="2108"/>
        <v>0</v>
      </c>
      <c r="OX334" s="21">
        <f t="shared" si="2108"/>
        <v>0</v>
      </c>
      <c r="OY334" s="21">
        <f t="shared" si="2108"/>
        <v>0</v>
      </c>
      <c r="OZ334" s="21">
        <f t="shared" si="2108"/>
        <v>0</v>
      </c>
      <c r="PA334" s="21">
        <f t="shared" si="2108"/>
        <v>0</v>
      </c>
      <c r="PB334" s="21">
        <f t="shared" ref="PB334:PI334" si="2109">IF($F$290, 0, IF($I$297, IF(AND(COLUMN($PB$334)-COLUMN($NV$327)=$Q$291,ROW($PB$334)-ROW($NV$327)=$K$291), U$290, PB334), PB334))</f>
        <v>0</v>
      </c>
      <c r="PC334" s="21">
        <f t="shared" si="2109"/>
        <v>0</v>
      </c>
      <c r="PD334" s="21">
        <f t="shared" si="2109"/>
        <v>0</v>
      </c>
      <c r="PE334" s="21">
        <f t="shared" si="2109"/>
        <v>0</v>
      </c>
      <c r="PF334" s="21">
        <f t="shared" si="2109"/>
        <v>0</v>
      </c>
      <c r="PG334" s="21">
        <f t="shared" si="2109"/>
        <v>0</v>
      </c>
      <c r="PH334" s="21">
        <f t="shared" si="2109"/>
        <v>0</v>
      </c>
      <c r="PI334" s="21">
        <f t="shared" si="2109"/>
        <v>0</v>
      </c>
      <c r="PJ334" s="21">
        <f t="shared" ref="PJ334:PQ334" si="2110">IF($F$290, 0, IF($I$297, IF(AND(COLUMN($PJ$334)-COLUMN($NV$327)=$Q$291,ROW($PJ$334)-ROW($NV$327)=$K$291), U$290, PJ334), PJ334))</f>
        <v>0</v>
      </c>
      <c r="PK334" s="21">
        <f t="shared" si="2110"/>
        <v>0</v>
      </c>
      <c r="PL334" s="21">
        <f t="shared" si="2110"/>
        <v>0</v>
      </c>
      <c r="PM334" s="21">
        <f t="shared" si="2110"/>
        <v>0</v>
      </c>
      <c r="PN334" s="21">
        <f t="shared" si="2110"/>
        <v>0</v>
      </c>
      <c r="PO334" s="21">
        <f t="shared" si="2110"/>
        <v>0</v>
      </c>
      <c r="PP334" s="21">
        <f t="shared" si="2110"/>
        <v>0</v>
      </c>
      <c r="PQ334" s="21">
        <f t="shared" si="2110"/>
        <v>0</v>
      </c>
      <c r="PR334" s="21">
        <f t="shared" ref="PR334:PY334" si="2111">IF($F$290, 0, IF($I$297, IF(AND(COLUMN($PR$334)-COLUMN($NV$327)=$Q$291,ROW($PR$334)-ROW($NV$327)=$K$291), U$290, PR334), PR334))</f>
        <v>0</v>
      </c>
      <c r="PS334" s="21">
        <f t="shared" si="2111"/>
        <v>0</v>
      </c>
      <c r="PT334" s="21">
        <f t="shared" si="2111"/>
        <v>0</v>
      </c>
      <c r="PU334" s="21">
        <f t="shared" si="2111"/>
        <v>0</v>
      </c>
      <c r="PV334" s="21">
        <f t="shared" si="2111"/>
        <v>0</v>
      </c>
      <c r="PW334" s="21">
        <f t="shared" si="2111"/>
        <v>0</v>
      </c>
      <c r="PX334" s="21">
        <f t="shared" si="2111"/>
        <v>0</v>
      </c>
      <c r="PY334" s="21">
        <f t="shared" si="2111"/>
        <v>0</v>
      </c>
      <c r="PZ334" s="21">
        <f t="shared" ref="PZ334:QG334" si="2112">IF($F$290, 0, IF($I$297, IF(AND(COLUMN($PZ$334)-COLUMN($NV$327)=$Q$291,ROW($PZ$334)-ROW($NV$327)=$K$291), U$290, PZ334), PZ334))</f>
        <v>0</v>
      </c>
      <c r="QA334" s="21">
        <f t="shared" si="2112"/>
        <v>0</v>
      </c>
      <c r="QB334" s="21">
        <f t="shared" si="2112"/>
        <v>0</v>
      </c>
      <c r="QC334" s="21">
        <f t="shared" si="2112"/>
        <v>0</v>
      </c>
      <c r="QD334" s="21">
        <f t="shared" si="2112"/>
        <v>0</v>
      </c>
      <c r="QE334" s="21">
        <f t="shared" si="2112"/>
        <v>0</v>
      </c>
      <c r="QF334" s="21">
        <f t="shared" si="2112"/>
        <v>0</v>
      </c>
      <c r="QG334" s="21">
        <f t="shared" si="2112"/>
        <v>0</v>
      </c>
      <c r="QH334" s="21">
        <f t="shared" ref="QH334:QO334" si="2113">IF($F$290, 0, IF($J$297, IF(AND(COLUMN($QH$334)-COLUMN($QH$327)=$Q$291,ROW($QH$334)-ROW($QH$327)=$K$291), U$290, QH334), QH334))</f>
        <v>0</v>
      </c>
      <c r="QI334" s="21">
        <f t="shared" si="2113"/>
        <v>0</v>
      </c>
      <c r="QJ334" s="21">
        <f t="shared" si="2113"/>
        <v>0</v>
      </c>
      <c r="QK334" s="21">
        <f t="shared" si="2113"/>
        <v>0</v>
      </c>
      <c r="QL334" s="21">
        <f t="shared" si="2113"/>
        <v>0</v>
      </c>
      <c r="QM334" s="21">
        <f t="shared" si="2113"/>
        <v>0</v>
      </c>
      <c r="QN334" s="21">
        <f t="shared" si="2113"/>
        <v>0</v>
      </c>
      <c r="QO334" s="21">
        <f t="shared" si="2113"/>
        <v>0</v>
      </c>
      <c r="QP334" s="21">
        <f t="shared" ref="QP334:QW334" si="2114">IF($F$290, 0, IF($J$297, IF(AND(COLUMN($QP$334)-COLUMN($QH$327)=$Q$291,ROW($QP$334)-ROW($QH$327)=$K$291), U$290, QP334), QP334))</f>
        <v>0</v>
      </c>
      <c r="QQ334" s="21">
        <f t="shared" si="2114"/>
        <v>0</v>
      </c>
      <c r="QR334" s="21">
        <f t="shared" si="2114"/>
        <v>0</v>
      </c>
      <c r="QS334" s="21">
        <f t="shared" si="2114"/>
        <v>0</v>
      </c>
      <c r="QT334" s="21">
        <f t="shared" si="2114"/>
        <v>0</v>
      </c>
      <c r="QU334" s="21">
        <f t="shared" si="2114"/>
        <v>0</v>
      </c>
      <c r="QV334" s="21">
        <f t="shared" si="2114"/>
        <v>0</v>
      </c>
      <c r="QW334" s="21">
        <f t="shared" si="2114"/>
        <v>0</v>
      </c>
      <c r="QX334" s="21">
        <f t="shared" ref="QX334:RE334" si="2115">IF($F$290, 0, IF($J$297, IF(AND(COLUMN($QX$334)-COLUMN($QH$327)=$Q$291,ROW($QX$334)-ROW($QH$327)=$K$291), U$290, QX334), QX334))</f>
        <v>0</v>
      </c>
      <c r="QY334" s="21">
        <f t="shared" si="2115"/>
        <v>0</v>
      </c>
      <c r="QZ334" s="21">
        <f t="shared" si="2115"/>
        <v>0</v>
      </c>
      <c r="RA334" s="21">
        <f t="shared" si="2115"/>
        <v>0</v>
      </c>
      <c r="RB334" s="21">
        <f t="shared" si="2115"/>
        <v>0</v>
      </c>
      <c r="RC334" s="21">
        <f t="shared" si="2115"/>
        <v>0</v>
      </c>
      <c r="RD334" s="21">
        <f t="shared" si="2115"/>
        <v>0</v>
      </c>
      <c r="RE334" s="21">
        <f t="shared" si="2115"/>
        <v>0</v>
      </c>
      <c r="RF334" s="21">
        <f t="shared" ref="RF334:RM334" si="2116">IF($F$290, 0, IF($J$297, IF(AND(COLUMN($RF$334)-COLUMN($QH$327)=$Q$291,ROW($RF$334)-ROW($QH$327)=$K$291), U$290, RF334), RF334))</f>
        <v>0</v>
      </c>
      <c r="RG334" s="21">
        <f t="shared" si="2116"/>
        <v>0</v>
      </c>
      <c r="RH334" s="21">
        <f t="shared" si="2116"/>
        <v>0</v>
      </c>
      <c r="RI334" s="21">
        <f t="shared" si="2116"/>
        <v>0</v>
      </c>
      <c r="RJ334" s="21">
        <f t="shared" si="2116"/>
        <v>0</v>
      </c>
      <c r="RK334" s="21">
        <f t="shared" si="2116"/>
        <v>0</v>
      </c>
      <c r="RL334" s="21">
        <f t="shared" si="2116"/>
        <v>0</v>
      </c>
      <c r="RM334" s="21">
        <f t="shared" si="2116"/>
        <v>0</v>
      </c>
      <c r="RN334" s="21">
        <f t="shared" ref="RN334:RU334" si="2117">IF($F$290, 0, IF($J$297, IF(AND(COLUMN($RN$334)-COLUMN($QH$327)=$Q$291,ROW($RN$334)-ROW($QH$327)=$K$291), U$290, RN334), RN334))</f>
        <v>0</v>
      </c>
      <c r="RO334" s="21">
        <f t="shared" si="2117"/>
        <v>0</v>
      </c>
      <c r="RP334" s="21">
        <f t="shared" si="2117"/>
        <v>0</v>
      </c>
      <c r="RQ334" s="21">
        <f t="shared" si="2117"/>
        <v>0</v>
      </c>
      <c r="RR334" s="21">
        <f t="shared" si="2117"/>
        <v>0</v>
      </c>
      <c r="RS334" s="21">
        <f t="shared" si="2117"/>
        <v>0</v>
      </c>
      <c r="RT334" s="21">
        <f t="shared" si="2117"/>
        <v>0</v>
      </c>
      <c r="RU334" s="21">
        <f t="shared" si="2117"/>
        <v>0</v>
      </c>
      <c r="RV334" s="21">
        <f t="shared" ref="RV334:SC334" si="2118">IF($F$290, 0, IF($J$297, IF(AND(COLUMN($RV$334)-COLUMN($QH$327)=$Q$291,ROW($RV$334)-ROW($QH$327)=$K$291), U$290, RV334), RV334))</f>
        <v>0</v>
      </c>
      <c r="RW334" s="21">
        <f t="shared" si="2118"/>
        <v>0</v>
      </c>
      <c r="RX334" s="21">
        <f t="shared" si="2118"/>
        <v>0</v>
      </c>
      <c r="RY334" s="21">
        <f t="shared" si="2118"/>
        <v>0</v>
      </c>
      <c r="RZ334" s="21">
        <f t="shared" si="2118"/>
        <v>0</v>
      </c>
      <c r="SA334" s="21">
        <f t="shared" si="2118"/>
        <v>0</v>
      </c>
      <c r="SB334" s="21">
        <f t="shared" si="2118"/>
        <v>0</v>
      </c>
      <c r="SC334" s="21">
        <f t="shared" si="2118"/>
        <v>0</v>
      </c>
      <c r="SD334" s="21">
        <f t="shared" ref="SD334:SK334" si="2119">IF($F$290, 0, IF($J$297, IF(AND(COLUMN($SD$334)-COLUMN($QH$327)=$Q$291,ROW($SD$334)-ROW($QH$327)=$K$291), U$290, SD334), SD334))</f>
        <v>0</v>
      </c>
      <c r="SE334" s="21">
        <f t="shared" si="2119"/>
        <v>0</v>
      </c>
      <c r="SF334" s="21">
        <f t="shared" si="2119"/>
        <v>0</v>
      </c>
      <c r="SG334" s="21">
        <f t="shared" si="2119"/>
        <v>0</v>
      </c>
      <c r="SH334" s="21">
        <f t="shared" si="2119"/>
        <v>0</v>
      </c>
      <c r="SI334" s="21">
        <f t="shared" si="2119"/>
        <v>0</v>
      </c>
      <c r="SJ334" s="21">
        <f t="shared" si="2119"/>
        <v>0</v>
      </c>
      <c r="SK334" s="21">
        <f t="shared" si="2119"/>
        <v>0</v>
      </c>
      <c r="SL334" s="21">
        <f t="shared" ref="SL334:SS334" si="2120">IF($F$290, 0, IF($J$297, IF(AND(COLUMN($SL$334)-COLUMN($QH$327)=$Q$291,ROW($SL$334)-ROW($QH$327)=$K$291), U$290, SL334), SL334))</f>
        <v>0</v>
      </c>
      <c r="SM334" s="21">
        <f t="shared" si="2120"/>
        <v>0</v>
      </c>
      <c r="SN334" s="21">
        <f t="shared" si="2120"/>
        <v>0</v>
      </c>
      <c r="SO334" s="21">
        <f t="shared" si="2120"/>
        <v>0</v>
      </c>
      <c r="SP334" s="21">
        <f t="shared" si="2120"/>
        <v>0</v>
      </c>
      <c r="SQ334" s="21">
        <f t="shared" si="2120"/>
        <v>0</v>
      </c>
      <c r="SR334" s="21">
        <f t="shared" si="2120"/>
        <v>0</v>
      </c>
      <c r="SS334" s="21">
        <f t="shared" si="2120"/>
        <v>0</v>
      </c>
    </row>
    <row r="335" spans="2:513" ht="15" customHeight="1" x14ac:dyDescent="0.25">
      <c r="B335" s="21">
        <f t="shared" ref="B335:I335" si="2121">IF($F$290, 0, IF($C$298, IF(AND(COLUMN($B$335)-COLUMN($B$335)=$Q$291,ROW($B$335)-ROW($B$335)=$K$291), U$290, B335), B335))</f>
        <v>0</v>
      </c>
      <c r="C335" s="21">
        <f t="shared" si="2121"/>
        <v>0</v>
      </c>
      <c r="D335" s="21">
        <f t="shared" si="2121"/>
        <v>0</v>
      </c>
      <c r="E335" s="21">
        <f t="shared" si="2121"/>
        <v>0</v>
      </c>
      <c r="F335" s="21">
        <f t="shared" si="2121"/>
        <v>0</v>
      </c>
      <c r="G335" s="21">
        <f t="shared" si="2121"/>
        <v>0</v>
      </c>
      <c r="H335" s="21">
        <f t="shared" si="2121"/>
        <v>0</v>
      </c>
      <c r="I335" s="21">
        <f t="shared" si="2121"/>
        <v>0</v>
      </c>
      <c r="J335" s="21">
        <f t="shared" ref="J335:Q335" si="2122">IF($F$290, 0, IF($C$298, IF(AND(COLUMN($J$335)-COLUMN($B$335)=$Q$291,ROW($J$335)-ROW($B$335)=$K$291), U$290, J335), J335))</f>
        <v>0</v>
      </c>
      <c r="K335" s="21">
        <f t="shared" si="2122"/>
        <v>0</v>
      </c>
      <c r="L335" s="21">
        <f t="shared" si="2122"/>
        <v>0</v>
      </c>
      <c r="M335" s="21">
        <f t="shared" si="2122"/>
        <v>0</v>
      </c>
      <c r="N335" s="21">
        <f t="shared" si="2122"/>
        <v>0</v>
      </c>
      <c r="O335" s="21">
        <f t="shared" si="2122"/>
        <v>0</v>
      </c>
      <c r="P335" s="21">
        <f t="shared" si="2122"/>
        <v>0</v>
      </c>
      <c r="Q335" s="21">
        <f t="shared" si="2122"/>
        <v>0</v>
      </c>
      <c r="R335" s="21">
        <f>IF($F$290, 0, IF($C$298, IF(AND(COLUMN($R$335)-COLUMN($B$335)=$Q$291,ROW($R$335)-ROW($B$335)=$K$291), U$290, R335), R335))</f>
        <v>0</v>
      </c>
      <c r="S335" s="21">
        <f t="shared" ref="S335:Y335" si="2123">IF($F$290, 0, IF($C$298, IF(AND(COLUMN($R$335)-COLUMN($B$335)=$Q$291,ROW($R$335)-ROW($B$335)=$K$291), V$290, S335), S335))</f>
        <v>0</v>
      </c>
      <c r="T335" s="21">
        <f t="shared" si="2123"/>
        <v>0</v>
      </c>
      <c r="U335" s="21">
        <f t="shared" si="2123"/>
        <v>0</v>
      </c>
      <c r="V335" s="21">
        <f t="shared" si="2123"/>
        <v>0</v>
      </c>
      <c r="W335" s="21">
        <f t="shared" si="2123"/>
        <v>0</v>
      </c>
      <c r="X335" s="21">
        <f t="shared" si="2123"/>
        <v>0</v>
      </c>
      <c r="Y335" s="21">
        <f t="shared" si="2123"/>
        <v>0</v>
      </c>
      <c r="Z335" s="21">
        <f t="shared" ref="Z335:AG335" si="2124">IF($F$290, 0, IF($C$298, IF(AND(COLUMN($Z$335)-COLUMN($B$335)=$Q$291,ROW($Z$335)-ROW($B$335)=$K$291), U$290, Z335), Z335))</f>
        <v>0</v>
      </c>
      <c r="AA335" s="21">
        <f t="shared" si="2124"/>
        <v>0</v>
      </c>
      <c r="AB335" s="21">
        <f t="shared" si="2124"/>
        <v>0</v>
      </c>
      <c r="AC335" s="21">
        <f t="shared" si="2124"/>
        <v>0</v>
      </c>
      <c r="AD335" s="21">
        <f t="shared" si="2124"/>
        <v>0</v>
      </c>
      <c r="AE335" s="21">
        <f t="shared" si="2124"/>
        <v>0</v>
      </c>
      <c r="AF335" s="21">
        <f t="shared" si="2124"/>
        <v>0</v>
      </c>
      <c r="AG335" s="21">
        <f t="shared" si="2124"/>
        <v>0</v>
      </c>
      <c r="AH335" s="21">
        <f t="shared" ref="AH335:AO335" si="2125">IF($F$290, 0, IF($C$298, IF(AND(COLUMN($AH$335)-COLUMN($B$335)=$Q$291,ROW($AH$335)-ROW($B$335)=$K$291), U$290, AH335), AH335))</f>
        <v>0</v>
      </c>
      <c r="AI335" s="21">
        <f t="shared" si="2125"/>
        <v>0</v>
      </c>
      <c r="AJ335" s="21">
        <f t="shared" si="2125"/>
        <v>0</v>
      </c>
      <c r="AK335" s="21">
        <f t="shared" si="2125"/>
        <v>0</v>
      </c>
      <c r="AL335" s="21">
        <f t="shared" si="2125"/>
        <v>0</v>
      </c>
      <c r="AM335" s="21">
        <f t="shared" si="2125"/>
        <v>0</v>
      </c>
      <c r="AN335" s="21">
        <f t="shared" si="2125"/>
        <v>0</v>
      </c>
      <c r="AO335" s="21">
        <f t="shared" si="2125"/>
        <v>0</v>
      </c>
      <c r="AP335" s="21">
        <f t="shared" ref="AP335:AW335" si="2126">IF($F$290, 0, IF($C$298, IF(AND(COLUMN($AP$335)-COLUMN($B$335)=$Q$291,ROW($AP$335)-ROW($B$335)=$K$291), U$290, AP335), AP335))</f>
        <v>0</v>
      </c>
      <c r="AQ335" s="21">
        <f t="shared" si="2126"/>
        <v>0</v>
      </c>
      <c r="AR335" s="21">
        <f t="shared" si="2126"/>
        <v>0</v>
      </c>
      <c r="AS335" s="21">
        <f t="shared" si="2126"/>
        <v>0</v>
      </c>
      <c r="AT335" s="21">
        <f t="shared" si="2126"/>
        <v>0</v>
      </c>
      <c r="AU335" s="21">
        <f t="shared" si="2126"/>
        <v>0</v>
      </c>
      <c r="AV335" s="21">
        <f t="shared" si="2126"/>
        <v>0</v>
      </c>
      <c r="AW335" s="21">
        <f t="shared" si="2126"/>
        <v>0</v>
      </c>
      <c r="AX335" s="21">
        <f t="shared" ref="AX335:BE335" si="2127">IF($F$290, 0, IF($C$298, IF(AND(COLUMN($AX$335)-COLUMN($B$335)=$Q$291,ROW($AX$335)-ROW($B$335)=$K$291), U$290, AX335), AX335))</f>
        <v>0</v>
      </c>
      <c r="AY335" s="21">
        <f t="shared" si="2127"/>
        <v>0</v>
      </c>
      <c r="AZ335" s="21">
        <f t="shared" si="2127"/>
        <v>0</v>
      </c>
      <c r="BA335" s="21">
        <f t="shared" si="2127"/>
        <v>0</v>
      </c>
      <c r="BB335" s="21">
        <f t="shared" si="2127"/>
        <v>0</v>
      </c>
      <c r="BC335" s="21">
        <f t="shared" si="2127"/>
        <v>0</v>
      </c>
      <c r="BD335" s="21">
        <f t="shared" si="2127"/>
        <v>0</v>
      </c>
      <c r="BE335" s="21">
        <f t="shared" si="2127"/>
        <v>0</v>
      </c>
      <c r="BF335" s="21">
        <f t="shared" ref="BF335:BM335" si="2128">IF($F$290, 0, IF($C$298, IF(AND(COLUMN($BF$335)-COLUMN($B$335)=$Q$291,ROW($BF$335)-ROW($B$335)=$K$291), U$290, BF335), BF335))</f>
        <v>0</v>
      </c>
      <c r="BG335" s="21">
        <f t="shared" si="2128"/>
        <v>0</v>
      </c>
      <c r="BH335" s="21">
        <f t="shared" si="2128"/>
        <v>0</v>
      </c>
      <c r="BI335" s="21">
        <f t="shared" si="2128"/>
        <v>0</v>
      </c>
      <c r="BJ335" s="21">
        <f t="shared" si="2128"/>
        <v>0</v>
      </c>
      <c r="BK335" s="21">
        <f t="shared" si="2128"/>
        <v>0</v>
      </c>
      <c r="BL335" s="21">
        <f t="shared" si="2128"/>
        <v>0</v>
      </c>
      <c r="BM335" s="21">
        <f t="shared" si="2128"/>
        <v>0</v>
      </c>
      <c r="BN335" s="21">
        <f t="shared" ref="BN335:BU335" si="2129">IF($F$290, 0, IF($D$298, IF(AND(COLUMN($BN$335)-COLUMN($BN$335)=$Q$291,ROW($BN$335)-ROW($BN$335)=$K$291), U$290, BN335), BN335))</f>
        <v>0</v>
      </c>
      <c r="BO335" s="21">
        <f t="shared" si="2129"/>
        <v>0</v>
      </c>
      <c r="BP335" s="21">
        <f t="shared" si="2129"/>
        <v>0</v>
      </c>
      <c r="BQ335" s="21">
        <f t="shared" si="2129"/>
        <v>0</v>
      </c>
      <c r="BR335" s="21">
        <f t="shared" si="2129"/>
        <v>0</v>
      </c>
      <c r="BS335" s="21">
        <f t="shared" si="2129"/>
        <v>0</v>
      </c>
      <c r="BT335" s="21">
        <f t="shared" si="2129"/>
        <v>0</v>
      </c>
      <c r="BU335" s="21">
        <f t="shared" si="2129"/>
        <v>0</v>
      </c>
      <c r="BV335" s="21">
        <f t="shared" ref="BV335:CC335" si="2130">IF($F$290, 0, IF($D$298, IF(AND(COLUMN($BV$335)-COLUMN($BN$335)=$Q$291,ROW($BV$335)-ROW($BN$335)=$K$291), U$290, BV335), BV335))</f>
        <v>0</v>
      </c>
      <c r="BW335" s="21">
        <f t="shared" si="2130"/>
        <v>0</v>
      </c>
      <c r="BX335" s="21">
        <f t="shared" si="2130"/>
        <v>0</v>
      </c>
      <c r="BY335" s="21">
        <f t="shared" si="2130"/>
        <v>0</v>
      </c>
      <c r="BZ335" s="21">
        <f t="shared" si="2130"/>
        <v>0</v>
      </c>
      <c r="CA335" s="21">
        <f t="shared" si="2130"/>
        <v>0</v>
      </c>
      <c r="CB335" s="21">
        <f t="shared" si="2130"/>
        <v>0</v>
      </c>
      <c r="CC335" s="21">
        <f t="shared" si="2130"/>
        <v>0</v>
      </c>
      <c r="CD335" s="21">
        <f t="shared" ref="CD335:CK335" si="2131">IF($F$290, 0, IF($D$298, IF(AND(COLUMN($CD$335)-COLUMN($BN$335)=$Q$291,ROW($CD$335)-ROW($BN$335)=$K$291), U$290, CD335), CD335))</f>
        <v>0</v>
      </c>
      <c r="CE335" s="21">
        <f t="shared" si="2131"/>
        <v>0</v>
      </c>
      <c r="CF335" s="21">
        <f t="shared" si="2131"/>
        <v>0</v>
      </c>
      <c r="CG335" s="21">
        <f t="shared" si="2131"/>
        <v>0</v>
      </c>
      <c r="CH335" s="21">
        <f t="shared" si="2131"/>
        <v>0</v>
      </c>
      <c r="CI335" s="21">
        <f t="shared" si="2131"/>
        <v>0</v>
      </c>
      <c r="CJ335" s="21">
        <f t="shared" si="2131"/>
        <v>0</v>
      </c>
      <c r="CK335" s="21">
        <f t="shared" si="2131"/>
        <v>0</v>
      </c>
      <c r="CL335" s="21">
        <f t="shared" ref="CL335:CS335" si="2132">IF($F$290, 0, IF($D$298, IF(AND(COLUMN($CL$335)-COLUMN($BN$335)=$Q$291,ROW($CL$335)-ROW($BN$335)=$K$291), U$290, CL335), CL335))</f>
        <v>0</v>
      </c>
      <c r="CM335" s="21">
        <f t="shared" si="2132"/>
        <v>0</v>
      </c>
      <c r="CN335" s="21">
        <f t="shared" si="2132"/>
        <v>0</v>
      </c>
      <c r="CO335" s="21">
        <f t="shared" si="2132"/>
        <v>0</v>
      </c>
      <c r="CP335" s="21">
        <f t="shared" si="2132"/>
        <v>0</v>
      </c>
      <c r="CQ335" s="21">
        <f t="shared" si="2132"/>
        <v>0</v>
      </c>
      <c r="CR335" s="21">
        <f t="shared" si="2132"/>
        <v>0</v>
      </c>
      <c r="CS335" s="21">
        <f t="shared" si="2132"/>
        <v>0</v>
      </c>
      <c r="CT335" s="21">
        <f t="shared" ref="CT335:DA335" si="2133">IF($F$290, 0, IF($D$298, IF(AND(COLUMN($CT$335)-COLUMN($BN$335)=$Q$291,ROW($CT$335)-ROW($BN$335)=$K$291), U$290, CT335), CT335))</f>
        <v>0</v>
      </c>
      <c r="CU335" s="21">
        <f t="shared" si="2133"/>
        <v>0</v>
      </c>
      <c r="CV335" s="21">
        <f t="shared" si="2133"/>
        <v>0</v>
      </c>
      <c r="CW335" s="21">
        <f t="shared" si="2133"/>
        <v>0</v>
      </c>
      <c r="CX335" s="21">
        <f t="shared" si="2133"/>
        <v>0</v>
      </c>
      <c r="CY335" s="21">
        <f t="shared" si="2133"/>
        <v>0</v>
      </c>
      <c r="CZ335" s="21">
        <f t="shared" si="2133"/>
        <v>0</v>
      </c>
      <c r="DA335" s="21">
        <f t="shared" si="2133"/>
        <v>0</v>
      </c>
      <c r="DB335" s="21">
        <f t="shared" ref="DB335:DI335" si="2134">IF($F$290, 0, IF($D$298, IF(AND(COLUMN($DB$335)-COLUMN($BN$335)=$Q$291,ROW($DB$335)-ROW($BN$335)=$K$291), U$290, DB335), DB335))</f>
        <v>0</v>
      </c>
      <c r="DC335" s="21">
        <f t="shared" si="2134"/>
        <v>0</v>
      </c>
      <c r="DD335" s="21">
        <f t="shared" si="2134"/>
        <v>0</v>
      </c>
      <c r="DE335" s="21">
        <f t="shared" si="2134"/>
        <v>0</v>
      </c>
      <c r="DF335" s="21">
        <f t="shared" si="2134"/>
        <v>0</v>
      </c>
      <c r="DG335" s="21">
        <f t="shared" si="2134"/>
        <v>0</v>
      </c>
      <c r="DH335" s="21">
        <f t="shared" si="2134"/>
        <v>0</v>
      </c>
      <c r="DI335" s="21">
        <f t="shared" si="2134"/>
        <v>0</v>
      </c>
      <c r="DJ335" s="21">
        <f t="shared" ref="DJ335:DQ335" si="2135">IF($F$290, 0, IF($D$298, IF(AND(COLUMN($DJ$335)-COLUMN($BN$335)=$Q$291,ROW($DJ$335)-ROW($BN$335)=$K$291), U$290, DJ335), DJ335))</f>
        <v>0</v>
      </c>
      <c r="DK335" s="21">
        <f t="shared" si="2135"/>
        <v>0</v>
      </c>
      <c r="DL335" s="21">
        <f t="shared" si="2135"/>
        <v>0</v>
      </c>
      <c r="DM335" s="21">
        <f t="shared" si="2135"/>
        <v>0</v>
      </c>
      <c r="DN335" s="21">
        <f t="shared" si="2135"/>
        <v>0</v>
      </c>
      <c r="DO335" s="21">
        <f t="shared" si="2135"/>
        <v>0</v>
      </c>
      <c r="DP335" s="21">
        <f t="shared" si="2135"/>
        <v>0</v>
      </c>
      <c r="DQ335" s="21">
        <f t="shared" si="2135"/>
        <v>0</v>
      </c>
      <c r="DR335" s="21">
        <f t="shared" ref="DR335:DY335" si="2136">IF($F$290, 0, IF($D$298, IF(AND(COLUMN($DR$335)-COLUMN($BN$335)=$Q$291,ROW($DR$335)-ROW($BN$335)=$K$291), U$290, DR335), DR335))</f>
        <v>0</v>
      </c>
      <c r="DS335" s="21">
        <f t="shared" si="2136"/>
        <v>0</v>
      </c>
      <c r="DT335" s="21">
        <f t="shared" si="2136"/>
        <v>0</v>
      </c>
      <c r="DU335" s="21">
        <f t="shared" si="2136"/>
        <v>0</v>
      </c>
      <c r="DV335" s="21">
        <f t="shared" si="2136"/>
        <v>0</v>
      </c>
      <c r="DW335" s="21">
        <f t="shared" si="2136"/>
        <v>0</v>
      </c>
      <c r="DX335" s="21">
        <f t="shared" si="2136"/>
        <v>0</v>
      </c>
      <c r="DY335" s="21">
        <f t="shared" si="2136"/>
        <v>0</v>
      </c>
      <c r="DZ335" s="21">
        <f t="shared" ref="DZ335:EG335" si="2137">IF($F$290, 0, IF($E$298, IF(AND(COLUMN($DZ$335)-COLUMN($DZ$335)=$Q$291,ROW($DZ$335)-ROW($DZ$335)=$K$291), U$290, DZ335), DZ335))</f>
        <v>0</v>
      </c>
      <c r="EA335" s="21">
        <f t="shared" si="2137"/>
        <v>0</v>
      </c>
      <c r="EB335" s="21">
        <f t="shared" si="2137"/>
        <v>0</v>
      </c>
      <c r="EC335" s="21">
        <f t="shared" si="2137"/>
        <v>0</v>
      </c>
      <c r="ED335" s="21">
        <f t="shared" si="2137"/>
        <v>0</v>
      </c>
      <c r="EE335" s="21">
        <f t="shared" si="2137"/>
        <v>0</v>
      </c>
      <c r="EF335" s="21">
        <f t="shared" si="2137"/>
        <v>0</v>
      </c>
      <c r="EG335" s="21">
        <f t="shared" si="2137"/>
        <v>0</v>
      </c>
      <c r="EH335" s="21">
        <f t="shared" ref="EH335:EO335" si="2138">IF($F$290, 0, IF($E$298, IF(AND(COLUMN($EH$335)-COLUMN($DZ$335)=$Q$291,ROW($EH$335)-ROW($DZ$335)=$K$291), U$290, EH335), EH335))</f>
        <v>0</v>
      </c>
      <c r="EI335" s="21">
        <f t="shared" si="2138"/>
        <v>0</v>
      </c>
      <c r="EJ335" s="21">
        <f t="shared" si="2138"/>
        <v>0</v>
      </c>
      <c r="EK335" s="21">
        <f t="shared" si="2138"/>
        <v>0</v>
      </c>
      <c r="EL335" s="21">
        <f t="shared" si="2138"/>
        <v>0</v>
      </c>
      <c r="EM335" s="21">
        <f t="shared" si="2138"/>
        <v>0</v>
      </c>
      <c r="EN335" s="21">
        <f t="shared" si="2138"/>
        <v>0</v>
      </c>
      <c r="EO335" s="21">
        <f t="shared" si="2138"/>
        <v>0</v>
      </c>
      <c r="EP335" s="21">
        <f t="shared" ref="EP335:EW335" si="2139">IF($F$290, 0, IF($E$298, IF(AND(COLUMN($EP$335)-COLUMN($DZ$335)=$Q$291,ROW($EP$335)-ROW($DZ$335)=$K$291), U$290, EP335), EP335))</f>
        <v>0</v>
      </c>
      <c r="EQ335" s="21">
        <f t="shared" si="2139"/>
        <v>0</v>
      </c>
      <c r="ER335" s="21">
        <f t="shared" si="2139"/>
        <v>0</v>
      </c>
      <c r="ES335" s="21">
        <f t="shared" si="2139"/>
        <v>0</v>
      </c>
      <c r="ET335" s="21">
        <f t="shared" si="2139"/>
        <v>0</v>
      </c>
      <c r="EU335" s="21">
        <f t="shared" si="2139"/>
        <v>0</v>
      </c>
      <c r="EV335" s="21">
        <f t="shared" si="2139"/>
        <v>0</v>
      </c>
      <c r="EW335" s="21">
        <f t="shared" si="2139"/>
        <v>0</v>
      </c>
      <c r="EX335" s="21">
        <f t="shared" ref="EX335:FE335" si="2140">IF($F$290, 0, IF($E$298, IF(AND(COLUMN($EX$335)-COLUMN($DZ$335)=$Q$291,ROW($EX$335)-ROW($DZ$335)=$K$291), U$290, EX335), EX335))</f>
        <v>0</v>
      </c>
      <c r="EY335" s="21">
        <f t="shared" si="2140"/>
        <v>0</v>
      </c>
      <c r="EZ335" s="21">
        <f t="shared" si="2140"/>
        <v>0</v>
      </c>
      <c r="FA335" s="21">
        <f t="shared" si="2140"/>
        <v>0</v>
      </c>
      <c r="FB335" s="21">
        <f t="shared" si="2140"/>
        <v>0</v>
      </c>
      <c r="FC335" s="21">
        <f t="shared" si="2140"/>
        <v>0</v>
      </c>
      <c r="FD335" s="21">
        <f t="shared" si="2140"/>
        <v>0</v>
      </c>
      <c r="FE335" s="21">
        <f t="shared" si="2140"/>
        <v>0</v>
      </c>
      <c r="FF335" s="21">
        <f t="shared" ref="FF335:FM335" si="2141">IF($F$290, 0, IF($E$298, IF(AND(COLUMN($FF$335)-COLUMN($DZ$335)=$Q$291,ROW($FF$335)-ROW($DZ$335)=$K$291), U$290, FF335), FF335))</f>
        <v>0</v>
      </c>
      <c r="FG335" s="21">
        <f t="shared" si="2141"/>
        <v>0</v>
      </c>
      <c r="FH335" s="21">
        <f t="shared" si="2141"/>
        <v>0</v>
      </c>
      <c r="FI335" s="21">
        <f t="shared" si="2141"/>
        <v>0</v>
      </c>
      <c r="FJ335" s="21">
        <f t="shared" si="2141"/>
        <v>0</v>
      </c>
      <c r="FK335" s="21">
        <f t="shared" si="2141"/>
        <v>0</v>
      </c>
      <c r="FL335" s="21">
        <f t="shared" si="2141"/>
        <v>0</v>
      </c>
      <c r="FM335" s="21">
        <f t="shared" si="2141"/>
        <v>0</v>
      </c>
      <c r="FN335" s="21">
        <f t="shared" ref="FN335:FU335" si="2142">IF($F$290, 0, IF($E$298, IF(AND(COLUMN($FN$335)-COLUMN($DZ$335)=$Q$291,ROW($FN$335)-ROW($DZ$335)=$K$291), U$290, FN335), FN335))</f>
        <v>0</v>
      </c>
      <c r="FO335" s="21">
        <f t="shared" si="2142"/>
        <v>0</v>
      </c>
      <c r="FP335" s="21">
        <f t="shared" si="2142"/>
        <v>0</v>
      </c>
      <c r="FQ335" s="21">
        <f t="shared" si="2142"/>
        <v>0</v>
      </c>
      <c r="FR335" s="21">
        <f t="shared" si="2142"/>
        <v>0</v>
      </c>
      <c r="FS335" s="21">
        <f t="shared" si="2142"/>
        <v>0</v>
      </c>
      <c r="FT335" s="21">
        <f t="shared" si="2142"/>
        <v>0</v>
      </c>
      <c r="FU335" s="21">
        <f t="shared" si="2142"/>
        <v>0</v>
      </c>
      <c r="FV335" s="21">
        <f t="shared" ref="FV335:GC335" si="2143">IF($F$290, 0, IF($E$298, IF(AND(COLUMN($FV$335)-COLUMN($DZ$335)=$Q$291,ROW($FV$335)-ROW($DZ$335)=$K$291), U$290, FV335), FV335))</f>
        <v>0</v>
      </c>
      <c r="FW335" s="21">
        <f t="shared" si="2143"/>
        <v>0</v>
      </c>
      <c r="FX335" s="21">
        <f t="shared" si="2143"/>
        <v>0</v>
      </c>
      <c r="FY335" s="21">
        <f t="shared" si="2143"/>
        <v>0</v>
      </c>
      <c r="FZ335" s="21">
        <f t="shared" si="2143"/>
        <v>0</v>
      </c>
      <c r="GA335" s="21">
        <f t="shared" si="2143"/>
        <v>0</v>
      </c>
      <c r="GB335" s="21">
        <f t="shared" si="2143"/>
        <v>0</v>
      </c>
      <c r="GC335" s="21">
        <f t="shared" si="2143"/>
        <v>0</v>
      </c>
      <c r="GD335" s="21">
        <f t="shared" ref="GD335:GK335" si="2144">IF($F$290, 0, IF($E$298, IF(AND(COLUMN($GD$335)-COLUMN($DZ$335)=$Q$291,ROW($GD$335)-ROW($DZ$335)=$K$291), U$290, GD335), GD335))</f>
        <v>0</v>
      </c>
      <c r="GE335" s="21">
        <f t="shared" si="2144"/>
        <v>0</v>
      </c>
      <c r="GF335" s="21">
        <f t="shared" si="2144"/>
        <v>0</v>
      </c>
      <c r="GG335" s="21">
        <f t="shared" si="2144"/>
        <v>0</v>
      </c>
      <c r="GH335" s="21">
        <f t="shared" si="2144"/>
        <v>0</v>
      </c>
      <c r="GI335" s="21">
        <f t="shared" si="2144"/>
        <v>0</v>
      </c>
      <c r="GJ335" s="21">
        <f t="shared" si="2144"/>
        <v>0</v>
      </c>
      <c r="GK335" s="21">
        <f t="shared" si="2144"/>
        <v>0</v>
      </c>
      <c r="GL335" s="21">
        <f t="shared" ref="GL335:GS335" si="2145">IF($F$290, 0, IF($F$298, IF(AND(COLUMN($GL$335)-COLUMN($GL$335)=$Q$291,ROW($GL$335)-ROW($GL$335)=$K$291), U$290, GL335), GL335))</f>
        <v>0</v>
      </c>
      <c r="GM335" s="21">
        <f t="shared" si="2145"/>
        <v>0</v>
      </c>
      <c r="GN335" s="21">
        <f t="shared" si="2145"/>
        <v>0</v>
      </c>
      <c r="GO335" s="21">
        <f t="shared" si="2145"/>
        <v>0</v>
      </c>
      <c r="GP335" s="21">
        <f t="shared" si="2145"/>
        <v>0</v>
      </c>
      <c r="GQ335" s="21">
        <f t="shared" si="2145"/>
        <v>0</v>
      </c>
      <c r="GR335" s="21">
        <f t="shared" si="2145"/>
        <v>0</v>
      </c>
      <c r="GS335" s="21">
        <f t="shared" si="2145"/>
        <v>0</v>
      </c>
      <c r="GT335" s="21">
        <f t="shared" ref="GT335:HA335" si="2146">IF($F$290, 0, IF($F$298, IF(AND(COLUMN($GT$335)-COLUMN($GL$335)=$Q$291,ROW($GT$335)-ROW($GL$335)=$K$291), U$290, GT335), GT335))</f>
        <v>0</v>
      </c>
      <c r="GU335" s="21">
        <f t="shared" si="2146"/>
        <v>0</v>
      </c>
      <c r="GV335" s="21">
        <f t="shared" si="2146"/>
        <v>0</v>
      </c>
      <c r="GW335" s="21">
        <f t="shared" si="2146"/>
        <v>0</v>
      </c>
      <c r="GX335" s="21">
        <f t="shared" si="2146"/>
        <v>0</v>
      </c>
      <c r="GY335" s="21">
        <f t="shared" si="2146"/>
        <v>0</v>
      </c>
      <c r="GZ335" s="21">
        <f t="shared" si="2146"/>
        <v>0</v>
      </c>
      <c r="HA335" s="21">
        <f t="shared" si="2146"/>
        <v>0</v>
      </c>
      <c r="HB335" s="21">
        <f t="shared" ref="HB335:HI335" si="2147">IF($F$290, 0, IF($F$298, IF(AND(COLUMN($HB$335)-COLUMN($GL$335)=$Q$291,ROW($HB$335)-ROW($GL$335)=$K$291), U$290, HB335), HB335))</f>
        <v>0</v>
      </c>
      <c r="HC335" s="21">
        <f t="shared" si="2147"/>
        <v>0</v>
      </c>
      <c r="HD335" s="21">
        <f t="shared" si="2147"/>
        <v>0</v>
      </c>
      <c r="HE335" s="21">
        <f t="shared" si="2147"/>
        <v>0</v>
      </c>
      <c r="HF335" s="21">
        <f t="shared" si="2147"/>
        <v>0</v>
      </c>
      <c r="HG335" s="21">
        <f t="shared" si="2147"/>
        <v>0</v>
      </c>
      <c r="HH335" s="21">
        <f t="shared" si="2147"/>
        <v>0</v>
      </c>
      <c r="HI335" s="21">
        <f t="shared" si="2147"/>
        <v>0</v>
      </c>
      <c r="HJ335" s="21">
        <f t="shared" ref="HJ335:HQ335" si="2148">IF($F$290, 0, IF($F$298, IF(AND(COLUMN($HJ$335)-COLUMN($GL$335)=$Q$291,ROW($HJ$335)-ROW($GL$335)=$K$291), U$290, HJ335), HJ335))</f>
        <v>0</v>
      </c>
      <c r="HK335" s="21">
        <f t="shared" si="2148"/>
        <v>0</v>
      </c>
      <c r="HL335" s="21">
        <f t="shared" si="2148"/>
        <v>0</v>
      </c>
      <c r="HM335" s="21">
        <f t="shared" si="2148"/>
        <v>0</v>
      </c>
      <c r="HN335" s="21">
        <f t="shared" si="2148"/>
        <v>0</v>
      </c>
      <c r="HO335" s="21">
        <f t="shared" si="2148"/>
        <v>0</v>
      </c>
      <c r="HP335" s="21">
        <f t="shared" si="2148"/>
        <v>0</v>
      </c>
      <c r="HQ335" s="21">
        <f t="shared" si="2148"/>
        <v>0</v>
      </c>
      <c r="HR335" s="21">
        <f t="shared" ref="HR335:HY335" si="2149">IF($F$290, 0, IF($F$298, IF(AND(COLUMN($HR$335)-COLUMN($GL$335)=$Q$291,ROW($HR$335)-ROW($GL$335)=$K$291), U$290, HR335), HR335))</f>
        <v>0</v>
      </c>
      <c r="HS335" s="21">
        <f t="shared" si="2149"/>
        <v>0</v>
      </c>
      <c r="HT335" s="21">
        <f t="shared" si="2149"/>
        <v>0</v>
      </c>
      <c r="HU335" s="21">
        <f t="shared" si="2149"/>
        <v>0</v>
      </c>
      <c r="HV335" s="21">
        <f t="shared" si="2149"/>
        <v>0</v>
      </c>
      <c r="HW335" s="21">
        <f t="shared" si="2149"/>
        <v>0</v>
      </c>
      <c r="HX335" s="21">
        <f t="shared" si="2149"/>
        <v>0</v>
      </c>
      <c r="HY335" s="21">
        <f t="shared" si="2149"/>
        <v>0</v>
      </c>
      <c r="HZ335" s="21">
        <f t="shared" ref="HZ335:IG335" si="2150">IF($F$290, 0, IF($F$298, IF(AND(COLUMN($HZ$335)-COLUMN($GL$335)=$Q$291,ROW($HZ$335)-ROW($GL$335)=$K$291), U$290, HZ335), HZ335))</f>
        <v>0</v>
      </c>
      <c r="IA335" s="21">
        <f t="shared" si="2150"/>
        <v>0</v>
      </c>
      <c r="IB335" s="21">
        <f t="shared" si="2150"/>
        <v>0</v>
      </c>
      <c r="IC335" s="21">
        <f t="shared" si="2150"/>
        <v>0</v>
      </c>
      <c r="ID335" s="21">
        <f t="shared" si="2150"/>
        <v>0</v>
      </c>
      <c r="IE335" s="21">
        <f t="shared" si="2150"/>
        <v>0</v>
      </c>
      <c r="IF335" s="21">
        <f t="shared" si="2150"/>
        <v>0</v>
      </c>
      <c r="IG335" s="21">
        <f t="shared" si="2150"/>
        <v>0</v>
      </c>
      <c r="IH335" s="21">
        <f t="shared" ref="IH335:IO335" si="2151">IF($F$290, 0, IF($F$298, IF(AND(COLUMN($IH$335)-COLUMN($GL$335)=$Q$291,ROW($IH$335)-ROW($GL$335)=$K$291), U$290, IH335), IH335))</f>
        <v>0</v>
      </c>
      <c r="II335" s="21">
        <f t="shared" si="2151"/>
        <v>0</v>
      </c>
      <c r="IJ335" s="21">
        <f t="shared" si="2151"/>
        <v>0</v>
      </c>
      <c r="IK335" s="21">
        <f t="shared" si="2151"/>
        <v>0</v>
      </c>
      <c r="IL335" s="21">
        <f t="shared" si="2151"/>
        <v>0</v>
      </c>
      <c r="IM335" s="21">
        <f t="shared" si="2151"/>
        <v>0</v>
      </c>
      <c r="IN335" s="21">
        <f t="shared" si="2151"/>
        <v>0</v>
      </c>
      <c r="IO335" s="21">
        <f t="shared" si="2151"/>
        <v>0</v>
      </c>
      <c r="IP335" s="21">
        <f t="shared" ref="IP335:IW335" si="2152">IF($F$290, 0, IF($F$298, IF(AND(COLUMN($IP$335)-COLUMN($GL$335)=$Q$291,ROW($IP$335)-ROW($GL$335)=$K$291), U$290, IP335), IP335))</f>
        <v>0</v>
      </c>
      <c r="IQ335" s="21">
        <f t="shared" si="2152"/>
        <v>0</v>
      </c>
      <c r="IR335" s="21">
        <f t="shared" si="2152"/>
        <v>0</v>
      </c>
      <c r="IS335" s="21">
        <f t="shared" si="2152"/>
        <v>0</v>
      </c>
      <c r="IT335" s="21">
        <f t="shared" si="2152"/>
        <v>0</v>
      </c>
      <c r="IU335" s="21">
        <f t="shared" si="2152"/>
        <v>0</v>
      </c>
      <c r="IV335" s="21">
        <f t="shared" si="2152"/>
        <v>0</v>
      </c>
      <c r="IW335" s="21">
        <f t="shared" si="2152"/>
        <v>0</v>
      </c>
      <c r="IX335" s="21">
        <f t="shared" ref="IX335:JE335" si="2153">IF($F$290, 0, IF($G$298, IF(AND(COLUMN($IX$335)-COLUMN($IX$335)=$Q$291,ROW($IX$335)-ROW($IX$335)=$K$291), U$290, IX335), IX335))</f>
        <v>0</v>
      </c>
      <c r="IY335" s="21">
        <f t="shared" si="2153"/>
        <v>0</v>
      </c>
      <c r="IZ335" s="21">
        <f t="shared" si="2153"/>
        <v>0</v>
      </c>
      <c r="JA335" s="21">
        <f t="shared" si="2153"/>
        <v>0</v>
      </c>
      <c r="JB335" s="21">
        <f t="shared" si="2153"/>
        <v>0</v>
      </c>
      <c r="JC335" s="21">
        <f t="shared" si="2153"/>
        <v>0</v>
      </c>
      <c r="JD335" s="21">
        <f t="shared" si="2153"/>
        <v>0</v>
      </c>
      <c r="JE335" s="21">
        <f t="shared" si="2153"/>
        <v>0</v>
      </c>
      <c r="JF335" s="21">
        <f t="shared" ref="JF335:JM335" si="2154">IF($F$290, 0, IF($G$298, IF(AND(COLUMN($JF$335)-COLUMN($IX$335)=$Q$291,ROW($JF$335)-ROW($IX$335)=$K$291), U$290, JF335), JF335))</f>
        <v>0</v>
      </c>
      <c r="JG335" s="21">
        <f t="shared" si="2154"/>
        <v>0</v>
      </c>
      <c r="JH335" s="21">
        <f t="shared" si="2154"/>
        <v>0</v>
      </c>
      <c r="JI335" s="21">
        <f t="shared" si="2154"/>
        <v>0</v>
      </c>
      <c r="JJ335" s="21">
        <f t="shared" si="2154"/>
        <v>0</v>
      </c>
      <c r="JK335" s="21">
        <f t="shared" si="2154"/>
        <v>0</v>
      </c>
      <c r="JL335" s="21">
        <f t="shared" si="2154"/>
        <v>0</v>
      </c>
      <c r="JM335" s="21">
        <f t="shared" si="2154"/>
        <v>0</v>
      </c>
      <c r="JN335" s="21">
        <f t="shared" ref="JN335:JU335" si="2155">IF($F$290, 0, IF($G$298, IF(AND(COLUMN($JN$335)-COLUMN($IX$335)=$Q$291,ROW($JN$335)-ROW($IX$335)=$K$291), U$290, JN335), JN335))</f>
        <v>0</v>
      </c>
      <c r="JO335" s="21">
        <f t="shared" si="2155"/>
        <v>0</v>
      </c>
      <c r="JP335" s="21">
        <f t="shared" si="2155"/>
        <v>0</v>
      </c>
      <c r="JQ335" s="21">
        <f t="shared" si="2155"/>
        <v>0</v>
      </c>
      <c r="JR335" s="21">
        <f t="shared" si="2155"/>
        <v>0</v>
      </c>
      <c r="JS335" s="21">
        <f t="shared" si="2155"/>
        <v>0</v>
      </c>
      <c r="JT335" s="21">
        <f t="shared" si="2155"/>
        <v>0</v>
      </c>
      <c r="JU335" s="21">
        <f t="shared" si="2155"/>
        <v>0</v>
      </c>
      <c r="JV335" s="21">
        <f t="shared" ref="JV335:KC335" si="2156">IF($F$290, 0, IF($G$298, IF(AND(COLUMN($JV$335)-COLUMN($IX$335)=$Q$291,ROW($JV$335)-ROW($IX$335)=$K$291), U$290, JV335), JV335))</f>
        <v>0</v>
      </c>
      <c r="JW335" s="21">
        <f t="shared" si="2156"/>
        <v>0</v>
      </c>
      <c r="JX335" s="21">
        <f t="shared" si="2156"/>
        <v>0</v>
      </c>
      <c r="JY335" s="21">
        <f t="shared" si="2156"/>
        <v>0</v>
      </c>
      <c r="JZ335" s="21">
        <f t="shared" si="2156"/>
        <v>0</v>
      </c>
      <c r="KA335" s="21">
        <f t="shared" si="2156"/>
        <v>0</v>
      </c>
      <c r="KB335" s="21">
        <f t="shared" si="2156"/>
        <v>0</v>
      </c>
      <c r="KC335" s="21">
        <f t="shared" si="2156"/>
        <v>0</v>
      </c>
      <c r="KD335" s="21">
        <f t="shared" ref="KD335:KK335" si="2157">IF($F$290, 0, IF($G$298, IF(AND(COLUMN($KD$335)-COLUMN($IX$335)=$Q$291,ROW($KD$335)-ROW($IX$335)=$K$291), U$290, KD335), KD335))</f>
        <v>0</v>
      </c>
      <c r="KE335" s="21">
        <f t="shared" si="2157"/>
        <v>0</v>
      </c>
      <c r="KF335" s="21">
        <f t="shared" si="2157"/>
        <v>0</v>
      </c>
      <c r="KG335" s="21">
        <f t="shared" si="2157"/>
        <v>0</v>
      </c>
      <c r="KH335" s="21">
        <f t="shared" si="2157"/>
        <v>0</v>
      </c>
      <c r="KI335" s="21">
        <f t="shared" si="2157"/>
        <v>0</v>
      </c>
      <c r="KJ335" s="21">
        <f t="shared" si="2157"/>
        <v>0</v>
      </c>
      <c r="KK335" s="21">
        <f t="shared" si="2157"/>
        <v>0</v>
      </c>
      <c r="KL335" s="21">
        <f t="shared" ref="KL335:KS335" si="2158">IF($F$290, 0, IF($G$298, IF(AND(COLUMN($KL$335)-COLUMN($IX$335)=$Q$291,ROW($KL$335)-ROW($IX$335)=$K$291), U$290, KL335), KL335))</f>
        <v>0</v>
      </c>
      <c r="KM335" s="21">
        <f t="shared" si="2158"/>
        <v>0</v>
      </c>
      <c r="KN335" s="21">
        <f t="shared" si="2158"/>
        <v>0</v>
      </c>
      <c r="KO335" s="21">
        <f t="shared" si="2158"/>
        <v>0</v>
      </c>
      <c r="KP335" s="21">
        <f t="shared" si="2158"/>
        <v>0</v>
      </c>
      <c r="KQ335" s="21">
        <f t="shared" si="2158"/>
        <v>0</v>
      </c>
      <c r="KR335" s="21">
        <f t="shared" si="2158"/>
        <v>0</v>
      </c>
      <c r="KS335" s="21">
        <f t="shared" si="2158"/>
        <v>0</v>
      </c>
      <c r="KT335" s="21">
        <f t="shared" ref="KT335:LA335" si="2159">IF($F$290, 0, IF($G$298, IF(AND(COLUMN($KT$335)-COLUMN($IX$335)=$Q$291,ROW($KT$335)-ROW($IX$335)=$K$291), U$290, KT335), KT335))</f>
        <v>0</v>
      </c>
      <c r="KU335" s="21">
        <f t="shared" si="2159"/>
        <v>0</v>
      </c>
      <c r="KV335" s="21">
        <f t="shared" si="2159"/>
        <v>0</v>
      </c>
      <c r="KW335" s="21">
        <f t="shared" si="2159"/>
        <v>0</v>
      </c>
      <c r="KX335" s="21">
        <f t="shared" si="2159"/>
        <v>0</v>
      </c>
      <c r="KY335" s="21">
        <f t="shared" si="2159"/>
        <v>0</v>
      </c>
      <c r="KZ335" s="21">
        <f t="shared" si="2159"/>
        <v>0</v>
      </c>
      <c r="LA335" s="21">
        <f t="shared" si="2159"/>
        <v>0</v>
      </c>
      <c r="LB335" s="21">
        <f t="shared" ref="LB335:LI335" si="2160">IF($F$290, 0, IF($G$298, IF(AND(COLUMN($LB$335)-COLUMN($IX$335)=$Q$291,ROW($LB$335)-ROW($IX$335)=$K$291), U$290, LB335), LB335))</f>
        <v>0</v>
      </c>
      <c r="LC335" s="21">
        <f t="shared" si="2160"/>
        <v>0</v>
      </c>
      <c r="LD335" s="21">
        <f t="shared" si="2160"/>
        <v>0</v>
      </c>
      <c r="LE335" s="21">
        <f t="shared" si="2160"/>
        <v>0</v>
      </c>
      <c r="LF335" s="21">
        <f t="shared" si="2160"/>
        <v>0</v>
      </c>
      <c r="LG335" s="21">
        <f t="shared" si="2160"/>
        <v>0</v>
      </c>
      <c r="LH335" s="21">
        <f t="shared" si="2160"/>
        <v>0</v>
      </c>
      <c r="LI335" s="21">
        <f t="shared" si="2160"/>
        <v>0</v>
      </c>
      <c r="LJ335" s="21">
        <f t="shared" ref="LJ335:LQ335" si="2161">IF($F$290, 0, IF($H$298, IF(AND(COLUMN($LJ$335)-COLUMN($LJ$335)=$Q$291,ROW($LJ$335)-ROW($LJ$335)=$K$291), U$290, LJ335), LJ335))</f>
        <v>0</v>
      </c>
      <c r="LK335" s="21">
        <f t="shared" si="2161"/>
        <v>0</v>
      </c>
      <c r="LL335" s="21">
        <f t="shared" si="2161"/>
        <v>0</v>
      </c>
      <c r="LM335" s="21">
        <f t="shared" si="2161"/>
        <v>0</v>
      </c>
      <c r="LN335" s="21">
        <f t="shared" si="2161"/>
        <v>0</v>
      </c>
      <c r="LO335" s="21">
        <f t="shared" si="2161"/>
        <v>0</v>
      </c>
      <c r="LP335" s="21">
        <f t="shared" si="2161"/>
        <v>0</v>
      </c>
      <c r="LQ335" s="21">
        <f t="shared" si="2161"/>
        <v>0</v>
      </c>
      <c r="LR335" s="21">
        <f t="shared" ref="LR335:LY335" si="2162">IF($F$290, 0, IF($H$298, IF(AND(COLUMN($LR$335)-COLUMN($LJ$335)=$Q$291,ROW($LR$335)-ROW($LJ$335)=$K$291), U$290, LR335), LR335))</f>
        <v>0</v>
      </c>
      <c r="LS335" s="21">
        <f t="shared" si="2162"/>
        <v>0</v>
      </c>
      <c r="LT335" s="21">
        <f t="shared" si="2162"/>
        <v>0</v>
      </c>
      <c r="LU335" s="21">
        <f t="shared" si="2162"/>
        <v>0</v>
      </c>
      <c r="LV335" s="21">
        <f t="shared" si="2162"/>
        <v>0</v>
      </c>
      <c r="LW335" s="21">
        <f t="shared" si="2162"/>
        <v>0</v>
      </c>
      <c r="LX335" s="21">
        <f t="shared" si="2162"/>
        <v>0</v>
      </c>
      <c r="LY335" s="21">
        <f t="shared" si="2162"/>
        <v>0</v>
      </c>
      <c r="LZ335" s="21">
        <f t="shared" ref="LZ335:MG335" si="2163">IF($F$290, 0, IF($H$298, IF(AND(COLUMN($LZ$335)-COLUMN($LJ$335)=$Q$291,ROW($LZ$335)-ROW($LJ$335)=$K$291), U$290, LZ335), LZ335))</f>
        <v>0</v>
      </c>
      <c r="MA335" s="21">
        <f t="shared" si="2163"/>
        <v>0</v>
      </c>
      <c r="MB335" s="21">
        <f t="shared" si="2163"/>
        <v>0</v>
      </c>
      <c r="MC335" s="21">
        <f t="shared" si="2163"/>
        <v>0</v>
      </c>
      <c r="MD335" s="21">
        <f t="shared" si="2163"/>
        <v>0</v>
      </c>
      <c r="ME335" s="21">
        <f t="shared" si="2163"/>
        <v>0</v>
      </c>
      <c r="MF335" s="21">
        <f t="shared" si="2163"/>
        <v>0</v>
      </c>
      <c r="MG335" s="21">
        <f t="shared" si="2163"/>
        <v>0</v>
      </c>
      <c r="MH335" s="21">
        <f t="shared" ref="MH335:MO335" si="2164">IF($F$290, 0, IF($H$298, IF(AND(COLUMN($MH$335)-COLUMN($LJ$335)=$Q$291,ROW($MH$335)-ROW($LJ$335)=$K$291), U$290, MH335), MH335))</f>
        <v>0</v>
      </c>
      <c r="MI335" s="21">
        <f t="shared" si="2164"/>
        <v>0</v>
      </c>
      <c r="MJ335" s="21">
        <f t="shared" si="2164"/>
        <v>0</v>
      </c>
      <c r="MK335" s="21">
        <f t="shared" si="2164"/>
        <v>0</v>
      </c>
      <c r="ML335" s="21">
        <f t="shared" si="2164"/>
        <v>0</v>
      </c>
      <c r="MM335" s="21">
        <f t="shared" si="2164"/>
        <v>0</v>
      </c>
      <c r="MN335" s="21">
        <f t="shared" si="2164"/>
        <v>0</v>
      </c>
      <c r="MO335" s="21">
        <f t="shared" si="2164"/>
        <v>0</v>
      </c>
      <c r="MP335" s="21">
        <f t="shared" ref="MP335:MW335" si="2165">IF($F$290, 0, IF($H$298, IF(AND(COLUMN($MP$335)-COLUMN($LJ$335)=$Q$291,ROW($MP$335)-ROW($LJ$335)=$K$291), U$290, MP335), MP335))</f>
        <v>0</v>
      </c>
      <c r="MQ335" s="21">
        <f t="shared" si="2165"/>
        <v>0</v>
      </c>
      <c r="MR335" s="21">
        <f t="shared" si="2165"/>
        <v>0</v>
      </c>
      <c r="MS335" s="21">
        <f t="shared" si="2165"/>
        <v>0</v>
      </c>
      <c r="MT335" s="21">
        <f t="shared" si="2165"/>
        <v>0</v>
      </c>
      <c r="MU335" s="21">
        <f t="shared" si="2165"/>
        <v>0</v>
      </c>
      <c r="MV335" s="21">
        <f t="shared" si="2165"/>
        <v>0</v>
      </c>
      <c r="MW335" s="21">
        <f t="shared" si="2165"/>
        <v>0</v>
      </c>
      <c r="MX335" s="21">
        <f t="shared" ref="MX335:NE335" si="2166">IF($F$290, 0, IF($H$298, IF(AND(COLUMN($MX$335)-COLUMN($LJ$335)=$Q$291,ROW($MX$335)-ROW($LJ$335)=$K$291), U$290, MX335), MX335))</f>
        <v>0</v>
      </c>
      <c r="MY335" s="21">
        <f t="shared" si="2166"/>
        <v>0</v>
      </c>
      <c r="MZ335" s="21">
        <f t="shared" si="2166"/>
        <v>0</v>
      </c>
      <c r="NA335" s="21">
        <f t="shared" si="2166"/>
        <v>0</v>
      </c>
      <c r="NB335" s="21">
        <f t="shared" si="2166"/>
        <v>0</v>
      </c>
      <c r="NC335" s="21">
        <f t="shared" si="2166"/>
        <v>0</v>
      </c>
      <c r="ND335" s="21">
        <f t="shared" si="2166"/>
        <v>0</v>
      </c>
      <c r="NE335" s="21">
        <f t="shared" si="2166"/>
        <v>0</v>
      </c>
      <c r="NF335" s="21">
        <f t="shared" ref="NF335:NM335" si="2167">IF($F$290, 0, IF($H$298, IF(AND(COLUMN($NF$335)-COLUMN($LJ$335)=$Q$291,ROW($NF$335)-ROW($LJ$335)=$K$291), U$290, NF335), NF335))</f>
        <v>0</v>
      </c>
      <c r="NG335" s="21">
        <f t="shared" si="2167"/>
        <v>0</v>
      </c>
      <c r="NH335" s="21">
        <f t="shared" si="2167"/>
        <v>0</v>
      </c>
      <c r="NI335" s="21">
        <f t="shared" si="2167"/>
        <v>0</v>
      </c>
      <c r="NJ335" s="21">
        <f t="shared" si="2167"/>
        <v>0</v>
      </c>
      <c r="NK335" s="21">
        <f t="shared" si="2167"/>
        <v>0</v>
      </c>
      <c r="NL335" s="21">
        <f t="shared" si="2167"/>
        <v>0</v>
      </c>
      <c r="NM335" s="21">
        <f t="shared" si="2167"/>
        <v>0</v>
      </c>
      <c r="NN335" s="21">
        <f t="shared" ref="NN335:NU335" si="2168">IF($F$290, 0, IF($H$298, IF(AND(COLUMN($NN$335)-COLUMN($LJ$335)=$Q$291,ROW($NN$335)-ROW($LJ$335)=$K$291), U$290, NN335), NN335))</f>
        <v>0</v>
      </c>
      <c r="NO335" s="21">
        <f t="shared" si="2168"/>
        <v>0</v>
      </c>
      <c r="NP335" s="21">
        <f t="shared" si="2168"/>
        <v>0</v>
      </c>
      <c r="NQ335" s="21">
        <f t="shared" si="2168"/>
        <v>0</v>
      </c>
      <c r="NR335" s="21">
        <f t="shared" si="2168"/>
        <v>0</v>
      </c>
      <c r="NS335" s="21">
        <f t="shared" si="2168"/>
        <v>0</v>
      </c>
      <c r="NT335" s="21">
        <f t="shared" si="2168"/>
        <v>0</v>
      </c>
      <c r="NU335" s="21">
        <f t="shared" si="2168"/>
        <v>0</v>
      </c>
      <c r="NV335" s="21">
        <f t="shared" ref="NV335:OC335" si="2169">IF($F$290, 0, IF($I$298, IF(AND(COLUMN($NV$335)-COLUMN($NV$335)=$Q$291,ROW($NV$335)-ROW($NV$335)=$K$291), U$290, NV335), NV335))</f>
        <v>0</v>
      </c>
      <c r="NW335" s="21">
        <f t="shared" si="2169"/>
        <v>0</v>
      </c>
      <c r="NX335" s="21">
        <f t="shared" si="2169"/>
        <v>0</v>
      </c>
      <c r="NY335" s="21">
        <f t="shared" si="2169"/>
        <v>0</v>
      </c>
      <c r="NZ335" s="21">
        <f t="shared" si="2169"/>
        <v>0</v>
      </c>
      <c r="OA335" s="21">
        <f t="shared" si="2169"/>
        <v>0</v>
      </c>
      <c r="OB335" s="21">
        <f t="shared" si="2169"/>
        <v>0</v>
      </c>
      <c r="OC335" s="21">
        <f t="shared" si="2169"/>
        <v>0</v>
      </c>
      <c r="OD335" s="21">
        <f t="shared" ref="OD335:OK335" si="2170">IF($F$290, 0, IF($I$298, IF(AND(COLUMN($OD$335)-COLUMN($NV$335)=$Q$291,ROW($OD$335)-ROW($NV$335)=$K$291), U$290, OD335), OD335))</f>
        <v>0</v>
      </c>
      <c r="OE335" s="21">
        <f t="shared" si="2170"/>
        <v>0</v>
      </c>
      <c r="OF335" s="21">
        <f t="shared" si="2170"/>
        <v>0</v>
      </c>
      <c r="OG335" s="21">
        <f t="shared" si="2170"/>
        <v>0</v>
      </c>
      <c r="OH335" s="21">
        <f t="shared" si="2170"/>
        <v>0</v>
      </c>
      <c r="OI335" s="21">
        <f t="shared" si="2170"/>
        <v>0</v>
      </c>
      <c r="OJ335" s="21">
        <f t="shared" si="2170"/>
        <v>0</v>
      </c>
      <c r="OK335" s="21">
        <f t="shared" si="2170"/>
        <v>0</v>
      </c>
      <c r="OL335" s="21">
        <f t="shared" ref="OL335:OS335" si="2171">IF($F$290, 0, IF($I$298, IF(AND(COLUMN($OL$335)-COLUMN($NV$335)=$Q$291,ROW($OL$335)-ROW($NV$335)=$K$291), U$290, OL335), OL335))</f>
        <v>0</v>
      </c>
      <c r="OM335" s="21">
        <f t="shared" si="2171"/>
        <v>0</v>
      </c>
      <c r="ON335" s="21">
        <f t="shared" si="2171"/>
        <v>0</v>
      </c>
      <c r="OO335" s="21">
        <f t="shared" si="2171"/>
        <v>0</v>
      </c>
      <c r="OP335" s="21">
        <f t="shared" si="2171"/>
        <v>0</v>
      </c>
      <c r="OQ335" s="21">
        <f t="shared" si="2171"/>
        <v>0</v>
      </c>
      <c r="OR335" s="21">
        <f t="shared" si="2171"/>
        <v>0</v>
      </c>
      <c r="OS335" s="21">
        <f t="shared" si="2171"/>
        <v>0</v>
      </c>
      <c r="OT335" s="21">
        <f t="shared" ref="OT335:PA335" si="2172">IF($F$290, 0, IF($I$298, IF(AND(COLUMN($OT$335)-COLUMN($NV$335)=$Q$291,ROW($OT$335)-ROW($NV$335)=$K$291), U$290, OT335), OT335))</f>
        <v>0</v>
      </c>
      <c r="OU335" s="21">
        <f t="shared" si="2172"/>
        <v>0</v>
      </c>
      <c r="OV335" s="21">
        <f t="shared" si="2172"/>
        <v>0</v>
      </c>
      <c r="OW335" s="21">
        <f t="shared" si="2172"/>
        <v>0</v>
      </c>
      <c r="OX335" s="21">
        <f t="shared" si="2172"/>
        <v>0</v>
      </c>
      <c r="OY335" s="21">
        <f t="shared" si="2172"/>
        <v>0</v>
      </c>
      <c r="OZ335" s="21">
        <f t="shared" si="2172"/>
        <v>0</v>
      </c>
      <c r="PA335" s="21">
        <f t="shared" si="2172"/>
        <v>0</v>
      </c>
      <c r="PB335" s="21">
        <f t="shared" ref="PB335:PI335" si="2173">IF($F$290, 0, IF($I$298, IF(AND(COLUMN($PB$335)-COLUMN($NV$335)=$Q$291,ROW($PB$335)-ROW($NV$335)=$K$291), U$290, PB335), PB335))</f>
        <v>0</v>
      </c>
      <c r="PC335" s="21">
        <f t="shared" si="2173"/>
        <v>0</v>
      </c>
      <c r="PD335" s="21">
        <f t="shared" si="2173"/>
        <v>0</v>
      </c>
      <c r="PE335" s="21">
        <f t="shared" si="2173"/>
        <v>0</v>
      </c>
      <c r="PF335" s="21">
        <f t="shared" si="2173"/>
        <v>0</v>
      </c>
      <c r="PG335" s="21">
        <f t="shared" si="2173"/>
        <v>0</v>
      </c>
      <c r="PH335" s="21">
        <f t="shared" si="2173"/>
        <v>0</v>
      </c>
      <c r="PI335" s="21">
        <f t="shared" si="2173"/>
        <v>0</v>
      </c>
      <c r="PJ335" s="21">
        <f t="shared" ref="PJ335:PQ335" si="2174">IF($F$290, 0, IF($I$298, IF(AND(COLUMN($PJ$335)-COLUMN($NV$335)=$Q$291,ROW($PJ$335)-ROW($NV$335)=$K$291), U$290, PJ335), PJ335))</f>
        <v>0</v>
      </c>
      <c r="PK335" s="21">
        <f t="shared" si="2174"/>
        <v>0</v>
      </c>
      <c r="PL335" s="21">
        <f t="shared" si="2174"/>
        <v>0</v>
      </c>
      <c r="PM335" s="21">
        <f t="shared" si="2174"/>
        <v>0</v>
      </c>
      <c r="PN335" s="21">
        <f t="shared" si="2174"/>
        <v>0</v>
      </c>
      <c r="PO335" s="21">
        <f t="shared" si="2174"/>
        <v>0</v>
      </c>
      <c r="PP335" s="21">
        <f t="shared" si="2174"/>
        <v>0</v>
      </c>
      <c r="PQ335" s="21">
        <f t="shared" si="2174"/>
        <v>0</v>
      </c>
      <c r="PR335" s="21">
        <f t="shared" ref="PR335:PY335" si="2175">IF($F$290, 0, IF($I$298, IF(AND(COLUMN($PR$335)-COLUMN($NV$335)=$Q$291,ROW($PR$335)-ROW($NV$335)=$K$291), U$290, PR335), PR335))</f>
        <v>0</v>
      </c>
      <c r="PS335" s="21">
        <f t="shared" si="2175"/>
        <v>0</v>
      </c>
      <c r="PT335" s="21">
        <f t="shared" si="2175"/>
        <v>0</v>
      </c>
      <c r="PU335" s="21">
        <f t="shared" si="2175"/>
        <v>0</v>
      </c>
      <c r="PV335" s="21">
        <f t="shared" si="2175"/>
        <v>0</v>
      </c>
      <c r="PW335" s="21">
        <f t="shared" si="2175"/>
        <v>0</v>
      </c>
      <c r="PX335" s="21">
        <f t="shared" si="2175"/>
        <v>0</v>
      </c>
      <c r="PY335" s="21">
        <f t="shared" si="2175"/>
        <v>0</v>
      </c>
      <c r="PZ335" s="21">
        <f t="shared" ref="PZ335:QG335" si="2176">IF($F$290, 0, IF($I$298, IF(AND(COLUMN($PZ$335)-COLUMN($NV$335)=$Q$291,ROW($PZ$335)-ROW($NV$335)=$K$291), U$290, PZ335), PZ335))</f>
        <v>0</v>
      </c>
      <c r="QA335" s="21">
        <f t="shared" si="2176"/>
        <v>0</v>
      </c>
      <c r="QB335" s="21">
        <f t="shared" si="2176"/>
        <v>0</v>
      </c>
      <c r="QC335" s="21">
        <f t="shared" si="2176"/>
        <v>0</v>
      </c>
      <c r="QD335" s="21">
        <f t="shared" si="2176"/>
        <v>0</v>
      </c>
      <c r="QE335" s="21">
        <f t="shared" si="2176"/>
        <v>0</v>
      </c>
      <c r="QF335" s="21">
        <f t="shared" si="2176"/>
        <v>0</v>
      </c>
      <c r="QG335" s="21">
        <f t="shared" si="2176"/>
        <v>0</v>
      </c>
      <c r="QH335" s="21">
        <f t="shared" ref="QH335:QO335" si="2177">IF($F$290, 0, IF($J$298, IF(AND(COLUMN($QH$335)-COLUMN($QH$335)=$Q$291,ROW($QH$335)-ROW($QH$335)=$K$291), U$290, QH335), QH335))</f>
        <v>0</v>
      </c>
      <c r="QI335" s="21">
        <f t="shared" si="2177"/>
        <v>0</v>
      </c>
      <c r="QJ335" s="21">
        <f t="shared" si="2177"/>
        <v>0</v>
      </c>
      <c r="QK335" s="21">
        <f t="shared" si="2177"/>
        <v>0</v>
      </c>
      <c r="QL335" s="21">
        <f t="shared" si="2177"/>
        <v>0</v>
      </c>
      <c r="QM335" s="21">
        <f t="shared" si="2177"/>
        <v>0</v>
      </c>
      <c r="QN335" s="21">
        <f t="shared" si="2177"/>
        <v>0</v>
      </c>
      <c r="QO335" s="21">
        <f t="shared" si="2177"/>
        <v>0</v>
      </c>
      <c r="QP335" s="21">
        <f t="shared" ref="QP335:QW335" si="2178">IF($F$290, 0, IF($J$298, IF(AND(COLUMN($QP$335)-COLUMN($QH$335)=$Q$291,ROW($QP$335)-ROW($QH$335)=$K$291), U$290, QP335), QP335))</f>
        <v>0</v>
      </c>
      <c r="QQ335" s="21">
        <f t="shared" si="2178"/>
        <v>0</v>
      </c>
      <c r="QR335" s="21">
        <f t="shared" si="2178"/>
        <v>0</v>
      </c>
      <c r="QS335" s="21">
        <f t="shared" si="2178"/>
        <v>0</v>
      </c>
      <c r="QT335" s="21">
        <f t="shared" si="2178"/>
        <v>0</v>
      </c>
      <c r="QU335" s="21">
        <f t="shared" si="2178"/>
        <v>0</v>
      </c>
      <c r="QV335" s="21">
        <f t="shared" si="2178"/>
        <v>0</v>
      </c>
      <c r="QW335" s="21">
        <f t="shared" si="2178"/>
        <v>0</v>
      </c>
      <c r="QX335" s="21">
        <f t="shared" ref="QX335:RE335" si="2179">IF($F$290, 0, IF($J$298, IF(AND(COLUMN($QX$335)-COLUMN($QH$335)=$Q$291,ROW($QX$335)-ROW($QH$335)=$K$291), U$290, QX335), QX335))</f>
        <v>0</v>
      </c>
      <c r="QY335" s="21">
        <f t="shared" si="2179"/>
        <v>0</v>
      </c>
      <c r="QZ335" s="21">
        <f t="shared" si="2179"/>
        <v>0</v>
      </c>
      <c r="RA335" s="21">
        <f t="shared" si="2179"/>
        <v>0</v>
      </c>
      <c r="RB335" s="21">
        <f t="shared" si="2179"/>
        <v>0</v>
      </c>
      <c r="RC335" s="21">
        <f t="shared" si="2179"/>
        <v>0</v>
      </c>
      <c r="RD335" s="21">
        <f t="shared" si="2179"/>
        <v>0</v>
      </c>
      <c r="RE335" s="21">
        <f t="shared" si="2179"/>
        <v>0</v>
      </c>
      <c r="RF335" s="21">
        <f t="shared" ref="RF335:RM335" si="2180">IF($F$290, 0, IF($J$298, IF(AND(COLUMN($RF$335)-COLUMN($QH$335)=$Q$291,ROW($RF$335)-ROW($QH$335)=$K$291), U$290, RF335), RF335))</f>
        <v>0</v>
      </c>
      <c r="RG335" s="21">
        <f t="shared" si="2180"/>
        <v>0</v>
      </c>
      <c r="RH335" s="21">
        <f t="shared" si="2180"/>
        <v>0</v>
      </c>
      <c r="RI335" s="21">
        <f t="shared" si="2180"/>
        <v>0</v>
      </c>
      <c r="RJ335" s="21">
        <f t="shared" si="2180"/>
        <v>0</v>
      </c>
      <c r="RK335" s="21">
        <f t="shared" si="2180"/>
        <v>0</v>
      </c>
      <c r="RL335" s="21">
        <f t="shared" si="2180"/>
        <v>0</v>
      </c>
      <c r="RM335" s="21">
        <f t="shared" si="2180"/>
        <v>0</v>
      </c>
      <c r="RN335" s="21">
        <f t="shared" ref="RN335:RU335" si="2181">IF($F$290, 0, IF($J$298, IF(AND(COLUMN($RN$335)-COLUMN($QH$335)=$Q$291,ROW($RN$335)-ROW($QH$335)=$K$291), U$290, RN335), RN335))</f>
        <v>0</v>
      </c>
      <c r="RO335" s="21">
        <f t="shared" si="2181"/>
        <v>0</v>
      </c>
      <c r="RP335" s="21">
        <f t="shared" si="2181"/>
        <v>0</v>
      </c>
      <c r="RQ335" s="21">
        <f t="shared" si="2181"/>
        <v>0</v>
      </c>
      <c r="RR335" s="21">
        <f t="shared" si="2181"/>
        <v>0</v>
      </c>
      <c r="RS335" s="21">
        <f t="shared" si="2181"/>
        <v>0</v>
      </c>
      <c r="RT335" s="21">
        <f t="shared" si="2181"/>
        <v>0</v>
      </c>
      <c r="RU335" s="21">
        <f t="shared" si="2181"/>
        <v>0</v>
      </c>
      <c r="RV335" s="21">
        <f t="shared" ref="RV335:SC335" si="2182">IF($F$290, 0, IF($J$298, IF(AND(COLUMN($RV$335)-COLUMN($QH$335)=$Q$291,ROW($RV$335)-ROW($QH$335)=$K$291), U$290, RV335), RV335))</f>
        <v>0</v>
      </c>
      <c r="RW335" s="21">
        <f t="shared" si="2182"/>
        <v>0</v>
      </c>
      <c r="RX335" s="21">
        <f t="shared" si="2182"/>
        <v>0</v>
      </c>
      <c r="RY335" s="21">
        <f t="shared" si="2182"/>
        <v>0</v>
      </c>
      <c r="RZ335" s="21">
        <f t="shared" si="2182"/>
        <v>0</v>
      </c>
      <c r="SA335" s="21">
        <f t="shared" si="2182"/>
        <v>0</v>
      </c>
      <c r="SB335" s="21">
        <f t="shared" si="2182"/>
        <v>0</v>
      </c>
      <c r="SC335" s="21">
        <f t="shared" si="2182"/>
        <v>0</v>
      </c>
      <c r="SD335" s="21">
        <f t="shared" ref="SD335:SK335" si="2183">IF($F$290, 0, IF($J$298, IF(AND(COLUMN($SD$335)-COLUMN($QH$335)=$Q$291,ROW($SD$335)-ROW($QH$335)=$K$291), U$290, SD335), SD335))</f>
        <v>0</v>
      </c>
      <c r="SE335" s="21">
        <f t="shared" si="2183"/>
        <v>0</v>
      </c>
      <c r="SF335" s="21">
        <f t="shared" si="2183"/>
        <v>0</v>
      </c>
      <c r="SG335" s="21">
        <f t="shared" si="2183"/>
        <v>0</v>
      </c>
      <c r="SH335" s="21">
        <f t="shared" si="2183"/>
        <v>0</v>
      </c>
      <c r="SI335" s="21">
        <f t="shared" si="2183"/>
        <v>0</v>
      </c>
      <c r="SJ335" s="21">
        <f t="shared" si="2183"/>
        <v>0</v>
      </c>
      <c r="SK335" s="21">
        <f t="shared" si="2183"/>
        <v>0</v>
      </c>
      <c r="SL335" s="21">
        <f t="shared" ref="SL335:SS335" si="2184">IF($F$290, 0, IF($J$298, IF(AND(COLUMN($SL$335)-COLUMN($QH$335)=$Q$291,ROW($SL$335)-ROW($QH$335)=$K$291), U$290, SL335), SL335))</f>
        <v>0</v>
      </c>
      <c r="SM335" s="21">
        <f t="shared" si="2184"/>
        <v>0</v>
      </c>
      <c r="SN335" s="21">
        <f t="shared" si="2184"/>
        <v>0</v>
      </c>
      <c r="SO335" s="21">
        <f t="shared" si="2184"/>
        <v>0</v>
      </c>
      <c r="SP335" s="21">
        <f t="shared" si="2184"/>
        <v>0</v>
      </c>
      <c r="SQ335" s="21">
        <f t="shared" si="2184"/>
        <v>0</v>
      </c>
      <c r="SR335" s="21">
        <f t="shared" si="2184"/>
        <v>0</v>
      </c>
      <c r="SS335" s="21">
        <f t="shared" si="2184"/>
        <v>0</v>
      </c>
    </row>
    <row r="336" spans="2:513" ht="15" customHeight="1" x14ac:dyDescent="0.25">
      <c r="B336" s="21">
        <f t="shared" ref="B336:I336" si="2185">IF($F$290, 0, IF($C$298, IF(AND(COLUMN($B$336)-COLUMN($B$335)=$Q$291,ROW($B$336)-ROW($B$335)=$K$291), U$290, B336), B336))</f>
        <v>0</v>
      </c>
      <c r="C336" s="21">
        <f t="shared" si="2185"/>
        <v>0</v>
      </c>
      <c r="D336" s="21">
        <f t="shared" si="2185"/>
        <v>0</v>
      </c>
      <c r="E336" s="21">
        <f t="shared" si="2185"/>
        <v>0</v>
      </c>
      <c r="F336" s="21">
        <f t="shared" si="2185"/>
        <v>0</v>
      </c>
      <c r="G336" s="21">
        <f t="shared" si="2185"/>
        <v>0</v>
      </c>
      <c r="H336" s="21">
        <f t="shared" si="2185"/>
        <v>0</v>
      </c>
      <c r="I336" s="21">
        <f t="shared" si="2185"/>
        <v>0</v>
      </c>
      <c r="J336" s="21">
        <f t="shared" ref="J336:Q336" si="2186">IF($F$290, 0, IF($C$298, IF(AND(COLUMN($J$336)-COLUMN($B$335)=$Q$291,ROW($J$336)-ROW($B$335)=$K$291), U$290, J336), J336))</f>
        <v>0</v>
      </c>
      <c r="K336" s="21">
        <f t="shared" si="2186"/>
        <v>0</v>
      </c>
      <c r="L336" s="21">
        <f t="shared" si="2186"/>
        <v>0</v>
      </c>
      <c r="M336" s="21">
        <f t="shared" si="2186"/>
        <v>0</v>
      </c>
      <c r="N336" s="21">
        <f t="shared" si="2186"/>
        <v>0</v>
      </c>
      <c r="O336" s="21">
        <f t="shared" si="2186"/>
        <v>0</v>
      </c>
      <c r="P336" s="21">
        <f t="shared" si="2186"/>
        <v>0</v>
      </c>
      <c r="Q336" s="21">
        <f t="shared" si="2186"/>
        <v>0</v>
      </c>
      <c r="R336" s="21">
        <f>IF($F$290, 0, IF($C$298, IF(AND(COLUMN($R$336)-COLUMN($B$335)=$Q$291,ROW($R$336)-ROW($B$335)=$K$291), U$290, R336), R336))</f>
        <v>0</v>
      </c>
      <c r="S336" s="21">
        <f t="shared" ref="S336:Y336" si="2187">IF($F$290, 0, IF($C$298, IF(AND(COLUMN($R$336)-COLUMN($B$335)=$Q$291,ROW($R$336)-ROW($B$335)=$K$291), V$290, S336), S336))</f>
        <v>0</v>
      </c>
      <c r="T336" s="21">
        <f t="shared" si="2187"/>
        <v>0</v>
      </c>
      <c r="U336" s="21">
        <f t="shared" si="2187"/>
        <v>0</v>
      </c>
      <c r="V336" s="21">
        <f t="shared" si="2187"/>
        <v>0</v>
      </c>
      <c r="W336" s="21">
        <f t="shared" si="2187"/>
        <v>0</v>
      </c>
      <c r="X336" s="21">
        <f t="shared" si="2187"/>
        <v>0</v>
      </c>
      <c r="Y336" s="21">
        <f t="shared" si="2187"/>
        <v>0</v>
      </c>
      <c r="Z336" s="21">
        <f t="shared" ref="Z336:AG336" si="2188">IF($F$290, 0, IF($C$298, IF(AND(COLUMN($Z$336)-COLUMN($B$335)=$Q$291,ROW($Z$336)-ROW($B$335)=$K$291), U$290, Z336), Z336))</f>
        <v>0</v>
      </c>
      <c r="AA336" s="21">
        <f t="shared" si="2188"/>
        <v>0</v>
      </c>
      <c r="AB336" s="21">
        <f t="shared" si="2188"/>
        <v>0</v>
      </c>
      <c r="AC336" s="21">
        <f t="shared" si="2188"/>
        <v>0</v>
      </c>
      <c r="AD336" s="21">
        <f t="shared" si="2188"/>
        <v>0</v>
      </c>
      <c r="AE336" s="21">
        <f t="shared" si="2188"/>
        <v>0</v>
      </c>
      <c r="AF336" s="21">
        <f t="shared" si="2188"/>
        <v>0</v>
      </c>
      <c r="AG336" s="21">
        <f t="shared" si="2188"/>
        <v>0</v>
      </c>
      <c r="AH336" s="21">
        <f t="shared" ref="AH336:AO336" si="2189">IF($F$290, 0, IF($C$298, IF(AND(COLUMN($AH$336)-COLUMN($B$335)=$Q$291,ROW($AH$336)-ROW($B$335)=$K$291), U$290, AH336), AH336))</f>
        <v>0</v>
      </c>
      <c r="AI336" s="21">
        <f t="shared" si="2189"/>
        <v>0</v>
      </c>
      <c r="AJ336" s="21">
        <f t="shared" si="2189"/>
        <v>0</v>
      </c>
      <c r="AK336" s="21">
        <f t="shared" si="2189"/>
        <v>0</v>
      </c>
      <c r="AL336" s="21">
        <f t="shared" si="2189"/>
        <v>0</v>
      </c>
      <c r="AM336" s="21">
        <f t="shared" si="2189"/>
        <v>0</v>
      </c>
      <c r="AN336" s="21">
        <f t="shared" si="2189"/>
        <v>0</v>
      </c>
      <c r="AO336" s="21">
        <f t="shared" si="2189"/>
        <v>0</v>
      </c>
      <c r="AP336" s="21">
        <f t="shared" ref="AP336:AW336" si="2190">IF($F$290, 0, IF($C$298, IF(AND(COLUMN($AP$336)-COLUMN($B$335)=$Q$291,ROW($AP$336)-ROW($B$335)=$K$291), U$290, AP336), AP336))</f>
        <v>0</v>
      </c>
      <c r="AQ336" s="21">
        <f t="shared" si="2190"/>
        <v>0</v>
      </c>
      <c r="AR336" s="21">
        <f t="shared" si="2190"/>
        <v>0</v>
      </c>
      <c r="AS336" s="21">
        <f t="shared" si="2190"/>
        <v>0</v>
      </c>
      <c r="AT336" s="21">
        <f t="shared" si="2190"/>
        <v>0</v>
      </c>
      <c r="AU336" s="21">
        <f t="shared" si="2190"/>
        <v>0</v>
      </c>
      <c r="AV336" s="21">
        <f t="shared" si="2190"/>
        <v>0</v>
      </c>
      <c r="AW336" s="21">
        <f t="shared" si="2190"/>
        <v>0</v>
      </c>
      <c r="AX336" s="21">
        <f t="shared" ref="AX336:BE336" si="2191">IF($F$290, 0, IF($C$298, IF(AND(COLUMN($AX$336)-COLUMN($B$335)=$Q$291,ROW($AX$336)-ROW($B$335)=$K$291), U$290, AX336), AX336))</f>
        <v>0</v>
      </c>
      <c r="AY336" s="21">
        <f t="shared" si="2191"/>
        <v>0</v>
      </c>
      <c r="AZ336" s="21">
        <f t="shared" si="2191"/>
        <v>0</v>
      </c>
      <c r="BA336" s="21">
        <f t="shared" si="2191"/>
        <v>0</v>
      </c>
      <c r="BB336" s="21">
        <f t="shared" si="2191"/>
        <v>0</v>
      </c>
      <c r="BC336" s="21">
        <f t="shared" si="2191"/>
        <v>0</v>
      </c>
      <c r="BD336" s="21">
        <f t="shared" si="2191"/>
        <v>0</v>
      </c>
      <c r="BE336" s="21">
        <f t="shared" si="2191"/>
        <v>0</v>
      </c>
      <c r="BF336" s="21">
        <f t="shared" ref="BF336:BM336" si="2192">IF($F$290, 0, IF($C$298, IF(AND(COLUMN($BF$336)-COLUMN($B$335)=$Q$291,ROW($BF$336)-ROW($B$335)=$K$291), U$290, BF336), BF336))</f>
        <v>0</v>
      </c>
      <c r="BG336" s="21">
        <f t="shared" si="2192"/>
        <v>0</v>
      </c>
      <c r="BH336" s="21">
        <f t="shared" si="2192"/>
        <v>0</v>
      </c>
      <c r="BI336" s="21">
        <f t="shared" si="2192"/>
        <v>0</v>
      </c>
      <c r="BJ336" s="21">
        <f t="shared" si="2192"/>
        <v>0</v>
      </c>
      <c r="BK336" s="21">
        <f t="shared" si="2192"/>
        <v>0</v>
      </c>
      <c r="BL336" s="21">
        <f t="shared" si="2192"/>
        <v>0</v>
      </c>
      <c r="BM336" s="21">
        <f t="shared" si="2192"/>
        <v>0</v>
      </c>
      <c r="BN336" s="21">
        <f t="shared" ref="BN336:BU336" si="2193">IF($F$290, 0, IF($D$298, IF(AND(COLUMN($BN$336)-COLUMN($BN$335)=$Q$291,ROW($BN$336)-ROW($BN$335)=$K$291), U$290, BN336), BN336))</f>
        <v>0</v>
      </c>
      <c r="BO336" s="21">
        <f t="shared" si="2193"/>
        <v>0</v>
      </c>
      <c r="BP336" s="21">
        <f t="shared" si="2193"/>
        <v>0</v>
      </c>
      <c r="BQ336" s="21">
        <f t="shared" si="2193"/>
        <v>0</v>
      </c>
      <c r="BR336" s="21">
        <f t="shared" si="2193"/>
        <v>0</v>
      </c>
      <c r="BS336" s="21">
        <f t="shared" si="2193"/>
        <v>0</v>
      </c>
      <c r="BT336" s="21">
        <f t="shared" si="2193"/>
        <v>0</v>
      </c>
      <c r="BU336" s="21">
        <f t="shared" si="2193"/>
        <v>0</v>
      </c>
      <c r="BV336" s="21">
        <f t="shared" ref="BV336:CC336" si="2194">IF($F$290, 0, IF($D$298, IF(AND(COLUMN($BV$336)-COLUMN($BN$335)=$Q$291,ROW($BV$336)-ROW($BN$335)=$K$291), U$290, BV336), BV336))</f>
        <v>0</v>
      </c>
      <c r="BW336" s="21">
        <f t="shared" si="2194"/>
        <v>0</v>
      </c>
      <c r="BX336" s="21">
        <f t="shared" si="2194"/>
        <v>0</v>
      </c>
      <c r="BY336" s="21">
        <f t="shared" si="2194"/>
        <v>0</v>
      </c>
      <c r="BZ336" s="21">
        <f t="shared" si="2194"/>
        <v>0</v>
      </c>
      <c r="CA336" s="21">
        <f t="shared" si="2194"/>
        <v>0</v>
      </c>
      <c r="CB336" s="21">
        <f t="shared" si="2194"/>
        <v>0</v>
      </c>
      <c r="CC336" s="21">
        <f t="shared" si="2194"/>
        <v>0</v>
      </c>
      <c r="CD336" s="21">
        <f t="shared" ref="CD336:CK336" si="2195">IF($F$290, 0, IF($D$298, IF(AND(COLUMN($CD$336)-COLUMN($BN$335)=$Q$291,ROW($CD$336)-ROW($BN$335)=$K$291), U$290, CD336), CD336))</f>
        <v>0</v>
      </c>
      <c r="CE336" s="21">
        <f t="shared" si="2195"/>
        <v>0</v>
      </c>
      <c r="CF336" s="21">
        <f t="shared" si="2195"/>
        <v>0</v>
      </c>
      <c r="CG336" s="21">
        <f t="shared" si="2195"/>
        <v>0</v>
      </c>
      <c r="CH336" s="21">
        <f t="shared" si="2195"/>
        <v>0</v>
      </c>
      <c r="CI336" s="21">
        <f t="shared" si="2195"/>
        <v>0</v>
      </c>
      <c r="CJ336" s="21">
        <f t="shared" si="2195"/>
        <v>0</v>
      </c>
      <c r="CK336" s="21">
        <f t="shared" si="2195"/>
        <v>0</v>
      </c>
      <c r="CL336" s="21">
        <f t="shared" ref="CL336:CS336" si="2196">IF($F$290, 0, IF($D$298, IF(AND(COLUMN($CL$336)-COLUMN($BN$335)=$Q$291,ROW($CL$336)-ROW($BN$335)=$K$291), U$290, CL336), CL336))</f>
        <v>0</v>
      </c>
      <c r="CM336" s="21">
        <f t="shared" si="2196"/>
        <v>0</v>
      </c>
      <c r="CN336" s="21">
        <f t="shared" si="2196"/>
        <v>0</v>
      </c>
      <c r="CO336" s="21">
        <f t="shared" si="2196"/>
        <v>0</v>
      </c>
      <c r="CP336" s="21">
        <f t="shared" si="2196"/>
        <v>0</v>
      </c>
      <c r="CQ336" s="21">
        <f t="shared" si="2196"/>
        <v>0</v>
      </c>
      <c r="CR336" s="21">
        <f t="shared" si="2196"/>
        <v>0</v>
      </c>
      <c r="CS336" s="21">
        <f t="shared" si="2196"/>
        <v>0</v>
      </c>
      <c r="CT336" s="21">
        <f t="shared" ref="CT336:DA336" si="2197">IF($F$290, 0, IF($D$298, IF(AND(COLUMN($CT$336)-COLUMN($BN$335)=$Q$291,ROW($CT$336)-ROW($BN$335)=$K$291), U$290, CT336), CT336))</f>
        <v>0</v>
      </c>
      <c r="CU336" s="21">
        <f t="shared" si="2197"/>
        <v>0</v>
      </c>
      <c r="CV336" s="21">
        <f t="shared" si="2197"/>
        <v>0</v>
      </c>
      <c r="CW336" s="21">
        <f t="shared" si="2197"/>
        <v>0</v>
      </c>
      <c r="CX336" s="21">
        <f t="shared" si="2197"/>
        <v>0</v>
      </c>
      <c r="CY336" s="21">
        <f t="shared" si="2197"/>
        <v>0</v>
      </c>
      <c r="CZ336" s="21">
        <f t="shared" si="2197"/>
        <v>0</v>
      </c>
      <c r="DA336" s="21">
        <f t="shared" si="2197"/>
        <v>0</v>
      </c>
      <c r="DB336" s="21">
        <f t="shared" ref="DB336:DI336" si="2198">IF($F$290, 0, IF($D$298, IF(AND(COLUMN($DB$336)-COLUMN($BN$335)=$Q$291,ROW($DB$336)-ROW($BN$335)=$K$291), U$290, DB336), DB336))</f>
        <v>0</v>
      </c>
      <c r="DC336" s="21">
        <f t="shared" si="2198"/>
        <v>0</v>
      </c>
      <c r="DD336" s="21">
        <f t="shared" si="2198"/>
        <v>0</v>
      </c>
      <c r="DE336" s="21">
        <f t="shared" si="2198"/>
        <v>0</v>
      </c>
      <c r="DF336" s="21">
        <f t="shared" si="2198"/>
        <v>0</v>
      </c>
      <c r="DG336" s="21">
        <f t="shared" si="2198"/>
        <v>0</v>
      </c>
      <c r="DH336" s="21">
        <f t="shared" si="2198"/>
        <v>0</v>
      </c>
      <c r="DI336" s="21">
        <f t="shared" si="2198"/>
        <v>0</v>
      </c>
      <c r="DJ336" s="21">
        <f t="shared" ref="DJ336:DQ336" si="2199">IF($F$290, 0, IF($D$298, IF(AND(COLUMN($DJ$336)-COLUMN($BN$335)=$Q$291,ROW($DJ$336)-ROW($BN$335)=$K$291), U$290, DJ336), DJ336))</f>
        <v>0</v>
      </c>
      <c r="DK336" s="21">
        <f t="shared" si="2199"/>
        <v>0</v>
      </c>
      <c r="DL336" s="21">
        <f t="shared" si="2199"/>
        <v>0</v>
      </c>
      <c r="DM336" s="21">
        <f t="shared" si="2199"/>
        <v>0</v>
      </c>
      <c r="DN336" s="21">
        <f t="shared" si="2199"/>
        <v>0</v>
      </c>
      <c r="DO336" s="21">
        <f t="shared" si="2199"/>
        <v>0</v>
      </c>
      <c r="DP336" s="21">
        <f t="shared" si="2199"/>
        <v>0</v>
      </c>
      <c r="DQ336" s="21">
        <f t="shared" si="2199"/>
        <v>0</v>
      </c>
      <c r="DR336" s="21">
        <f t="shared" ref="DR336:DY336" si="2200">IF($F$290, 0, IF($D$298, IF(AND(COLUMN($DR$336)-COLUMN($BN$335)=$Q$291,ROW($DR$336)-ROW($BN$335)=$K$291), U$290, DR336), DR336))</f>
        <v>0</v>
      </c>
      <c r="DS336" s="21">
        <f t="shared" si="2200"/>
        <v>0</v>
      </c>
      <c r="DT336" s="21">
        <f t="shared" si="2200"/>
        <v>0</v>
      </c>
      <c r="DU336" s="21">
        <f t="shared" si="2200"/>
        <v>0</v>
      </c>
      <c r="DV336" s="21">
        <f t="shared" si="2200"/>
        <v>0</v>
      </c>
      <c r="DW336" s="21">
        <f t="shared" si="2200"/>
        <v>0</v>
      </c>
      <c r="DX336" s="21">
        <f t="shared" si="2200"/>
        <v>0</v>
      </c>
      <c r="DY336" s="21">
        <f t="shared" si="2200"/>
        <v>0</v>
      </c>
      <c r="DZ336" s="21">
        <f t="shared" ref="DZ336:EG336" si="2201">IF($F$290, 0, IF($E$298, IF(AND(COLUMN($DZ$336)-COLUMN($DZ$335)=$Q$291,ROW($DZ$336)-ROW($DZ$335)=$K$291), U$290, DZ336), DZ336))</f>
        <v>0</v>
      </c>
      <c r="EA336" s="21">
        <f t="shared" si="2201"/>
        <v>0</v>
      </c>
      <c r="EB336" s="21">
        <f t="shared" si="2201"/>
        <v>0</v>
      </c>
      <c r="EC336" s="21">
        <f t="shared" si="2201"/>
        <v>0</v>
      </c>
      <c r="ED336" s="21">
        <f t="shared" si="2201"/>
        <v>0</v>
      </c>
      <c r="EE336" s="21">
        <f t="shared" si="2201"/>
        <v>0</v>
      </c>
      <c r="EF336" s="21">
        <f t="shared" si="2201"/>
        <v>0</v>
      </c>
      <c r="EG336" s="21">
        <f t="shared" si="2201"/>
        <v>0</v>
      </c>
      <c r="EH336" s="21">
        <f t="shared" ref="EH336:EO336" si="2202">IF($F$290, 0, IF($E$298, IF(AND(COLUMN($EH$336)-COLUMN($DZ$335)=$Q$291,ROW($EH$336)-ROW($DZ$335)=$K$291), U$290, EH336), EH336))</f>
        <v>0</v>
      </c>
      <c r="EI336" s="21">
        <f t="shared" si="2202"/>
        <v>0</v>
      </c>
      <c r="EJ336" s="21">
        <f t="shared" si="2202"/>
        <v>0</v>
      </c>
      <c r="EK336" s="21">
        <f t="shared" si="2202"/>
        <v>0</v>
      </c>
      <c r="EL336" s="21">
        <f t="shared" si="2202"/>
        <v>0</v>
      </c>
      <c r="EM336" s="21">
        <f t="shared" si="2202"/>
        <v>0</v>
      </c>
      <c r="EN336" s="21">
        <f t="shared" si="2202"/>
        <v>0</v>
      </c>
      <c r="EO336" s="21">
        <f t="shared" si="2202"/>
        <v>0</v>
      </c>
      <c r="EP336" s="21">
        <f t="shared" ref="EP336:EW336" si="2203">IF($F$290, 0, IF($E$298, IF(AND(COLUMN($EP$336)-COLUMN($DZ$335)=$Q$291,ROW($EP$336)-ROW($DZ$335)=$K$291), U$290, EP336), EP336))</f>
        <v>0</v>
      </c>
      <c r="EQ336" s="21">
        <f t="shared" si="2203"/>
        <v>0</v>
      </c>
      <c r="ER336" s="21">
        <f t="shared" si="2203"/>
        <v>0</v>
      </c>
      <c r="ES336" s="21">
        <f t="shared" si="2203"/>
        <v>0</v>
      </c>
      <c r="ET336" s="21">
        <f t="shared" si="2203"/>
        <v>0</v>
      </c>
      <c r="EU336" s="21">
        <f t="shared" si="2203"/>
        <v>0</v>
      </c>
      <c r="EV336" s="21">
        <f t="shared" si="2203"/>
        <v>0</v>
      </c>
      <c r="EW336" s="21">
        <f t="shared" si="2203"/>
        <v>0</v>
      </c>
      <c r="EX336" s="21">
        <f t="shared" ref="EX336:FE336" si="2204">IF($F$290, 0, IF($E$298, IF(AND(COLUMN($EX$336)-COLUMN($DZ$335)=$Q$291,ROW($EX$336)-ROW($DZ$335)=$K$291), U$290, EX336), EX336))</f>
        <v>0</v>
      </c>
      <c r="EY336" s="21">
        <f t="shared" si="2204"/>
        <v>0</v>
      </c>
      <c r="EZ336" s="21">
        <f t="shared" si="2204"/>
        <v>0</v>
      </c>
      <c r="FA336" s="21">
        <f t="shared" si="2204"/>
        <v>0</v>
      </c>
      <c r="FB336" s="21">
        <f t="shared" si="2204"/>
        <v>0</v>
      </c>
      <c r="FC336" s="21">
        <f t="shared" si="2204"/>
        <v>0</v>
      </c>
      <c r="FD336" s="21">
        <f t="shared" si="2204"/>
        <v>0</v>
      </c>
      <c r="FE336" s="21">
        <f t="shared" si="2204"/>
        <v>0</v>
      </c>
      <c r="FF336" s="21">
        <f t="shared" ref="FF336:FM336" si="2205">IF($F$290, 0, IF($E$298, IF(AND(COLUMN($FF$336)-COLUMN($DZ$335)=$Q$291,ROW($FF$336)-ROW($DZ$335)=$K$291), U$290, FF336), FF336))</f>
        <v>0</v>
      </c>
      <c r="FG336" s="21">
        <f t="shared" si="2205"/>
        <v>0</v>
      </c>
      <c r="FH336" s="21">
        <f t="shared" si="2205"/>
        <v>0</v>
      </c>
      <c r="FI336" s="21">
        <f t="shared" si="2205"/>
        <v>0</v>
      </c>
      <c r="FJ336" s="21">
        <f t="shared" si="2205"/>
        <v>0</v>
      </c>
      <c r="FK336" s="21">
        <f t="shared" si="2205"/>
        <v>0</v>
      </c>
      <c r="FL336" s="21">
        <f t="shared" si="2205"/>
        <v>0</v>
      </c>
      <c r="FM336" s="21">
        <f t="shared" si="2205"/>
        <v>0</v>
      </c>
      <c r="FN336" s="21">
        <f t="shared" ref="FN336:FU336" si="2206">IF($F$290, 0, IF($E$298, IF(AND(COLUMN($FN$336)-COLUMN($DZ$335)=$Q$291,ROW($FN$336)-ROW($DZ$335)=$K$291), U$290, FN336), FN336))</f>
        <v>0</v>
      </c>
      <c r="FO336" s="21">
        <f t="shared" si="2206"/>
        <v>0</v>
      </c>
      <c r="FP336" s="21">
        <f t="shared" si="2206"/>
        <v>0</v>
      </c>
      <c r="FQ336" s="21">
        <f t="shared" si="2206"/>
        <v>0</v>
      </c>
      <c r="FR336" s="21">
        <f t="shared" si="2206"/>
        <v>0</v>
      </c>
      <c r="FS336" s="21">
        <f t="shared" si="2206"/>
        <v>0</v>
      </c>
      <c r="FT336" s="21">
        <f t="shared" si="2206"/>
        <v>0</v>
      </c>
      <c r="FU336" s="21">
        <f t="shared" si="2206"/>
        <v>0</v>
      </c>
      <c r="FV336" s="21">
        <f t="shared" ref="FV336:GC336" si="2207">IF($F$290, 0, IF($E$298, IF(AND(COLUMN($FV$336)-COLUMN($DZ$335)=$Q$291,ROW($FV$336)-ROW($DZ$335)=$K$291), U$290, FV336), FV336))</f>
        <v>0</v>
      </c>
      <c r="FW336" s="21">
        <f t="shared" si="2207"/>
        <v>0</v>
      </c>
      <c r="FX336" s="21">
        <f t="shared" si="2207"/>
        <v>0</v>
      </c>
      <c r="FY336" s="21">
        <f t="shared" si="2207"/>
        <v>0</v>
      </c>
      <c r="FZ336" s="21">
        <f t="shared" si="2207"/>
        <v>0</v>
      </c>
      <c r="GA336" s="21">
        <f t="shared" si="2207"/>
        <v>0</v>
      </c>
      <c r="GB336" s="21">
        <f t="shared" si="2207"/>
        <v>0</v>
      </c>
      <c r="GC336" s="21">
        <f t="shared" si="2207"/>
        <v>0</v>
      </c>
      <c r="GD336" s="21">
        <f t="shared" ref="GD336:GK336" si="2208">IF($F$290, 0, IF($E$298, IF(AND(COLUMN($GD$336)-COLUMN($DZ$335)=$Q$291,ROW($GD$336)-ROW($DZ$335)=$K$291), U$290, GD336), GD336))</f>
        <v>0</v>
      </c>
      <c r="GE336" s="21">
        <f t="shared" si="2208"/>
        <v>0</v>
      </c>
      <c r="GF336" s="21">
        <f t="shared" si="2208"/>
        <v>0</v>
      </c>
      <c r="GG336" s="21">
        <f t="shared" si="2208"/>
        <v>0</v>
      </c>
      <c r="GH336" s="21">
        <f t="shared" si="2208"/>
        <v>0</v>
      </c>
      <c r="GI336" s="21">
        <f t="shared" si="2208"/>
        <v>0</v>
      </c>
      <c r="GJ336" s="21">
        <f t="shared" si="2208"/>
        <v>0</v>
      </c>
      <c r="GK336" s="21">
        <f t="shared" si="2208"/>
        <v>0</v>
      </c>
      <c r="GL336" s="21">
        <f t="shared" ref="GL336:GS336" si="2209">IF($F$290, 0, IF($F$298, IF(AND(COLUMN($GL$336)-COLUMN($GL$335)=$Q$291,ROW($GL$336)-ROW($GL$335)=$K$291), U$290, GL336), GL336))</f>
        <v>0</v>
      </c>
      <c r="GM336" s="21">
        <f t="shared" si="2209"/>
        <v>0</v>
      </c>
      <c r="GN336" s="21">
        <f t="shared" si="2209"/>
        <v>0</v>
      </c>
      <c r="GO336" s="21">
        <f t="shared" si="2209"/>
        <v>0</v>
      </c>
      <c r="GP336" s="21">
        <f t="shared" si="2209"/>
        <v>0</v>
      </c>
      <c r="GQ336" s="21">
        <f t="shared" si="2209"/>
        <v>0</v>
      </c>
      <c r="GR336" s="21">
        <f t="shared" si="2209"/>
        <v>0</v>
      </c>
      <c r="GS336" s="21">
        <f t="shared" si="2209"/>
        <v>0</v>
      </c>
      <c r="GT336" s="21">
        <f t="shared" ref="GT336:HA336" si="2210">IF($F$290, 0, IF($F$298, IF(AND(COLUMN($GT$336)-COLUMN($GL$335)=$Q$291,ROW($GT$336)-ROW($GL$335)=$K$291), U$290, GT336), GT336))</f>
        <v>0</v>
      </c>
      <c r="GU336" s="21">
        <f t="shared" si="2210"/>
        <v>0</v>
      </c>
      <c r="GV336" s="21">
        <f t="shared" si="2210"/>
        <v>0</v>
      </c>
      <c r="GW336" s="21">
        <f t="shared" si="2210"/>
        <v>0</v>
      </c>
      <c r="GX336" s="21">
        <f t="shared" si="2210"/>
        <v>0</v>
      </c>
      <c r="GY336" s="21">
        <f t="shared" si="2210"/>
        <v>0</v>
      </c>
      <c r="GZ336" s="21">
        <f t="shared" si="2210"/>
        <v>0</v>
      </c>
      <c r="HA336" s="21">
        <f t="shared" si="2210"/>
        <v>0</v>
      </c>
      <c r="HB336" s="21">
        <f t="shared" ref="HB336:HI336" si="2211">IF($F$290, 0, IF($F$298, IF(AND(COLUMN($HB$336)-COLUMN($GL$335)=$Q$291,ROW($HB$336)-ROW($GL$335)=$K$291), U$290, HB336), HB336))</f>
        <v>0</v>
      </c>
      <c r="HC336" s="21">
        <f t="shared" si="2211"/>
        <v>0</v>
      </c>
      <c r="HD336" s="21">
        <f t="shared" si="2211"/>
        <v>0</v>
      </c>
      <c r="HE336" s="21">
        <f t="shared" si="2211"/>
        <v>0</v>
      </c>
      <c r="HF336" s="21">
        <f t="shared" si="2211"/>
        <v>0</v>
      </c>
      <c r="HG336" s="21">
        <f t="shared" si="2211"/>
        <v>0</v>
      </c>
      <c r="HH336" s="21">
        <f t="shared" si="2211"/>
        <v>0</v>
      </c>
      <c r="HI336" s="21">
        <f t="shared" si="2211"/>
        <v>0</v>
      </c>
      <c r="HJ336" s="21">
        <f t="shared" ref="HJ336:HQ336" si="2212">IF($F$290, 0, IF($F$298, IF(AND(COLUMN($HJ$336)-COLUMN($GL$335)=$Q$291,ROW($HJ$336)-ROW($GL$335)=$K$291), U$290, HJ336), HJ336))</f>
        <v>0</v>
      </c>
      <c r="HK336" s="21">
        <f t="shared" si="2212"/>
        <v>0</v>
      </c>
      <c r="HL336" s="21">
        <f t="shared" si="2212"/>
        <v>0</v>
      </c>
      <c r="HM336" s="21">
        <f t="shared" si="2212"/>
        <v>0</v>
      </c>
      <c r="HN336" s="21">
        <f t="shared" si="2212"/>
        <v>0</v>
      </c>
      <c r="HO336" s="21">
        <f t="shared" si="2212"/>
        <v>0</v>
      </c>
      <c r="HP336" s="21">
        <f t="shared" si="2212"/>
        <v>0</v>
      </c>
      <c r="HQ336" s="21">
        <f t="shared" si="2212"/>
        <v>0</v>
      </c>
      <c r="HR336" s="21">
        <f t="shared" ref="HR336:HY336" si="2213">IF($F$290, 0, IF($F$298, IF(AND(COLUMN($HR$336)-COLUMN($GL$335)=$Q$291,ROW($HR$336)-ROW($GL$335)=$K$291), U$290, HR336), HR336))</f>
        <v>0</v>
      </c>
      <c r="HS336" s="21">
        <f t="shared" si="2213"/>
        <v>0</v>
      </c>
      <c r="HT336" s="21">
        <f t="shared" si="2213"/>
        <v>0</v>
      </c>
      <c r="HU336" s="21">
        <f t="shared" si="2213"/>
        <v>0</v>
      </c>
      <c r="HV336" s="21">
        <f t="shared" si="2213"/>
        <v>0</v>
      </c>
      <c r="HW336" s="21">
        <f t="shared" si="2213"/>
        <v>0</v>
      </c>
      <c r="HX336" s="21">
        <f t="shared" si="2213"/>
        <v>0</v>
      </c>
      <c r="HY336" s="21">
        <f t="shared" si="2213"/>
        <v>0</v>
      </c>
      <c r="HZ336" s="21">
        <f t="shared" ref="HZ336:IG336" si="2214">IF($F$290, 0, IF($F$298, IF(AND(COLUMN($HZ$336)-COLUMN($GL$335)=$Q$291,ROW($HZ$336)-ROW($GL$335)=$K$291), U$290, HZ336), HZ336))</f>
        <v>0</v>
      </c>
      <c r="IA336" s="21">
        <f t="shared" si="2214"/>
        <v>0</v>
      </c>
      <c r="IB336" s="21">
        <f t="shared" si="2214"/>
        <v>0</v>
      </c>
      <c r="IC336" s="21">
        <f t="shared" si="2214"/>
        <v>0</v>
      </c>
      <c r="ID336" s="21">
        <f t="shared" si="2214"/>
        <v>0</v>
      </c>
      <c r="IE336" s="21">
        <f t="shared" si="2214"/>
        <v>0</v>
      </c>
      <c r="IF336" s="21">
        <f t="shared" si="2214"/>
        <v>0</v>
      </c>
      <c r="IG336" s="21">
        <f t="shared" si="2214"/>
        <v>0</v>
      </c>
      <c r="IH336" s="21">
        <f t="shared" ref="IH336:IO336" si="2215">IF($F$290, 0, IF($F$298, IF(AND(COLUMN($IH$336)-COLUMN($GL$335)=$Q$291,ROW($IH$336)-ROW($GL$335)=$K$291), U$290, IH336), IH336))</f>
        <v>0</v>
      </c>
      <c r="II336" s="21">
        <f t="shared" si="2215"/>
        <v>0</v>
      </c>
      <c r="IJ336" s="21">
        <f t="shared" si="2215"/>
        <v>0</v>
      </c>
      <c r="IK336" s="21">
        <f t="shared" si="2215"/>
        <v>0</v>
      </c>
      <c r="IL336" s="21">
        <f t="shared" si="2215"/>
        <v>0</v>
      </c>
      <c r="IM336" s="21">
        <f t="shared" si="2215"/>
        <v>0</v>
      </c>
      <c r="IN336" s="21">
        <f t="shared" si="2215"/>
        <v>0</v>
      </c>
      <c r="IO336" s="21">
        <f t="shared" si="2215"/>
        <v>0</v>
      </c>
      <c r="IP336" s="21">
        <f t="shared" ref="IP336:IW336" si="2216">IF($F$290, 0, IF($F$298, IF(AND(COLUMN($IP$336)-COLUMN($GL$335)=$Q$291,ROW($IP$336)-ROW($GL$335)=$K$291), U$290, IP336), IP336))</f>
        <v>0</v>
      </c>
      <c r="IQ336" s="21">
        <f t="shared" si="2216"/>
        <v>0</v>
      </c>
      <c r="IR336" s="21">
        <f t="shared" si="2216"/>
        <v>0</v>
      </c>
      <c r="IS336" s="21">
        <f t="shared" si="2216"/>
        <v>0</v>
      </c>
      <c r="IT336" s="21">
        <f t="shared" si="2216"/>
        <v>0</v>
      </c>
      <c r="IU336" s="21">
        <f t="shared" si="2216"/>
        <v>0</v>
      </c>
      <c r="IV336" s="21">
        <f t="shared" si="2216"/>
        <v>0</v>
      </c>
      <c r="IW336" s="21">
        <f t="shared" si="2216"/>
        <v>0</v>
      </c>
      <c r="IX336" s="21">
        <f t="shared" ref="IX336:JE336" si="2217">IF($F$290, 0, IF($G$298, IF(AND(COLUMN($IX$336)-COLUMN($IX$335)=$Q$291,ROW($IX$336)-ROW($IX$335)=$K$291), U$290, IX336), IX336))</f>
        <v>0</v>
      </c>
      <c r="IY336" s="21">
        <f t="shared" si="2217"/>
        <v>0</v>
      </c>
      <c r="IZ336" s="21">
        <f t="shared" si="2217"/>
        <v>0</v>
      </c>
      <c r="JA336" s="21">
        <f t="shared" si="2217"/>
        <v>0</v>
      </c>
      <c r="JB336" s="21">
        <f t="shared" si="2217"/>
        <v>0</v>
      </c>
      <c r="JC336" s="21">
        <f t="shared" si="2217"/>
        <v>0</v>
      </c>
      <c r="JD336" s="21">
        <f t="shared" si="2217"/>
        <v>0</v>
      </c>
      <c r="JE336" s="21">
        <f t="shared" si="2217"/>
        <v>0</v>
      </c>
      <c r="JF336" s="21">
        <f t="shared" ref="JF336:JM336" si="2218">IF($F$290, 0, IF($G$298, IF(AND(COLUMN($JF$336)-COLUMN($IX$335)=$Q$291,ROW($JF$336)-ROW($IX$335)=$K$291), U$290, JF336), JF336))</f>
        <v>0</v>
      </c>
      <c r="JG336" s="21">
        <f t="shared" si="2218"/>
        <v>0</v>
      </c>
      <c r="JH336" s="21">
        <f t="shared" si="2218"/>
        <v>0</v>
      </c>
      <c r="JI336" s="21">
        <f t="shared" si="2218"/>
        <v>0</v>
      </c>
      <c r="JJ336" s="21">
        <f t="shared" si="2218"/>
        <v>0</v>
      </c>
      <c r="JK336" s="21">
        <f t="shared" si="2218"/>
        <v>0</v>
      </c>
      <c r="JL336" s="21">
        <f t="shared" si="2218"/>
        <v>0</v>
      </c>
      <c r="JM336" s="21">
        <f t="shared" si="2218"/>
        <v>0</v>
      </c>
      <c r="JN336" s="21">
        <f t="shared" ref="JN336:JU336" si="2219">IF($F$290, 0, IF($G$298, IF(AND(COLUMN($JN$336)-COLUMN($IX$335)=$Q$291,ROW($JN$336)-ROW($IX$335)=$K$291), U$290, JN336), JN336))</f>
        <v>0</v>
      </c>
      <c r="JO336" s="21">
        <f t="shared" si="2219"/>
        <v>0</v>
      </c>
      <c r="JP336" s="21">
        <f t="shared" si="2219"/>
        <v>0</v>
      </c>
      <c r="JQ336" s="21">
        <f t="shared" si="2219"/>
        <v>0</v>
      </c>
      <c r="JR336" s="21">
        <f t="shared" si="2219"/>
        <v>0</v>
      </c>
      <c r="JS336" s="21">
        <f t="shared" si="2219"/>
        <v>0</v>
      </c>
      <c r="JT336" s="21">
        <f t="shared" si="2219"/>
        <v>0</v>
      </c>
      <c r="JU336" s="21">
        <f t="shared" si="2219"/>
        <v>0</v>
      </c>
      <c r="JV336" s="21">
        <f t="shared" ref="JV336:KC336" si="2220">IF($F$290, 0, IF($G$298, IF(AND(COLUMN($JV$336)-COLUMN($IX$335)=$Q$291,ROW($JV$336)-ROW($IX$335)=$K$291), U$290, JV336), JV336))</f>
        <v>0</v>
      </c>
      <c r="JW336" s="21">
        <f t="shared" si="2220"/>
        <v>0</v>
      </c>
      <c r="JX336" s="21">
        <f t="shared" si="2220"/>
        <v>0</v>
      </c>
      <c r="JY336" s="21">
        <f t="shared" si="2220"/>
        <v>0</v>
      </c>
      <c r="JZ336" s="21">
        <f t="shared" si="2220"/>
        <v>0</v>
      </c>
      <c r="KA336" s="21">
        <f t="shared" si="2220"/>
        <v>0</v>
      </c>
      <c r="KB336" s="21">
        <f t="shared" si="2220"/>
        <v>0</v>
      </c>
      <c r="KC336" s="21">
        <f t="shared" si="2220"/>
        <v>0</v>
      </c>
      <c r="KD336" s="21">
        <f t="shared" ref="KD336:KK336" si="2221">IF($F$290, 0, IF($G$298, IF(AND(COLUMN($KD$336)-COLUMN($IX$335)=$Q$291,ROW($KD$336)-ROW($IX$335)=$K$291), U$290, KD336), KD336))</f>
        <v>0</v>
      </c>
      <c r="KE336" s="21">
        <f t="shared" si="2221"/>
        <v>0</v>
      </c>
      <c r="KF336" s="21">
        <f t="shared" si="2221"/>
        <v>0</v>
      </c>
      <c r="KG336" s="21">
        <f t="shared" si="2221"/>
        <v>0</v>
      </c>
      <c r="KH336" s="21">
        <f t="shared" si="2221"/>
        <v>0</v>
      </c>
      <c r="KI336" s="21">
        <f t="shared" si="2221"/>
        <v>0</v>
      </c>
      <c r="KJ336" s="21">
        <f t="shared" si="2221"/>
        <v>0</v>
      </c>
      <c r="KK336" s="21">
        <f t="shared" si="2221"/>
        <v>0</v>
      </c>
      <c r="KL336" s="21">
        <f t="shared" ref="KL336:KS336" si="2222">IF($F$290, 0, IF($G$298, IF(AND(COLUMN($KL$336)-COLUMN($IX$335)=$Q$291,ROW($KL$336)-ROW($IX$335)=$K$291), U$290, KL336), KL336))</f>
        <v>0</v>
      </c>
      <c r="KM336" s="21">
        <f t="shared" si="2222"/>
        <v>0</v>
      </c>
      <c r="KN336" s="21">
        <f t="shared" si="2222"/>
        <v>0</v>
      </c>
      <c r="KO336" s="21">
        <f t="shared" si="2222"/>
        <v>0</v>
      </c>
      <c r="KP336" s="21">
        <f t="shared" si="2222"/>
        <v>0</v>
      </c>
      <c r="KQ336" s="21">
        <f t="shared" si="2222"/>
        <v>0</v>
      </c>
      <c r="KR336" s="21">
        <f t="shared" si="2222"/>
        <v>0</v>
      </c>
      <c r="KS336" s="21">
        <f t="shared" si="2222"/>
        <v>0</v>
      </c>
      <c r="KT336" s="21">
        <f t="shared" ref="KT336:LA336" si="2223">IF($F$290, 0, IF($G$298, IF(AND(COLUMN($KT$336)-COLUMN($IX$335)=$Q$291,ROW($KT$336)-ROW($IX$335)=$K$291), U$290, KT336), KT336))</f>
        <v>0</v>
      </c>
      <c r="KU336" s="21">
        <f t="shared" si="2223"/>
        <v>0</v>
      </c>
      <c r="KV336" s="21">
        <f t="shared" si="2223"/>
        <v>0</v>
      </c>
      <c r="KW336" s="21">
        <f t="shared" si="2223"/>
        <v>0</v>
      </c>
      <c r="KX336" s="21">
        <f t="shared" si="2223"/>
        <v>0</v>
      </c>
      <c r="KY336" s="21">
        <f t="shared" si="2223"/>
        <v>0</v>
      </c>
      <c r="KZ336" s="21">
        <f t="shared" si="2223"/>
        <v>0</v>
      </c>
      <c r="LA336" s="21">
        <f t="shared" si="2223"/>
        <v>0</v>
      </c>
      <c r="LB336" s="21">
        <f t="shared" ref="LB336:LI336" si="2224">IF($F$290, 0, IF($G$298, IF(AND(COLUMN($LB$336)-COLUMN($IX$335)=$Q$291,ROW($LB$336)-ROW($IX$335)=$K$291), U$290, LB336), LB336))</f>
        <v>0</v>
      </c>
      <c r="LC336" s="21">
        <f t="shared" si="2224"/>
        <v>0</v>
      </c>
      <c r="LD336" s="21">
        <f t="shared" si="2224"/>
        <v>0</v>
      </c>
      <c r="LE336" s="21">
        <f t="shared" si="2224"/>
        <v>0</v>
      </c>
      <c r="LF336" s="21">
        <f t="shared" si="2224"/>
        <v>0</v>
      </c>
      <c r="LG336" s="21">
        <f t="shared" si="2224"/>
        <v>0</v>
      </c>
      <c r="LH336" s="21">
        <f t="shared" si="2224"/>
        <v>0</v>
      </c>
      <c r="LI336" s="21">
        <f t="shared" si="2224"/>
        <v>0</v>
      </c>
      <c r="LJ336" s="21">
        <f t="shared" ref="LJ336:LQ336" si="2225">IF($F$290, 0, IF($H$298, IF(AND(COLUMN($LJ$336)-COLUMN($LJ$335)=$Q$291,ROW($LJ$336)-ROW($LJ$335)=$K$291), U$290, LJ336), LJ336))</f>
        <v>0</v>
      </c>
      <c r="LK336" s="21">
        <f t="shared" si="2225"/>
        <v>0</v>
      </c>
      <c r="LL336" s="21">
        <f t="shared" si="2225"/>
        <v>0</v>
      </c>
      <c r="LM336" s="21">
        <f t="shared" si="2225"/>
        <v>0</v>
      </c>
      <c r="LN336" s="21">
        <f t="shared" si="2225"/>
        <v>0</v>
      </c>
      <c r="LO336" s="21">
        <f t="shared" si="2225"/>
        <v>0</v>
      </c>
      <c r="LP336" s="21">
        <f t="shared" si="2225"/>
        <v>0</v>
      </c>
      <c r="LQ336" s="21">
        <f t="shared" si="2225"/>
        <v>0</v>
      </c>
      <c r="LR336" s="21">
        <f t="shared" ref="LR336:LY336" si="2226">IF($F$290, 0, IF($H$298, IF(AND(COLUMN($LR$336)-COLUMN($LJ$335)=$Q$291,ROW($LR$336)-ROW($LJ$335)=$K$291), U$290, LR336), LR336))</f>
        <v>0</v>
      </c>
      <c r="LS336" s="21">
        <f t="shared" si="2226"/>
        <v>0</v>
      </c>
      <c r="LT336" s="21">
        <f t="shared" si="2226"/>
        <v>0</v>
      </c>
      <c r="LU336" s="21">
        <f t="shared" si="2226"/>
        <v>0</v>
      </c>
      <c r="LV336" s="21">
        <f t="shared" si="2226"/>
        <v>0</v>
      </c>
      <c r="LW336" s="21">
        <f t="shared" si="2226"/>
        <v>0</v>
      </c>
      <c r="LX336" s="21">
        <f t="shared" si="2226"/>
        <v>0</v>
      </c>
      <c r="LY336" s="21">
        <f t="shared" si="2226"/>
        <v>0</v>
      </c>
      <c r="LZ336" s="21">
        <f t="shared" ref="LZ336:MG336" si="2227">IF($F$290, 0, IF($H$298, IF(AND(COLUMN($LZ$336)-COLUMN($LJ$335)=$Q$291,ROW($LZ$336)-ROW($LJ$335)=$K$291), U$290, LZ336), LZ336))</f>
        <v>0</v>
      </c>
      <c r="MA336" s="21">
        <f t="shared" si="2227"/>
        <v>0</v>
      </c>
      <c r="MB336" s="21">
        <f t="shared" si="2227"/>
        <v>0</v>
      </c>
      <c r="MC336" s="21">
        <f t="shared" si="2227"/>
        <v>0</v>
      </c>
      <c r="MD336" s="21">
        <f t="shared" si="2227"/>
        <v>0</v>
      </c>
      <c r="ME336" s="21">
        <f t="shared" si="2227"/>
        <v>0</v>
      </c>
      <c r="MF336" s="21">
        <f t="shared" si="2227"/>
        <v>0</v>
      </c>
      <c r="MG336" s="21">
        <f t="shared" si="2227"/>
        <v>0</v>
      </c>
      <c r="MH336" s="21">
        <f t="shared" ref="MH336:MO336" si="2228">IF($F$290, 0, IF($H$298, IF(AND(COLUMN($MH$336)-COLUMN($LJ$335)=$Q$291,ROW($MH$336)-ROW($LJ$335)=$K$291), U$290, MH336), MH336))</f>
        <v>0</v>
      </c>
      <c r="MI336" s="21">
        <f t="shared" si="2228"/>
        <v>0</v>
      </c>
      <c r="MJ336" s="21">
        <f t="shared" si="2228"/>
        <v>0</v>
      </c>
      <c r="MK336" s="21">
        <f t="shared" si="2228"/>
        <v>0</v>
      </c>
      <c r="ML336" s="21">
        <f t="shared" si="2228"/>
        <v>0</v>
      </c>
      <c r="MM336" s="21">
        <f t="shared" si="2228"/>
        <v>0</v>
      </c>
      <c r="MN336" s="21">
        <f t="shared" si="2228"/>
        <v>0</v>
      </c>
      <c r="MO336" s="21">
        <f t="shared" si="2228"/>
        <v>0</v>
      </c>
      <c r="MP336" s="21">
        <f t="shared" ref="MP336:MW336" si="2229">IF($F$290, 0, IF($H$298, IF(AND(COLUMN($MP$336)-COLUMN($LJ$335)=$Q$291,ROW($MP$336)-ROW($LJ$335)=$K$291), U$290, MP336), MP336))</f>
        <v>0</v>
      </c>
      <c r="MQ336" s="21">
        <f t="shared" si="2229"/>
        <v>0</v>
      </c>
      <c r="MR336" s="21">
        <f t="shared" si="2229"/>
        <v>0</v>
      </c>
      <c r="MS336" s="21">
        <f t="shared" si="2229"/>
        <v>0</v>
      </c>
      <c r="MT336" s="21">
        <f t="shared" si="2229"/>
        <v>0</v>
      </c>
      <c r="MU336" s="21">
        <f t="shared" si="2229"/>
        <v>0</v>
      </c>
      <c r="MV336" s="21">
        <f t="shared" si="2229"/>
        <v>0</v>
      </c>
      <c r="MW336" s="21">
        <f t="shared" si="2229"/>
        <v>0</v>
      </c>
      <c r="MX336" s="21">
        <f t="shared" ref="MX336:NE336" si="2230">IF($F$290, 0, IF($H$298, IF(AND(COLUMN($MX$336)-COLUMN($LJ$335)=$Q$291,ROW($MX$336)-ROW($LJ$335)=$K$291), U$290, MX336), MX336))</f>
        <v>0</v>
      </c>
      <c r="MY336" s="21">
        <f t="shared" si="2230"/>
        <v>0</v>
      </c>
      <c r="MZ336" s="21">
        <f t="shared" si="2230"/>
        <v>0</v>
      </c>
      <c r="NA336" s="21">
        <f t="shared" si="2230"/>
        <v>0</v>
      </c>
      <c r="NB336" s="21">
        <f t="shared" si="2230"/>
        <v>0</v>
      </c>
      <c r="NC336" s="21">
        <f t="shared" si="2230"/>
        <v>0</v>
      </c>
      <c r="ND336" s="21">
        <f t="shared" si="2230"/>
        <v>0</v>
      </c>
      <c r="NE336" s="21">
        <f t="shared" si="2230"/>
        <v>0</v>
      </c>
      <c r="NF336" s="21">
        <f t="shared" ref="NF336:NM336" si="2231">IF($F$290, 0, IF($H$298, IF(AND(COLUMN($NF$336)-COLUMN($LJ$335)=$Q$291,ROW($NF$336)-ROW($LJ$335)=$K$291), U$290, NF336), NF336))</f>
        <v>0</v>
      </c>
      <c r="NG336" s="21">
        <f t="shared" si="2231"/>
        <v>0</v>
      </c>
      <c r="NH336" s="21">
        <f t="shared" si="2231"/>
        <v>0</v>
      </c>
      <c r="NI336" s="21">
        <f t="shared" si="2231"/>
        <v>0</v>
      </c>
      <c r="NJ336" s="21">
        <f t="shared" si="2231"/>
        <v>0</v>
      </c>
      <c r="NK336" s="21">
        <f t="shared" si="2231"/>
        <v>0</v>
      </c>
      <c r="NL336" s="21">
        <f t="shared" si="2231"/>
        <v>0</v>
      </c>
      <c r="NM336" s="21">
        <f t="shared" si="2231"/>
        <v>0</v>
      </c>
      <c r="NN336" s="21">
        <f t="shared" ref="NN336:NU336" si="2232">IF($F$290, 0, IF($H$298, IF(AND(COLUMN($NN$336)-COLUMN($LJ$335)=$Q$291,ROW($NN$336)-ROW($LJ$335)=$K$291), U$290, NN336), NN336))</f>
        <v>0</v>
      </c>
      <c r="NO336" s="21">
        <f t="shared" si="2232"/>
        <v>0</v>
      </c>
      <c r="NP336" s="21">
        <f t="shared" si="2232"/>
        <v>0</v>
      </c>
      <c r="NQ336" s="21">
        <f t="shared" si="2232"/>
        <v>0</v>
      </c>
      <c r="NR336" s="21">
        <f t="shared" si="2232"/>
        <v>0</v>
      </c>
      <c r="NS336" s="21">
        <f t="shared" si="2232"/>
        <v>0</v>
      </c>
      <c r="NT336" s="21">
        <f t="shared" si="2232"/>
        <v>0</v>
      </c>
      <c r="NU336" s="21">
        <f t="shared" si="2232"/>
        <v>0</v>
      </c>
      <c r="NV336" s="21">
        <f t="shared" ref="NV336:OC336" si="2233">IF($F$290, 0, IF($I$298, IF(AND(COLUMN($NV$336)-COLUMN($NV$335)=$Q$291,ROW($NV$336)-ROW($NV$335)=$K$291), U$290, NV336), NV336))</f>
        <v>0</v>
      </c>
      <c r="NW336" s="21">
        <f t="shared" si="2233"/>
        <v>0</v>
      </c>
      <c r="NX336" s="21">
        <f t="shared" si="2233"/>
        <v>0</v>
      </c>
      <c r="NY336" s="21">
        <f t="shared" si="2233"/>
        <v>0</v>
      </c>
      <c r="NZ336" s="21">
        <f t="shared" si="2233"/>
        <v>0</v>
      </c>
      <c r="OA336" s="21">
        <f t="shared" si="2233"/>
        <v>0</v>
      </c>
      <c r="OB336" s="21">
        <f t="shared" si="2233"/>
        <v>0</v>
      </c>
      <c r="OC336" s="21">
        <f t="shared" si="2233"/>
        <v>0</v>
      </c>
      <c r="OD336" s="21">
        <f t="shared" ref="OD336:OK336" si="2234">IF($F$290, 0, IF($I$298, IF(AND(COLUMN($OD$336)-COLUMN($NV$335)=$Q$291,ROW($OD$336)-ROW($NV$335)=$K$291), U$290, OD336), OD336))</f>
        <v>0</v>
      </c>
      <c r="OE336" s="21">
        <f t="shared" si="2234"/>
        <v>0</v>
      </c>
      <c r="OF336" s="21">
        <f t="shared" si="2234"/>
        <v>0</v>
      </c>
      <c r="OG336" s="21">
        <f t="shared" si="2234"/>
        <v>0</v>
      </c>
      <c r="OH336" s="21">
        <f t="shared" si="2234"/>
        <v>0</v>
      </c>
      <c r="OI336" s="21">
        <f t="shared" si="2234"/>
        <v>0</v>
      </c>
      <c r="OJ336" s="21">
        <f t="shared" si="2234"/>
        <v>0</v>
      </c>
      <c r="OK336" s="21">
        <f t="shared" si="2234"/>
        <v>0</v>
      </c>
      <c r="OL336" s="21">
        <f t="shared" ref="OL336:OS336" si="2235">IF($F$290, 0, IF($I$298, IF(AND(COLUMN($OL$336)-COLUMN($NV$335)=$Q$291,ROW($OL$336)-ROW($NV$335)=$K$291), U$290, OL336), OL336))</f>
        <v>0</v>
      </c>
      <c r="OM336" s="21">
        <f t="shared" si="2235"/>
        <v>0</v>
      </c>
      <c r="ON336" s="21">
        <f t="shared" si="2235"/>
        <v>0</v>
      </c>
      <c r="OO336" s="21">
        <f t="shared" si="2235"/>
        <v>0</v>
      </c>
      <c r="OP336" s="21">
        <f t="shared" si="2235"/>
        <v>0</v>
      </c>
      <c r="OQ336" s="21">
        <f t="shared" si="2235"/>
        <v>0</v>
      </c>
      <c r="OR336" s="21">
        <f t="shared" si="2235"/>
        <v>0</v>
      </c>
      <c r="OS336" s="21">
        <f t="shared" si="2235"/>
        <v>0</v>
      </c>
      <c r="OT336" s="21">
        <f t="shared" ref="OT336:PA336" si="2236">IF($F$290, 0, IF($I$298, IF(AND(COLUMN($OT$336)-COLUMN($NV$335)=$Q$291,ROW($OT$336)-ROW($NV$335)=$K$291), U$290, OT336), OT336))</f>
        <v>0</v>
      </c>
      <c r="OU336" s="21">
        <f t="shared" si="2236"/>
        <v>0</v>
      </c>
      <c r="OV336" s="21">
        <f t="shared" si="2236"/>
        <v>0</v>
      </c>
      <c r="OW336" s="21">
        <f t="shared" si="2236"/>
        <v>0</v>
      </c>
      <c r="OX336" s="21">
        <f t="shared" si="2236"/>
        <v>0</v>
      </c>
      <c r="OY336" s="21">
        <f t="shared" si="2236"/>
        <v>0</v>
      </c>
      <c r="OZ336" s="21">
        <f t="shared" si="2236"/>
        <v>0</v>
      </c>
      <c r="PA336" s="21">
        <f t="shared" si="2236"/>
        <v>0</v>
      </c>
      <c r="PB336" s="21">
        <f t="shared" ref="PB336:PI336" si="2237">IF($F$290, 0, IF($I$298, IF(AND(COLUMN($PB$336)-COLUMN($NV$335)=$Q$291,ROW($PB$336)-ROW($NV$335)=$K$291), U$290, PB336), PB336))</f>
        <v>0</v>
      </c>
      <c r="PC336" s="21">
        <f t="shared" si="2237"/>
        <v>0</v>
      </c>
      <c r="PD336" s="21">
        <f t="shared" si="2237"/>
        <v>0</v>
      </c>
      <c r="PE336" s="21">
        <f t="shared" si="2237"/>
        <v>0</v>
      </c>
      <c r="PF336" s="21">
        <f t="shared" si="2237"/>
        <v>0</v>
      </c>
      <c r="PG336" s="21">
        <f t="shared" si="2237"/>
        <v>0</v>
      </c>
      <c r="PH336" s="21">
        <f t="shared" si="2237"/>
        <v>0</v>
      </c>
      <c r="PI336" s="21">
        <f t="shared" si="2237"/>
        <v>0</v>
      </c>
      <c r="PJ336" s="21">
        <f t="shared" ref="PJ336:PQ336" si="2238">IF($F$290, 0, IF($I$298, IF(AND(COLUMN($PJ$336)-COLUMN($NV$335)=$Q$291,ROW($PJ$336)-ROW($NV$335)=$K$291), U$290, PJ336), PJ336))</f>
        <v>0</v>
      </c>
      <c r="PK336" s="21">
        <f t="shared" si="2238"/>
        <v>0</v>
      </c>
      <c r="PL336" s="21">
        <f t="shared" si="2238"/>
        <v>0</v>
      </c>
      <c r="PM336" s="21">
        <f t="shared" si="2238"/>
        <v>0</v>
      </c>
      <c r="PN336" s="21">
        <f t="shared" si="2238"/>
        <v>0</v>
      </c>
      <c r="PO336" s="21">
        <f t="shared" si="2238"/>
        <v>0</v>
      </c>
      <c r="PP336" s="21">
        <f t="shared" si="2238"/>
        <v>0</v>
      </c>
      <c r="PQ336" s="21">
        <f t="shared" si="2238"/>
        <v>0</v>
      </c>
      <c r="PR336" s="21">
        <f t="shared" ref="PR336:PY336" si="2239">IF($F$290, 0, IF($I$298, IF(AND(COLUMN($PR$336)-COLUMN($NV$335)=$Q$291,ROW($PR$336)-ROW($NV$335)=$K$291), U$290, PR336), PR336))</f>
        <v>0</v>
      </c>
      <c r="PS336" s="21">
        <f t="shared" si="2239"/>
        <v>0</v>
      </c>
      <c r="PT336" s="21">
        <f t="shared" si="2239"/>
        <v>0</v>
      </c>
      <c r="PU336" s="21">
        <f t="shared" si="2239"/>
        <v>0</v>
      </c>
      <c r="PV336" s="21">
        <f t="shared" si="2239"/>
        <v>0</v>
      </c>
      <c r="PW336" s="21">
        <f t="shared" si="2239"/>
        <v>0</v>
      </c>
      <c r="PX336" s="21">
        <f t="shared" si="2239"/>
        <v>0</v>
      </c>
      <c r="PY336" s="21">
        <f t="shared" si="2239"/>
        <v>0</v>
      </c>
      <c r="PZ336" s="21">
        <f t="shared" ref="PZ336:QG336" si="2240">IF($F$290, 0, IF($I$298, IF(AND(COLUMN($PZ$336)-COLUMN($NV$335)=$Q$291,ROW($PZ$336)-ROW($NV$335)=$K$291), U$290, PZ336), PZ336))</f>
        <v>0</v>
      </c>
      <c r="QA336" s="21">
        <f t="shared" si="2240"/>
        <v>0</v>
      </c>
      <c r="QB336" s="21">
        <f t="shared" si="2240"/>
        <v>0</v>
      </c>
      <c r="QC336" s="21">
        <f t="shared" si="2240"/>
        <v>0</v>
      </c>
      <c r="QD336" s="21">
        <f t="shared" si="2240"/>
        <v>0</v>
      </c>
      <c r="QE336" s="21">
        <f t="shared" si="2240"/>
        <v>0</v>
      </c>
      <c r="QF336" s="21">
        <f t="shared" si="2240"/>
        <v>0</v>
      </c>
      <c r="QG336" s="21">
        <f t="shared" si="2240"/>
        <v>0</v>
      </c>
      <c r="QH336" s="21">
        <f t="shared" ref="QH336:QO336" si="2241">IF($F$290, 0, IF($J$298, IF(AND(COLUMN($QH$336)-COLUMN($QH$335)=$Q$291,ROW($QH$336)-ROW($QH$335)=$K$291), U$290, QH336), QH336))</f>
        <v>0</v>
      </c>
      <c r="QI336" s="21">
        <f t="shared" si="2241"/>
        <v>0</v>
      </c>
      <c r="QJ336" s="21">
        <f t="shared" si="2241"/>
        <v>0</v>
      </c>
      <c r="QK336" s="21">
        <f t="shared" si="2241"/>
        <v>0</v>
      </c>
      <c r="QL336" s="21">
        <f t="shared" si="2241"/>
        <v>0</v>
      </c>
      <c r="QM336" s="21">
        <f t="shared" si="2241"/>
        <v>0</v>
      </c>
      <c r="QN336" s="21">
        <f t="shared" si="2241"/>
        <v>0</v>
      </c>
      <c r="QO336" s="21">
        <f t="shared" si="2241"/>
        <v>0</v>
      </c>
      <c r="QP336" s="21">
        <f t="shared" ref="QP336:QW336" si="2242">IF($F$290, 0, IF($J$298, IF(AND(COLUMN($QP$336)-COLUMN($QH$335)=$Q$291,ROW($QP$336)-ROW($QH$335)=$K$291), U$290, QP336), QP336))</f>
        <v>0</v>
      </c>
      <c r="QQ336" s="21">
        <f t="shared" si="2242"/>
        <v>0</v>
      </c>
      <c r="QR336" s="21">
        <f t="shared" si="2242"/>
        <v>0</v>
      </c>
      <c r="QS336" s="21">
        <f t="shared" si="2242"/>
        <v>0</v>
      </c>
      <c r="QT336" s="21">
        <f t="shared" si="2242"/>
        <v>0</v>
      </c>
      <c r="QU336" s="21">
        <f t="shared" si="2242"/>
        <v>0</v>
      </c>
      <c r="QV336" s="21">
        <f t="shared" si="2242"/>
        <v>0</v>
      </c>
      <c r="QW336" s="21">
        <f t="shared" si="2242"/>
        <v>0</v>
      </c>
      <c r="QX336" s="21">
        <f t="shared" ref="QX336:RE336" si="2243">IF($F$290, 0, IF($J$298, IF(AND(COLUMN($QX$336)-COLUMN($QH$335)=$Q$291,ROW($QX$336)-ROW($QH$335)=$K$291), U$290, QX336), QX336))</f>
        <v>0</v>
      </c>
      <c r="QY336" s="21">
        <f t="shared" si="2243"/>
        <v>0</v>
      </c>
      <c r="QZ336" s="21">
        <f t="shared" si="2243"/>
        <v>0</v>
      </c>
      <c r="RA336" s="21">
        <f t="shared" si="2243"/>
        <v>0</v>
      </c>
      <c r="RB336" s="21">
        <f t="shared" si="2243"/>
        <v>0</v>
      </c>
      <c r="RC336" s="21">
        <f t="shared" si="2243"/>
        <v>0</v>
      </c>
      <c r="RD336" s="21">
        <f t="shared" si="2243"/>
        <v>0</v>
      </c>
      <c r="RE336" s="21">
        <f t="shared" si="2243"/>
        <v>0</v>
      </c>
      <c r="RF336" s="21">
        <f t="shared" ref="RF336:RM336" si="2244">IF($F$290, 0, IF($J$298, IF(AND(COLUMN($RF$336)-COLUMN($QH$335)=$Q$291,ROW($RF$336)-ROW($QH$335)=$K$291), U$290, RF336), RF336))</f>
        <v>0</v>
      </c>
      <c r="RG336" s="21">
        <f t="shared" si="2244"/>
        <v>0</v>
      </c>
      <c r="RH336" s="21">
        <f t="shared" si="2244"/>
        <v>0</v>
      </c>
      <c r="RI336" s="21">
        <f t="shared" si="2244"/>
        <v>0</v>
      </c>
      <c r="RJ336" s="21">
        <f t="shared" si="2244"/>
        <v>0</v>
      </c>
      <c r="RK336" s="21">
        <f t="shared" si="2244"/>
        <v>0</v>
      </c>
      <c r="RL336" s="21">
        <f t="shared" si="2244"/>
        <v>0</v>
      </c>
      <c r="RM336" s="21">
        <f t="shared" si="2244"/>
        <v>0</v>
      </c>
      <c r="RN336" s="21">
        <f t="shared" ref="RN336:RU336" si="2245">IF($F$290, 0, IF($J$298, IF(AND(COLUMN($RN$336)-COLUMN($QH$335)=$Q$291,ROW($RN$336)-ROW($QH$335)=$K$291), U$290, RN336), RN336))</f>
        <v>0</v>
      </c>
      <c r="RO336" s="21">
        <f t="shared" si="2245"/>
        <v>0</v>
      </c>
      <c r="RP336" s="21">
        <f t="shared" si="2245"/>
        <v>0</v>
      </c>
      <c r="RQ336" s="21">
        <f t="shared" si="2245"/>
        <v>0</v>
      </c>
      <c r="RR336" s="21">
        <f t="shared" si="2245"/>
        <v>0</v>
      </c>
      <c r="RS336" s="21">
        <f t="shared" si="2245"/>
        <v>0</v>
      </c>
      <c r="RT336" s="21">
        <f t="shared" si="2245"/>
        <v>0</v>
      </c>
      <c r="RU336" s="21">
        <f t="shared" si="2245"/>
        <v>0</v>
      </c>
      <c r="RV336" s="21">
        <f t="shared" ref="RV336:SC336" si="2246">IF($F$290, 0, IF($J$298, IF(AND(COLUMN($RV$336)-COLUMN($QH$335)=$Q$291,ROW($RV$336)-ROW($QH$335)=$K$291), U$290, RV336), RV336))</f>
        <v>0</v>
      </c>
      <c r="RW336" s="21">
        <f t="shared" si="2246"/>
        <v>0</v>
      </c>
      <c r="RX336" s="21">
        <f t="shared" si="2246"/>
        <v>0</v>
      </c>
      <c r="RY336" s="21">
        <f t="shared" si="2246"/>
        <v>0</v>
      </c>
      <c r="RZ336" s="21">
        <f t="shared" si="2246"/>
        <v>0</v>
      </c>
      <c r="SA336" s="21">
        <f t="shared" si="2246"/>
        <v>0</v>
      </c>
      <c r="SB336" s="21">
        <f t="shared" si="2246"/>
        <v>0</v>
      </c>
      <c r="SC336" s="21">
        <f t="shared" si="2246"/>
        <v>0</v>
      </c>
      <c r="SD336" s="21">
        <f t="shared" ref="SD336:SK336" si="2247">IF($F$290, 0, IF($J$298, IF(AND(COLUMN($SD$336)-COLUMN($QH$335)=$Q$291,ROW($SD$336)-ROW($QH$335)=$K$291), U$290, SD336), SD336))</f>
        <v>0</v>
      </c>
      <c r="SE336" s="21">
        <f t="shared" si="2247"/>
        <v>0</v>
      </c>
      <c r="SF336" s="21">
        <f t="shared" si="2247"/>
        <v>0</v>
      </c>
      <c r="SG336" s="21">
        <f t="shared" si="2247"/>
        <v>0</v>
      </c>
      <c r="SH336" s="21">
        <f t="shared" si="2247"/>
        <v>0</v>
      </c>
      <c r="SI336" s="21">
        <f t="shared" si="2247"/>
        <v>0</v>
      </c>
      <c r="SJ336" s="21">
        <f t="shared" si="2247"/>
        <v>0</v>
      </c>
      <c r="SK336" s="21">
        <f t="shared" si="2247"/>
        <v>0</v>
      </c>
      <c r="SL336" s="21">
        <f t="shared" ref="SL336:SS336" si="2248">IF($F$290, 0, IF($J$298, IF(AND(COLUMN($SL$336)-COLUMN($QH$335)=$Q$291,ROW($SL$336)-ROW($QH$335)=$K$291), U$290, SL336), SL336))</f>
        <v>0</v>
      </c>
      <c r="SM336" s="21">
        <f t="shared" si="2248"/>
        <v>0</v>
      </c>
      <c r="SN336" s="21">
        <f t="shared" si="2248"/>
        <v>0</v>
      </c>
      <c r="SO336" s="21">
        <f t="shared" si="2248"/>
        <v>0</v>
      </c>
      <c r="SP336" s="21">
        <f t="shared" si="2248"/>
        <v>0</v>
      </c>
      <c r="SQ336" s="21">
        <f t="shared" si="2248"/>
        <v>0</v>
      </c>
      <c r="SR336" s="21">
        <f t="shared" si="2248"/>
        <v>0</v>
      </c>
      <c r="SS336" s="21">
        <f t="shared" si="2248"/>
        <v>0</v>
      </c>
    </row>
    <row r="337" spans="2:513" ht="15" customHeight="1" x14ac:dyDescent="0.25">
      <c r="B337" s="21">
        <f t="shared" ref="B337:I337" si="2249">IF($F$290, 0, IF($C$298, IF(AND(COLUMN($B$337)-COLUMN($B$335)=$Q$291,ROW($B$337)-ROW($B$335)=$K$291), U$290, B337), B337))</f>
        <v>0</v>
      </c>
      <c r="C337" s="21">
        <f t="shared" si="2249"/>
        <v>0</v>
      </c>
      <c r="D337" s="21">
        <f t="shared" si="2249"/>
        <v>0</v>
      </c>
      <c r="E337" s="21">
        <f t="shared" si="2249"/>
        <v>0</v>
      </c>
      <c r="F337" s="21">
        <f t="shared" si="2249"/>
        <v>0</v>
      </c>
      <c r="G337" s="21">
        <f t="shared" si="2249"/>
        <v>0</v>
      </c>
      <c r="H337" s="21">
        <f t="shared" si="2249"/>
        <v>0</v>
      </c>
      <c r="I337" s="21">
        <f t="shared" si="2249"/>
        <v>0</v>
      </c>
      <c r="J337" s="21">
        <f t="shared" ref="J337:Q337" si="2250">IF($F$290, 0, IF($C$298, IF(AND(COLUMN($J$337)-COLUMN($B$335)=$Q$291,ROW($J$337)-ROW($B$335)=$K$291), U$290, J337), J337))</f>
        <v>0</v>
      </c>
      <c r="K337" s="21">
        <f t="shared" si="2250"/>
        <v>0</v>
      </c>
      <c r="L337" s="21">
        <f t="shared" si="2250"/>
        <v>0</v>
      </c>
      <c r="M337" s="21">
        <f t="shared" si="2250"/>
        <v>0</v>
      </c>
      <c r="N337" s="21">
        <f t="shared" si="2250"/>
        <v>0</v>
      </c>
      <c r="O337" s="21">
        <f t="shared" si="2250"/>
        <v>0</v>
      </c>
      <c r="P337" s="21">
        <f t="shared" si="2250"/>
        <v>0</v>
      </c>
      <c r="Q337" s="21">
        <f t="shared" si="2250"/>
        <v>0</v>
      </c>
      <c r="R337" s="21">
        <f>IF($F$290, 0, IF($C$298, IF(AND(COLUMN($R$337)-COLUMN($B$335)=$Q$291,ROW($R$337)-ROW($B$335)=$K$291), U$290, R337), R337))</f>
        <v>0</v>
      </c>
      <c r="S337" s="21">
        <f t="shared" ref="S337:Y337" si="2251">IF($F$290, 0, IF($C$298, IF(AND(COLUMN($R$337)-COLUMN($B$335)=$Q$291,ROW($R$337)-ROW($B$335)=$K$291), V$290, S337), S337))</f>
        <v>0</v>
      </c>
      <c r="T337" s="21">
        <f t="shared" si="2251"/>
        <v>0</v>
      </c>
      <c r="U337" s="21">
        <f t="shared" si="2251"/>
        <v>0</v>
      </c>
      <c r="V337" s="21">
        <f t="shared" si="2251"/>
        <v>0</v>
      </c>
      <c r="W337" s="21">
        <f t="shared" si="2251"/>
        <v>0</v>
      </c>
      <c r="X337" s="21">
        <f t="shared" si="2251"/>
        <v>0</v>
      </c>
      <c r="Y337" s="21">
        <f t="shared" si="2251"/>
        <v>0</v>
      </c>
      <c r="Z337" s="21">
        <f t="shared" ref="Z337:AG337" si="2252">IF($F$290, 0, IF($C$298, IF(AND(COLUMN($Z$337)-COLUMN($B$335)=$Q$291,ROW($Z$337)-ROW($B$335)=$K$291), U$290, Z337), Z337))</f>
        <v>0</v>
      </c>
      <c r="AA337" s="21">
        <f t="shared" si="2252"/>
        <v>0</v>
      </c>
      <c r="AB337" s="21">
        <f t="shared" si="2252"/>
        <v>0</v>
      </c>
      <c r="AC337" s="21">
        <f t="shared" si="2252"/>
        <v>0</v>
      </c>
      <c r="AD337" s="21">
        <f t="shared" si="2252"/>
        <v>0</v>
      </c>
      <c r="AE337" s="21">
        <f t="shared" si="2252"/>
        <v>0</v>
      </c>
      <c r="AF337" s="21">
        <f t="shared" si="2252"/>
        <v>0</v>
      </c>
      <c r="AG337" s="21">
        <f t="shared" si="2252"/>
        <v>0</v>
      </c>
      <c r="AH337" s="21">
        <f t="shared" ref="AH337:AO337" si="2253">IF($F$290, 0, IF($C$298, IF(AND(COLUMN($AH$337)-COLUMN($B$335)=$Q$291,ROW($AH$337)-ROW($B$335)=$K$291), U$290, AH337), AH337))</f>
        <v>0</v>
      </c>
      <c r="AI337" s="21">
        <f t="shared" si="2253"/>
        <v>0</v>
      </c>
      <c r="AJ337" s="21">
        <f t="shared" si="2253"/>
        <v>0</v>
      </c>
      <c r="AK337" s="21">
        <f t="shared" si="2253"/>
        <v>0</v>
      </c>
      <c r="AL337" s="21">
        <f t="shared" si="2253"/>
        <v>0</v>
      </c>
      <c r="AM337" s="21">
        <f t="shared" si="2253"/>
        <v>0</v>
      </c>
      <c r="AN337" s="21">
        <f t="shared" si="2253"/>
        <v>0</v>
      </c>
      <c r="AO337" s="21">
        <f t="shared" si="2253"/>
        <v>0</v>
      </c>
      <c r="AP337" s="21">
        <f t="shared" ref="AP337:AW337" si="2254">IF($F$290, 0, IF($C$298, IF(AND(COLUMN($AP$337)-COLUMN($B$335)=$Q$291,ROW($AP$337)-ROW($B$335)=$K$291), U$290, AP337), AP337))</f>
        <v>0</v>
      </c>
      <c r="AQ337" s="21">
        <f t="shared" si="2254"/>
        <v>0</v>
      </c>
      <c r="AR337" s="21">
        <f t="shared" si="2254"/>
        <v>0</v>
      </c>
      <c r="AS337" s="21">
        <f t="shared" si="2254"/>
        <v>0</v>
      </c>
      <c r="AT337" s="21">
        <f t="shared" si="2254"/>
        <v>0</v>
      </c>
      <c r="AU337" s="21">
        <f t="shared" si="2254"/>
        <v>0</v>
      </c>
      <c r="AV337" s="21">
        <f t="shared" si="2254"/>
        <v>0</v>
      </c>
      <c r="AW337" s="21">
        <f t="shared" si="2254"/>
        <v>0</v>
      </c>
      <c r="AX337" s="21">
        <f t="shared" ref="AX337:BE337" si="2255">IF($F$290, 0, IF($C$298, IF(AND(COLUMN($AX$337)-COLUMN($B$335)=$Q$291,ROW($AX$337)-ROW($B$335)=$K$291), U$290, AX337), AX337))</f>
        <v>0</v>
      </c>
      <c r="AY337" s="21">
        <f t="shared" si="2255"/>
        <v>0</v>
      </c>
      <c r="AZ337" s="21">
        <f t="shared" si="2255"/>
        <v>0</v>
      </c>
      <c r="BA337" s="21">
        <f t="shared" si="2255"/>
        <v>0</v>
      </c>
      <c r="BB337" s="21">
        <f t="shared" si="2255"/>
        <v>0</v>
      </c>
      <c r="BC337" s="21">
        <f t="shared" si="2255"/>
        <v>0</v>
      </c>
      <c r="BD337" s="21">
        <f t="shared" si="2255"/>
        <v>0</v>
      </c>
      <c r="BE337" s="21">
        <f t="shared" si="2255"/>
        <v>0</v>
      </c>
      <c r="BF337" s="21">
        <f t="shared" ref="BF337:BM337" si="2256">IF($F$290, 0, IF($C$298, IF(AND(COLUMN($BF$337)-COLUMN($B$335)=$Q$291,ROW($BF$337)-ROW($B$335)=$K$291), U$290, BF337), BF337))</f>
        <v>0</v>
      </c>
      <c r="BG337" s="21">
        <f t="shared" si="2256"/>
        <v>0</v>
      </c>
      <c r="BH337" s="21">
        <f t="shared" si="2256"/>
        <v>0</v>
      </c>
      <c r="BI337" s="21">
        <f t="shared" si="2256"/>
        <v>0</v>
      </c>
      <c r="BJ337" s="21">
        <f t="shared" si="2256"/>
        <v>0</v>
      </c>
      <c r="BK337" s="21">
        <f t="shared" si="2256"/>
        <v>0</v>
      </c>
      <c r="BL337" s="21">
        <f t="shared" si="2256"/>
        <v>0</v>
      </c>
      <c r="BM337" s="21">
        <f t="shared" si="2256"/>
        <v>0</v>
      </c>
      <c r="BN337" s="21">
        <f t="shared" ref="BN337:BU337" si="2257">IF($F$290, 0, IF($D$298, IF(AND(COLUMN($BN$337)-COLUMN($BN$335)=$Q$291,ROW($BN$337)-ROW($BN$335)=$K$291), U$290, BN337), BN337))</f>
        <v>0</v>
      </c>
      <c r="BO337" s="21">
        <f t="shared" si="2257"/>
        <v>0</v>
      </c>
      <c r="BP337" s="21">
        <f t="shared" si="2257"/>
        <v>0</v>
      </c>
      <c r="BQ337" s="21">
        <f t="shared" si="2257"/>
        <v>0</v>
      </c>
      <c r="BR337" s="21">
        <f t="shared" si="2257"/>
        <v>0</v>
      </c>
      <c r="BS337" s="21">
        <f t="shared" si="2257"/>
        <v>0</v>
      </c>
      <c r="BT337" s="21">
        <f t="shared" si="2257"/>
        <v>0</v>
      </c>
      <c r="BU337" s="21">
        <f t="shared" si="2257"/>
        <v>0</v>
      </c>
      <c r="BV337" s="21">
        <f t="shared" ref="BV337:CC337" si="2258">IF($F$290, 0, IF($D$298, IF(AND(COLUMN($BV$337)-COLUMN($BN$335)=$Q$291,ROW($BV$337)-ROW($BN$335)=$K$291), U$290, BV337), BV337))</f>
        <v>0</v>
      </c>
      <c r="BW337" s="21">
        <f t="shared" si="2258"/>
        <v>0</v>
      </c>
      <c r="BX337" s="21">
        <f t="shared" si="2258"/>
        <v>0</v>
      </c>
      <c r="BY337" s="21">
        <f t="shared" si="2258"/>
        <v>0</v>
      </c>
      <c r="BZ337" s="21">
        <f t="shared" si="2258"/>
        <v>0</v>
      </c>
      <c r="CA337" s="21">
        <f t="shared" si="2258"/>
        <v>0</v>
      </c>
      <c r="CB337" s="21">
        <f t="shared" si="2258"/>
        <v>0</v>
      </c>
      <c r="CC337" s="21">
        <f t="shared" si="2258"/>
        <v>0</v>
      </c>
      <c r="CD337" s="21">
        <f t="shared" ref="CD337:CK337" si="2259">IF($F$290, 0, IF($D$298, IF(AND(COLUMN($CD$337)-COLUMN($BN$335)=$Q$291,ROW($CD$337)-ROW($BN$335)=$K$291), U$290, CD337), CD337))</f>
        <v>0</v>
      </c>
      <c r="CE337" s="21">
        <f t="shared" si="2259"/>
        <v>0</v>
      </c>
      <c r="CF337" s="21">
        <f t="shared" si="2259"/>
        <v>0</v>
      </c>
      <c r="CG337" s="21">
        <f t="shared" si="2259"/>
        <v>0</v>
      </c>
      <c r="CH337" s="21">
        <f t="shared" si="2259"/>
        <v>0</v>
      </c>
      <c r="CI337" s="21">
        <f t="shared" si="2259"/>
        <v>0</v>
      </c>
      <c r="CJ337" s="21">
        <f t="shared" si="2259"/>
        <v>0</v>
      </c>
      <c r="CK337" s="21">
        <f t="shared" si="2259"/>
        <v>0</v>
      </c>
      <c r="CL337" s="21">
        <f t="shared" ref="CL337:CS337" si="2260">IF($F$290, 0, IF($D$298, IF(AND(COLUMN($CL$337)-COLUMN($BN$335)=$Q$291,ROW($CL$337)-ROW($BN$335)=$K$291), U$290, CL337), CL337))</f>
        <v>0</v>
      </c>
      <c r="CM337" s="21">
        <f t="shared" si="2260"/>
        <v>0</v>
      </c>
      <c r="CN337" s="21">
        <f t="shared" si="2260"/>
        <v>0</v>
      </c>
      <c r="CO337" s="21">
        <f t="shared" si="2260"/>
        <v>0</v>
      </c>
      <c r="CP337" s="21">
        <f t="shared" si="2260"/>
        <v>0</v>
      </c>
      <c r="CQ337" s="21">
        <f t="shared" si="2260"/>
        <v>0</v>
      </c>
      <c r="CR337" s="21">
        <f t="shared" si="2260"/>
        <v>0</v>
      </c>
      <c r="CS337" s="21">
        <f t="shared" si="2260"/>
        <v>0</v>
      </c>
      <c r="CT337" s="21">
        <f t="shared" ref="CT337:DA337" si="2261">IF($F$290, 0, IF($D$298, IF(AND(COLUMN($CT$337)-COLUMN($BN$335)=$Q$291,ROW($CT$337)-ROW($BN$335)=$K$291), U$290, CT337), CT337))</f>
        <v>0</v>
      </c>
      <c r="CU337" s="21">
        <f t="shared" si="2261"/>
        <v>0</v>
      </c>
      <c r="CV337" s="21">
        <f t="shared" si="2261"/>
        <v>0</v>
      </c>
      <c r="CW337" s="21">
        <f t="shared" si="2261"/>
        <v>0</v>
      </c>
      <c r="CX337" s="21">
        <f t="shared" si="2261"/>
        <v>0</v>
      </c>
      <c r="CY337" s="21">
        <f t="shared" si="2261"/>
        <v>0</v>
      </c>
      <c r="CZ337" s="21">
        <f t="shared" si="2261"/>
        <v>0</v>
      </c>
      <c r="DA337" s="21">
        <f t="shared" si="2261"/>
        <v>0</v>
      </c>
      <c r="DB337" s="21">
        <f t="shared" ref="DB337:DI337" si="2262">IF($F$290, 0, IF($D$298, IF(AND(COLUMN($DB$337)-COLUMN($BN$335)=$Q$291,ROW($DB$337)-ROW($BN$335)=$K$291), U$290, DB337), DB337))</f>
        <v>0</v>
      </c>
      <c r="DC337" s="21">
        <f t="shared" si="2262"/>
        <v>0</v>
      </c>
      <c r="DD337" s="21">
        <f t="shared" si="2262"/>
        <v>0</v>
      </c>
      <c r="DE337" s="21">
        <f t="shared" si="2262"/>
        <v>0</v>
      </c>
      <c r="DF337" s="21">
        <f t="shared" si="2262"/>
        <v>0</v>
      </c>
      <c r="DG337" s="21">
        <f t="shared" si="2262"/>
        <v>0</v>
      </c>
      <c r="DH337" s="21">
        <f t="shared" si="2262"/>
        <v>0</v>
      </c>
      <c r="DI337" s="21">
        <f t="shared" si="2262"/>
        <v>0</v>
      </c>
      <c r="DJ337" s="21">
        <f t="shared" ref="DJ337:DQ337" si="2263">IF($F$290, 0, IF($D$298, IF(AND(COLUMN($DJ$337)-COLUMN($BN$335)=$Q$291,ROW($DJ$337)-ROW($BN$335)=$K$291), U$290, DJ337), DJ337))</f>
        <v>0</v>
      </c>
      <c r="DK337" s="21">
        <f t="shared" si="2263"/>
        <v>0</v>
      </c>
      <c r="DL337" s="21">
        <f t="shared" si="2263"/>
        <v>0</v>
      </c>
      <c r="DM337" s="21">
        <f t="shared" si="2263"/>
        <v>0</v>
      </c>
      <c r="DN337" s="21">
        <f t="shared" si="2263"/>
        <v>0</v>
      </c>
      <c r="DO337" s="21">
        <f t="shared" si="2263"/>
        <v>0</v>
      </c>
      <c r="DP337" s="21">
        <f t="shared" si="2263"/>
        <v>0</v>
      </c>
      <c r="DQ337" s="21">
        <f t="shared" si="2263"/>
        <v>0</v>
      </c>
      <c r="DR337" s="21">
        <f t="shared" ref="DR337:DY337" si="2264">IF($F$290, 0, IF($D$298, IF(AND(COLUMN($DR$337)-COLUMN($BN$335)=$Q$291,ROW($DR$337)-ROW($BN$335)=$K$291), U$290, DR337), DR337))</f>
        <v>0</v>
      </c>
      <c r="DS337" s="21">
        <f t="shared" si="2264"/>
        <v>0</v>
      </c>
      <c r="DT337" s="21">
        <f t="shared" si="2264"/>
        <v>0</v>
      </c>
      <c r="DU337" s="21">
        <f t="shared" si="2264"/>
        <v>0</v>
      </c>
      <c r="DV337" s="21">
        <f t="shared" si="2264"/>
        <v>0</v>
      </c>
      <c r="DW337" s="21">
        <f t="shared" si="2264"/>
        <v>0</v>
      </c>
      <c r="DX337" s="21">
        <f t="shared" si="2264"/>
        <v>0</v>
      </c>
      <c r="DY337" s="21">
        <f t="shared" si="2264"/>
        <v>0</v>
      </c>
      <c r="DZ337" s="21">
        <f t="shared" ref="DZ337:EG337" si="2265">IF($F$290, 0, IF($E$298, IF(AND(COLUMN($DZ$337)-COLUMN($DZ$335)=$Q$291,ROW($DZ$337)-ROW($DZ$335)=$K$291), U$290, DZ337), DZ337))</f>
        <v>0</v>
      </c>
      <c r="EA337" s="21">
        <f t="shared" si="2265"/>
        <v>0</v>
      </c>
      <c r="EB337" s="21">
        <f t="shared" si="2265"/>
        <v>0</v>
      </c>
      <c r="EC337" s="21">
        <f t="shared" si="2265"/>
        <v>0</v>
      </c>
      <c r="ED337" s="21">
        <f t="shared" si="2265"/>
        <v>0</v>
      </c>
      <c r="EE337" s="21">
        <f t="shared" si="2265"/>
        <v>0</v>
      </c>
      <c r="EF337" s="21">
        <f t="shared" si="2265"/>
        <v>0</v>
      </c>
      <c r="EG337" s="21">
        <f t="shared" si="2265"/>
        <v>0</v>
      </c>
      <c r="EH337" s="21">
        <f t="shared" ref="EH337:EO337" si="2266">IF($F$290, 0, IF($E$298, IF(AND(COLUMN($EH$337)-COLUMN($DZ$335)=$Q$291,ROW($EH$337)-ROW($DZ$335)=$K$291), U$290, EH337), EH337))</f>
        <v>0</v>
      </c>
      <c r="EI337" s="21">
        <f t="shared" si="2266"/>
        <v>0</v>
      </c>
      <c r="EJ337" s="21">
        <f t="shared" si="2266"/>
        <v>0</v>
      </c>
      <c r="EK337" s="21">
        <f t="shared" si="2266"/>
        <v>0</v>
      </c>
      <c r="EL337" s="21">
        <f t="shared" si="2266"/>
        <v>0</v>
      </c>
      <c r="EM337" s="21">
        <f t="shared" si="2266"/>
        <v>0</v>
      </c>
      <c r="EN337" s="21">
        <f t="shared" si="2266"/>
        <v>0</v>
      </c>
      <c r="EO337" s="21">
        <f t="shared" si="2266"/>
        <v>0</v>
      </c>
      <c r="EP337" s="21">
        <f t="shared" ref="EP337:EW337" si="2267">IF($F$290, 0, IF($E$298, IF(AND(COLUMN($EP$337)-COLUMN($DZ$335)=$Q$291,ROW($EP$337)-ROW($DZ$335)=$K$291), U$290, EP337), EP337))</f>
        <v>0</v>
      </c>
      <c r="EQ337" s="21">
        <f t="shared" si="2267"/>
        <v>0</v>
      </c>
      <c r="ER337" s="21">
        <f t="shared" si="2267"/>
        <v>0</v>
      </c>
      <c r="ES337" s="21">
        <f t="shared" si="2267"/>
        <v>0</v>
      </c>
      <c r="ET337" s="21">
        <f t="shared" si="2267"/>
        <v>0</v>
      </c>
      <c r="EU337" s="21">
        <f t="shared" si="2267"/>
        <v>0</v>
      </c>
      <c r="EV337" s="21">
        <f t="shared" si="2267"/>
        <v>0</v>
      </c>
      <c r="EW337" s="21">
        <f t="shared" si="2267"/>
        <v>0</v>
      </c>
      <c r="EX337" s="21">
        <f t="shared" ref="EX337:FE337" si="2268">IF($F$290, 0, IF($E$298, IF(AND(COLUMN($EX$337)-COLUMN($DZ$335)=$Q$291,ROW($EX$337)-ROW($DZ$335)=$K$291), U$290, EX337), EX337))</f>
        <v>0</v>
      </c>
      <c r="EY337" s="21">
        <f t="shared" si="2268"/>
        <v>0</v>
      </c>
      <c r="EZ337" s="21">
        <f t="shared" si="2268"/>
        <v>0</v>
      </c>
      <c r="FA337" s="21">
        <f t="shared" si="2268"/>
        <v>0</v>
      </c>
      <c r="FB337" s="21">
        <f t="shared" si="2268"/>
        <v>0</v>
      </c>
      <c r="FC337" s="21">
        <f t="shared" si="2268"/>
        <v>0</v>
      </c>
      <c r="FD337" s="21">
        <f t="shared" si="2268"/>
        <v>0</v>
      </c>
      <c r="FE337" s="21">
        <f t="shared" si="2268"/>
        <v>0</v>
      </c>
      <c r="FF337" s="21">
        <f t="shared" ref="FF337:FM337" si="2269">IF($F$290, 0, IF($E$298, IF(AND(COLUMN($FF$337)-COLUMN($DZ$335)=$Q$291,ROW($FF$337)-ROW($DZ$335)=$K$291), U$290, FF337), FF337))</f>
        <v>0</v>
      </c>
      <c r="FG337" s="21">
        <f t="shared" si="2269"/>
        <v>0</v>
      </c>
      <c r="FH337" s="21">
        <f t="shared" si="2269"/>
        <v>0</v>
      </c>
      <c r="FI337" s="21">
        <f t="shared" si="2269"/>
        <v>0</v>
      </c>
      <c r="FJ337" s="21">
        <f t="shared" si="2269"/>
        <v>0</v>
      </c>
      <c r="FK337" s="21">
        <f t="shared" si="2269"/>
        <v>0</v>
      </c>
      <c r="FL337" s="21">
        <f t="shared" si="2269"/>
        <v>0</v>
      </c>
      <c r="FM337" s="21">
        <f t="shared" si="2269"/>
        <v>0</v>
      </c>
      <c r="FN337" s="21">
        <f t="shared" ref="FN337:FU337" si="2270">IF($F$290, 0, IF($E$298, IF(AND(COLUMN($FN$337)-COLUMN($DZ$335)=$Q$291,ROW($FN$337)-ROW($DZ$335)=$K$291), U$290, FN337), FN337))</f>
        <v>0</v>
      </c>
      <c r="FO337" s="21">
        <f t="shared" si="2270"/>
        <v>0</v>
      </c>
      <c r="FP337" s="21">
        <f t="shared" si="2270"/>
        <v>0</v>
      </c>
      <c r="FQ337" s="21">
        <f t="shared" si="2270"/>
        <v>0</v>
      </c>
      <c r="FR337" s="21">
        <f t="shared" si="2270"/>
        <v>0</v>
      </c>
      <c r="FS337" s="21">
        <f t="shared" si="2270"/>
        <v>0</v>
      </c>
      <c r="FT337" s="21">
        <f t="shared" si="2270"/>
        <v>0</v>
      </c>
      <c r="FU337" s="21">
        <f t="shared" si="2270"/>
        <v>0</v>
      </c>
      <c r="FV337" s="21">
        <f t="shared" ref="FV337:GC337" si="2271">IF($F$290, 0, IF($E$298, IF(AND(COLUMN($FV$337)-COLUMN($DZ$335)=$Q$291,ROW($FV$337)-ROW($DZ$335)=$K$291), U$290, FV337), FV337))</f>
        <v>0</v>
      </c>
      <c r="FW337" s="21">
        <f t="shared" si="2271"/>
        <v>0</v>
      </c>
      <c r="FX337" s="21">
        <f t="shared" si="2271"/>
        <v>0</v>
      </c>
      <c r="FY337" s="21">
        <f t="shared" si="2271"/>
        <v>0</v>
      </c>
      <c r="FZ337" s="21">
        <f t="shared" si="2271"/>
        <v>0</v>
      </c>
      <c r="GA337" s="21">
        <f t="shared" si="2271"/>
        <v>0</v>
      </c>
      <c r="GB337" s="21">
        <f t="shared" si="2271"/>
        <v>0</v>
      </c>
      <c r="GC337" s="21">
        <f t="shared" si="2271"/>
        <v>0</v>
      </c>
      <c r="GD337" s="21">
        <f t="shared" ref="GD337:GK337" si="2272">IF($F$290, 0, IF($E$298, IF(AND(COLUMN($GD$337)-COLUMN($DZ$335)=$Q$291,ROW($GD$337)-ROW($DZ$335)=$K$291), U$290, GD337), GD337))</f>
        <v>0</v>
      </c>
      <c r="GE337" s="21">
        <f t="shared" si="2272"/>
        <v>0</v>
      </c>
      <c r="GF337" s="21">
        <f t="shared" si="2272"/>
        <v>0</v>
      </c>
      <c r="GG337" s="21">
        <f t="shared" si="2272"/>
        <v>0</v>
      </c>
      <c r="GH337" s="21">
        <f t="shared" si="2272"/>
        <v>0</v>
      </c>
      <c r="GI337" s="21">
        <f t="shared" si="2272"/>
        <v>0</v>
      </c>
      <c r="GJ337" s="21">
        <f t="shared" si="2272"/>
        <v>0</v>
      </c>
      <c r="GK337" s="21">
        <f t="shared" si="2272"/>
        <v>0</v>
      </c>
      <c r="GL337" s="21">
        <f t="shared" ref="GL337:GS337" si="2273">IF($F$290, 0, IF($F$298, IF(AND(COLUMN($GL$337)-COLUMN($GL$335)=$Q$291,ROW($GL$337)-ROW($GL$335)=$K$291), U$290, GL337), GL337))</f>
        <v>0</v>
      </c>
      <c r="GM337" s="21">
        <f t="shared" si="2273"/>
        <v>0</v>
      </c>
      <c r="GN337" s="21">
        <f t="shared" si="2273"/>
        <v>0</v>
      </c>
      <c r="GO337" s="21">
        <f t="shared" si="2273"/>
        <v>0</v>
      </c>
      <c r="GP337" s="21">
        <f t="shared" si="2273"/>
        <v>0</v>
      </c>
      <c r="GQ337" s="21">
        <f t="shared" si="2273"/>
        <v>0</v>
      </c>
      <c r="GR337" s="21">
        <f t="shared" si="2273"/>
        <v>0</v>
      </c>
      <c r="GS337" s="21">
        <f t="shared" si="2273"/>
        <v>0</v>
      </c>
      <c r="GT337" s="21">
        <f t="shared" ref="GT337:HA337" si="2274">IF($F$290, 0, IF($F$298, IF(AND(COLUMN($GT$337)-COLUMN($GL$335)=$Q$291,ROW($GT$337)-ROW($GL$335)=$K$291), U$290, GT337), GT337))</f>
        <v>0</v>
      </c>
      <c r="GU337" s="21">
        <f t="shared" si="2274"/>
        <v>0</v>
      </c>
      <c r="GV337" s="21">
        <f t="shared" si="2274"/>
        <v>0</v>
      </c>
      <c r="GW337" s="21">
        <f t="shared" si="2274"/>
        <v>0</v>
      </c>
      <c r="GX337" s="21">
        <f t="shared" si="2274"/>
        <v>0</v>
      </c>
      <c r="GY337" s="21">
        <f t="shared" si="2274"/>
        <v>0</v>
      </c>
      <c r="GZ337" s="21">
        <f t="shared" si="2274"/>
        <v>0</v>
      </c>
      <c r="HA337" s="21">
        <f t="shared" si="2274"/>
        <v>0</v>
      </c>
      <c r="HB337" s="21">
        <f t="shared" ref="HB337:HI337" si="2275">IF($F$290, 0, IF($F$298, IF(AND(COLUMN($HB$337)-COLUMN($GL$335)=$Q$291,ROW($HB$337)-ROW($GL$335)=$K$291), U$290, HB337), HB337))</f>
        <v>0</v>
      </c>
      <c r="HC337" s="21">
        <f t="shared" si="2275"/>
        <v>0</v>
      </c>
      <c r="HD337" s="21">
        <f t="shared" si="2275"/>
        <v>0</v>
      </c>
      <c r="HE337" s="21">
        <f t="shared" si="2275"/>
        <v>0</v>
      </c>
      <c r="HF337" s="21">
        <f t="shared" si="2275"/>
        <v>0</v>
      </c>
      <c r="HG337" s="21">
        <f t="shared" si="2275"/>
        <v>0</v>
      </c>
      <c r="HH337" s="21">
        <f t="shared" si="2275"/>
        <v>0</v>
      </c>
      <c r="HI337" s="21">
        <f t="shared" si="2275"/>
        <v>0</v>
      </c>
      <c r="HJ337" s="21">
        <f t="shared" ref="HJ337:HQ337" si="2276">IF($F$290, 0, IF($F$298, IF(AND(COLUMN($HJ$337)-COLUMN($GL$335)=$Q$291,ROW($HJ$337)-ROW($GL$335)=$K$291), U$290, HJ337), HJ337))</f>
        <v>0</v>
      </c>
      <c r="HK337" s="21">
        <f t="shared" si="2276"/>
        <v>0</v>
      </c>
      <c r="HL337" s="21">
        <f t="shared" si="2276"/>
        <v>0</v>
      </c>
      <c r="HM337" s="21">
        <f t="shared" si="2276"/>
        <v>0</v>
      </c>
      <c r="HN337" s="21">
        <f t="shared" si="2276"/>
        <v>0</v>
      </c>
      <c r="HO337" s="21">
        <f t="shared" si="2276"/>
        <v>0</v>
      </c>
      <c r="HP337" s="21">
        <f t="shared" si="2276"/>
        <v>0</v>
      </c>
      <c r="HQ337" s="21">
        <f t="shared" si="2276"/>
        <v>0</v>
      </c>
      <c r="HR337" s="21">
        <f t="shared" ref="HR337:HY337" si="2277">IF($F$290, 0, IF($F$298, IF(AND(COLUMN($HR$337)-COLUMN($GL$335)=$Q$291,ROW($HR$337)-ROW($GL$335)=$K$291), U$290, HR337), HR337))</f>
        <v>0</v>
      </c>
      <c r="HS337" s="21">
        <f t="shared" si="2277"/>
        <v>0</v>
      </c>
      <c r="HT337" s="21">
        <f t="shared" si="2277"/>
        <v>0</v>
      </c>
      <c r="HU337" s="21">
        <f t="shared" si="2277"/>
        <v>0</v>
      </c>
      <c r="HV337" s="21">
        <f t="shared" si="2277"/>
        <v>0</v>
      </c>
      <c r="HW337" s="21">
        <f t="shared" si="2277"/>
        <v>0</v>
      </c>
      <c r="HX337" s="21">
        <f t="shared" si="2277"/>
        <v>0</v>
      </c>
      <c r="HY337" s="21">
        <f t="shared" si="2277"/>
        <v>0</v>
      </c>
      <c r="HZ337" s="21">
        <f t="shared" ref="HZ337:IG337" si="2278">IF($F$290, 0, IF($F$298, IF(AND(COLUMN($HZ$337)-COLUMN($GL$335)=$Q$291,ROW($HZ$337)-ROW($GL$335)=$K$291), U$290, HZ337), HZ337))</f>
        <v>0</v>
      </c>
      <c r="IA337" s="21">
        <f t="shared" si="2278"/>
        <v>0</v>
      </c>
      <c r="IB337" s="21">
        <f t="shared" si="2278"/>
        <v>0</v>
      </c>
      <c r="IC337" s="21">
        <f t="shared" si="2278"/>
        <v>0</v>
      </c>
      <c r="ID337" s="21">
        <f t="shared" si="2278"/>
        <v>0</v>
      </c>
      <c r="IE337" s="21">
        <f t="shared" si="2278"/>
        <v>0</v>
      </c>
      <c r="IF337" s="21">
        <f t="shared" si="2278"/>
        <v>0</v>
      </c>
      <c r="IG337" s="21">
        <f t="shared" si="2278"/>
        <v>0</v>
      </c>
      <c r="IH337" s="21">
        <f t="shared" ref="IH337:IO337" si="2279">IF($F$290, 0, IF($F$298, IF(AND(COLUMN($IH$337)-COLUMN($GL$335)=$Q$291,ROW($IH$337)-ROW($GL$335)=$K$291), U$290, IH337), IH337))</f>
        <v>0</v>
      </c>
      <c r="II337" s="21">
        <f t="shared" si="2279"/>
        <v>0</v>
      </c>
      <c r="IJ337" s="21">
        <f t="shared" si="2279"/>
        <v>0</v>
      </c>
      <c r="IK337" s="21">
        <f t="shared" si="2279"/>
        <v>0</v>
      </c>
      <c r="IL337" s="21">
        <f t="shared" si="2279"/>
        <v>0</v>
      </c>
      <c r="IM337" s="21">
        <f t="shared" si="2279"/>
        <v>0</v>
      </c>
      <c r="IN337" s="21">
        <f t="shared" si="2279"/>
        <v>0</v>
      </c>
      <c r="IO337" s="21">
        <f t="shared" si="2279"/>
        <v>0</v>
      </c>
      <c r="IP337" s="21">
        <f t="shared" ref="IP337:IW337" si="2280">IF($F$290, 0, IF($F$298, IF(AND(COLUMN($IP$337)-COLUMN($GL$335)=$Q$291,ROW($IP$337)-ROW($GL$335)=$K$291), U$290, IP337), IP337))</f>
        <v>0</v>
      </c>
      <c r="IQ337" s="21">
        <f t="shared" si="2280"/>
        <v>0</v>
      </c>
      <c r="IR337" s="21">
        <f t="shared" si="2280"/>
        <v>0</v>
      </c>
      <c r="IS337" s="21">
        <f t="shared" si="2280"/>
        <v>0</v>
      </c>
      <c r="IT337" s="21">
        <f t="shared" si="2280"/>
        <v>0</v>
      </c>
      <c r="IU337" s="21">
        <f t="shared" si="2280"/>
        <v>0</v>
      </c>
      <c r="IV337" s="21">
        <f t="shared" si="2280"/>
        <v>0</v>
      </c>
      <c r="IW337" s="21">
        <f t="shared" si="2280"/>
        <v>0</v>
      </c>
      <c r="IX337" s="21">
        <f t="shared" ref="IX337:JE337" si="2281">IF($F$290, 0, IF($G$298, IF(AND(COLUMN($IX$337)-COLUMN($IX$335)=$Q$291,ROW($IX$337)-ROW($IX$335)=$K$291), U$290, IX337), IX337))</f>
        <v>0</v>
      </c>
      <c r="IY337" s="21">
        <f t="shared" si="2281"/>
        <v>0</v>
      </c>
      <c r="IZ337" s="21">
        <f t="shared" si="2281"/>
        <v>0</v>
      </c>
      <c r="JA337" s="21">
        <f t="shared" si="2281"/>
        <v>0</v>
      </c>
      <c r="JB337" s="21">
        <f t="shared" si="2281"/>
        <v>0</v>
      </c>
      <c r="JC337" s="21">
        <f t="shared" si="2281"/>
        <v>0</v>
      </c>
      <c r="JD337" s="21">
        <f t="shared" si="2281"/>
        <v>0</v>
      </c>
      <c r="JE337" s="21">
        <f t="shared" si="2281"/>
        <v>0</v>
      </c>
      <c r="JF337" s="21">
        <f t="shared" ref="JF337:JM337" si="2282">IF($F$290, 0, IF($G$298, IF(AND(COLUMN($JF$337)-COLUMN($IX$335)=$Q$291,ROW($JF$337)-ROW($IX$335)=$K$291), U$290, JF337), JF337))</f>
        <v>0</v>
      </c>
      <c r="JG337" s="21">
        <f t="shared" si="2282"/>
        <v>0</v>
      </c>
      <c r="JH337" s="21">
        <f t="shared" si="2282"/>
        <v>0</v>
      </c>
      <c r="JI337" s="21">
        <f t="shared" si="2282"/>
        <v>0</v>
      </c>
      <c r="JJ337" s="21">
        <f t="shared" si="2282"/>
        <v>0</v>
      </c>
      <c r="JK337" s="21">
        <f t="shared" si="2282"/>
        <v>0</v>
      </c>
      <c r="JL337" s="21">
        <f t="shared" si="2282"/>
        <v>0</v>
      </c>
      <c r="JM337" s="21">
        <f t="shared" si="2282"/>
        <v>0</v>
      </c>
      <c r="JN337" s="21">
        <f t="shared" ref="JN337:JU337" si="2283">IF($F$290, 0, IF($G$298, IF(AND(COLUMN($JN$337)-COLUMN($IX$335)=$Q$291,ROW($JN$337)-ROW($IX$335)=$K$291), U$290, JN337), JN337))</f>
        <v>0</v>
      </c>
      <c r="JO337" s="21">
        <f t="shared" si="2283"/>
        <v>0</v>
      </c>
      <c r="JP337" s="21">
        <f t="shared" si="2283"/>
        <v>0</v>
      </c>
      <c r="JQ337" s="21">
        <f t="shared" si="2283"/>
        <v>0</v>
      </c>
      <c r="JR337" s="21">
        <f t="shared" si="2283"/>
        <v>0</v>
      </c>
      <c r="JS337" s="21">
        <f t="shared" si="2283"/>
        <v>0</v>
      </c>
      <c r="JT337" s="21">
        <f t="shared" si="2283"/>
        <v>0</v>
      </c>
      <c r="JU337" s="21">
        <f t="shared" si="2283"/>
        <v>0</v>
      </c>
      <c r="JV337" s="21">
        <f t="shared" ref="JV337:KC337" si="2284">IF($F$290, 0, IF($G$298, IF(AND(COLUMN($JV$337)-COLUMN($IX$335)=$Q$291,ROW($JV$337)-ROW($IX$335)=$K$291), U$290, JV337), JV337))</f>
        <v>0</v>
      </c>
      <c r="JW337" s="21">
        <f t="shared" si="2284"/>
        <v>0</v>
      </c>
      <c r="JX337" s="21">
        <f t="shared" si="2284"/>
        <v>0</v>
      </c>
      <c r="JY337" s="21">
        <f t="shared" si="2284"/>
        <v>0</v>
      </c>
      <c r="JZ337" s="21">
        <f t="shared" si="2284"/>
        <v>0</v>
      </c>
      <c r="KA337" s="21">
        <f t="shared" si="2284"/>
        <v>0</v>
      </c>
      <c r="KB337" s="21">
        <f t="shared" si="2284"/>
        <v>0</v>
      </c>
      <c r="KC337" s="21">
        <f t="shared" si="2284"/>
        <v>0</v>
      </c>
      <c r="KD337" s="21">
        <f t="shared" ref="KD337:KK337" si="2285">IF($F$290, 0, IF($G$298, IF(AND(COLUMN($KD$337)-COLUMN($IX$335)=$Q$291,ROW($KD$337)-ROW($IX$335)=$K$291), U$290, KD337), KD337))</f>
        <v>0</v>
      </c>
      <c r="KE337" s="21">
        <f t="shared" si="2285"/>
        <v>0</v>
      </c>
      <c r="KF337" s="21">
        <f t="shared" si="2285"/>
        <v>0</v>
      </c>
      <c r="KG337" s="21">
        <f t="shared" si="2285"/>
        <v>0</v>
      </c>
      <c r="KH337" s="21">
        <f t="shared" si="2285"/>
        <v>0</v>
      </c>
      <c r="KI337" s="21">
        <f t="shared" si="2285"/>
        <v>0</v>
      </c>
      <c r="KJ337" s="21">
        <f t="shared" si="2285"/>
        <v>0</v>
      </c>
      <c r="KK337" s="21">
        <f t="shared" si="2285"/>
        <v>0</v>
      </c>
      <c r="KL337" s="21">
        <f t="shared" ref="KL337:KS337" si="2286">IF($F$290, 0, IF($G$298, IF(AND(COLUMN($KL$337)-COLUMN($IX$335)=$Q$291,ROW($KL$337)-ROW($IX$335)=$K$291), U$290, KL337), KL337))</f>
        <v>0</v>
      </c>
      <c r="KM337" s="21">
        <f t="shared" si="2286"/>
        <v>0</v>
      </c>
      <c r="KN337" s="21">
        <f t="shared" si="2286"/>
        <v>0</v>
      </c>
      <c r="KO337" s="21">
        <f t="shared" si="2286"/>
        <v>0</v>
      </c>
      <c r="KP337" s="21">
        <f t="shared" si="2286"/>
        <v>0</v>
      </c>
      <c r="KQ337" s="21">
        <f t="shared" si="2286"/>
        <v>0</v>
      </c>
      <c r="KR337" s="21">
        <f t="shared" si="2286"/>
        <v>0</v>
      </c>
      <c r="KS337" s="21">
        <f t="shared" si="2286"/>
        <v>0</v>
      </c>
      <c r="KT337" s="21">
        <f t="shared" ref="KT337:LA337" si="2287">IF($F$290, 0, IF($G$298, IF(AND(COLUMN($KT$337)-COLUMN($IX$335)=$Q$291,ROW($KT$337)-ROW($IX$335)=$K$291), U$290, KT337), KT337))</f>
        <v>0</v>
      </c>
      <c r="KU337" s="21">
        <f t="shared" si="2287"/>
        <v>0</v>
      </c>
      <c r="KV337" s="21">
        <f t="shared" si="2287"/>
        <v>0</v>
      </c>
      <c r="KW337" s="21">
        <f t="shared" si="2287"/>
        <v>0</v>
      </c>
      <c r="KX337" s="21">
        <f t="shared" si="2287"/>
        <v>0</v>
      </c>
      <c r="KY337" s="21">
        <f t="shared" si="2287"/>
        <v>0</v>
      </c>
      <c r="KZ337" s="21">
        <f t="shared" si="2287"/>
        <v>0</v>
      </c>
      <c r="LA337" s="21">
        <f t="shared" si="2287"/>
        <v>0</v>
      </c>
      <c r="LB337" s="21">
        <f t="shared" ref="LB337:LI337" si="2288">IF($F$290, 0, IF($G$298, IF(AND(COLUMN($LB$337)-COLUMN($IX$335)=$Q$291,ROW($LB$337)-ROW($IX$335)=$K$291), U$290, LB337), LB337))</f>
        <v>0</v>
      </c>
      <c r="LC337" s="21">
        <f t="shared" si="2288"/>
        <v>0</v>
      </c>
      <c r="LD337" s="21">
        <f t="shared" si="2288"/>
        <v>0</v>
      </c>
      <c r="LE337" s="21">
        <f t="shared" si="2288"/>
        <v>0</v>
      </c>
      <c r="LF337" s="21">
        <f t="shared" si="2288"/>
        <v>0</v>
      </c>
      <c r="LG337" s="21">
        <f t="shared" si="2288"/>
        <v>0</v>
      </c>
      <c r="LH337" s="21">
        <f t="shared" si="2288"/>
        <v>0</v>
      </c>
      <c r="LI337" s="21">
        <f t="shared" si="2288"/>
        <v>0</v>
      </c>
      <c r="LJ337" s="21">
        <f t="shared" ref="LJ337:LQ337" si="2289">IF($F$290, 0, IF($H$298, IF(AND(COLUMN($LJ$337)-COLUMN($LJ$335)=$Q$291,ROW($LJ$337)-ROW($LJ$335)=$K$291), U$290, LJ337), LJ337))</f>
        <v>0</v>
      </c>
      <c r="LK337" s="21">
        <f t="shared" si="2289"/>
        <v>0</v>
      </c>
      <c r="LL337" s="21">
        <f t="shared" si="2289"/>
        <v>0</v>
      </c>
      <c r="LM337" s="21">
        <f t="shared" si="2289"/>
        <v>0</v>
      </c>
      <c r="LN337" s="21">
        <f t="shared" si="2289"/>
        <v>0</v>
      </c>
      <c r="LO337" s="21">
        <f t="shared" si="2289"/>
        <v>0</v>
      </c>
      <c r="LP337" s="21">
        <f t="shared" si="2289"/>
        <v>0</v>
      </c>
      <c r="LQ337" s="21">
        <f t="shared" si="2289"/>
        <v>0</v>
      </c>
      <c r="LR337" s="21">
        <f t="shared" ref="LR337:LY337" si="2290">IF($F$290, 0, IF($H$298, IF(AND(COLUMN($LR$337)-COLUMN($LJ$335)=$Q$291,ROW($LR$337)-ROW($LJ$335)=$K$291), U$290, LR337), LR337))</f>
        <v>0</v>
      </c>
      <c r="LS337" s="21">
        <f t="shared" si="2290"/>
        <v>0</v>
      </c>
      <c r="LT337" s="21">
        <f t="shared" si="2290"/>
        <v>0</v>
      </c>
      <c r="LU337" s="21">
        <f t="shared" si="2290"/>
        <v>0</v>
      </c>
      <c r="LV337" s="21">
        <f t="shared" si="2290"/>
        <v>0</v>
      </c>
      <c r="LW337" s="21">
        <f t="shared" si="2290"/>
        <v>0</v>
      </c>
      <c r="LX337" s="21">
        <f t="shared" si="2290"/>
        <v>0</v>
      </c>
      <c r="LY337" s="21">
        <f t="shared" si="2290"/>
        <v>0</v>
      </c>
      <c r="LZ337" s="21">
        <f t="shared" ref="LZ337:MG337" si="2291">IF($F$290, 0, IF($H$298, IF(AND(COLUMN($LZ$337)-COLUMN($LJ$335)=$Q$291,ROW($LZ$337)-ROW($LJ$335)=$K$291), U$290, LZ337), LZ337))</f>
        <v>0</v>
      </c>
      <c r="MA337" s="21">
        <f t="shared" si="2291"/>
        <v>0</v>
      </c>
      <c r="MB337" s="21">
        <f t="shared" si="2291"/>
        <v>0</v>
      </c>
      <c r="MC337" s="21">
        <f t="shared" si="2291"/>
        <v>0</v>
      </c>
      <c r="MD337" s="21">
        <f t="shared" si="2291"/>
        <v>0</v>
      </c>
      <c r="ME337" s="21">
        <f t="shared" si="2291"/>
        <v>0</v>
      </c>
      <c r="MF337" s="21">
        <f t="shared" si="2291"/>
        <v>0</v>
      </c>
      <c r="MG337" s="21">
        <f t="shared" si="2291"/>
        <v>0</v>
      </c>
      <c r="MH337" s="21">
        <f t="shared" ref="MH337:MO337" si="2292">IF($F$290, 0, IF($H$298, IF(AND(COLUMN($MH$337)-COLUMN($LJ$335)=$Q$291,ROW($MH$337)-ROW($LJ$335)=$K$291), U$290, MH337), MH337))</f>
        <v>0</v>
      </c>
      <c r="MI337" s="21">
        <f t="shared" si="2292"/>
        <v>0</v>
      </c>
      <c r="MJ337" s="21">
        <f t="shared" si="2292"/>
        <v>0</v>
      </c>
      <c r="MK337" s="21">
        <f t="shared" si="2292"/>
        <v>0</v>
      </c>
      <c r="ML337" s="21">
        <f t="shared" si="2292"/>
        <v>0</v>
      </c>
      <c r="MM337" s="21">
        <f t="shared" si="2292"/>
        <v>0</v>
      </c>
      <c r="MN337" s="21">
        <f t="shared" si="2292"/>
        <v>0</v>
      </c>
      <c r="MO337" s="21">
        <f t="shared" si="2292"/>
        <v>0</v>
      </c>
      <c r="MP337" s="21">
        <f t="shared" ref="MP337:MW337" si="2293">IF($F$290, 0, IF($H$298, IF(AND(COLUMN($MP$337)-COLUMN($LJ$335)=$Q$291,ROW($MP$337)-ROW($LJ$335)=$K$291), U$290, MP337), MP337))</f>
        <v>0</v>
      </c>
      <c r="MQ337" s="21">
        <f t="shared" si="2293"/>
        <v>0</v>
      </c>
      <c r="MR337" s="21">
        <f t="shared" si="2293"/>
        <v>0</v>
      </c>
      <c r="MS337" s="21">
        <f t="shared" si="2293"/>
        <v>0</v>
      </c>
      <c r="MT337" s="21">
        <f t="shared" si="2293"/>
        <v>0</v>
      </c>
      <c r="MU337" s="21">
        <f t="shared" si="2293"/>
        <v>0</v>
      </c>
      <c r="MV337" s="21">
        <f t="shared" si="2293"/>
        <v>0</v>
      </c>
      <c r="MW337" s="21">
        <f t="shared" si="2293"/>
        <v>0</v>
      </c>
      <c r="MX337" s="21">
        <f t="shared" ref="MX337:NE337" si="2294">IF($F$290, 0, IF($H$298, IF(AND(COLUMN($MX$337)-COLUMN($LJ$335)=$Q$291,ROW($MX$337)-ROW($LJ$335)=$K$291), U$290, MX337), MX337))</f>
        <v>0</v>
      </c>
      <c r="MY337" s="21">
        <f t="shared" si="2294"/>
        <v>0</v>
      </c>
      <c r="MZ337" s="21">
        <f t="shared" si="2294"/>
        <v>0</v>
      </c>
      <c r="NA337" s="21">
        <f t="shared" si="2294"/>
        <v>0</v>
      </c>
      <c r="NB337" s="21">
        <f t="shared" si="2294"/>
        <v>0</v>
      </c>
      <c r="NC337" s="21">
        <f t="shared" si="2294"/>
        <v>0</v>
      </c>
      <c r="ND337" s="21">
        <f t="shared" si="2294"/>
        <v>0</v>
      </c>
      <c r="NE337" s="21">
        <f t="shared" si="2294"/>
        <v>0</v>
      </c>
      <c r="NF337" s="21">
        <f t="shared" ref="NF337:NM337" si="2295">IF($F$290, 0, IF($H$298, IF(AND(COLUMN($NF$337)-COLUMN($LJ$335)=$Q$291,ROW($NF$337)-ROW($LJ$335)=$K$291), U$290, NF337), NF337))</f>
        <v>0</v>
      </c>
      <c r="NG337" s="21">
        <f t="shared" si="2295"/>
        <v>0</v>
      </c>
      <c r="NH337" s="21">
        <f t="shared" si="2295"/>
        <v>0</v>
      </c>
      <c r="NI337" s="21">
        <f t="shared" si="2295"/>
        <v>0</v>
      </c>
      <c r="NJ337" s="21">
        <f t="shared" si="2295"/>
        <v>0</v>
      </c>
      <c r="NK337" s="21">
        <f t="shared" si="2295"/>
        <v>0</v>
      </c>
      <c r="NL337" s="21">
        <f t="shared" si="2295"/>
        <v>0</v>
      </c>
      <c r="NM337" s="21">
        <f t="shared" si="2295"/>
        <v>0</v>
      </c>
      <c r="NN337" s="21">
        <f t="shared" ref="NN337:NU337" si="2296">IF($F$290, 0, IF($H$298, IF(AND(COLUMN($NN$337)-COLUMN($LJ$335)=$Q$291,ROW($NN$337)-ROW($LJ$335)=$K$291), U$290, NN337), NN337))</f>
        <v>0</v>
      </c>
      <c r="NO337" s="21">
        <f t="shared" si="2296"/>
        <v>0</v>
      </c>
      <c r="NP337" s="21">
        <f t="shared" si="2296"/>
        <v>0</v>
      </c>
      <c r="NQ337" s="21">
        <f t="shared" si="2296"/>
        <v>0</v>
      </c>
      <c r="NR337" s="21">
        <f t="shared" si="2296"/>
        <v>0</v>
      </c>
      <c r="NS337" s="21">
        <f t="shared" si="2296"/>
        <v>0</v>
      </c>
      <c r="NT337" s="21">
        <f t="shared" si="2296"/>
        <v>0</v>
      </c>
      <c r="NU337" s="21">
        <f t="shared" si="2296"/>
        <v>0</v>
      </c>
      <c r="NV337" s="21">
        <f t="shared" ref="NV337:OC337" si="2297">IF($F$290, 0, IF($I$298, IF(AND(COLUMN($NV$337)-COLUMN($NV$335)=$Q$291,ROW($NV$337)-ROW($NV$335)=$K$291), U$290, NV337), NV337))</f>
        <v>0</v>
      </c>
      <c r="NW337" s="21">
        <f t="shared" si="2297"/>
        <v>0</v>
      </c>
      <c r="NX337" s="21">
        <f t="shared" si="2297"/>
        <v>0</v>
      </c>
      <c r="NY337" s="21">
        <f t="shared" si="2297"/>
        <v>0</v>
      </c>
      <c r="NZ337" s="21">
        <f t="shared" si="2297"/>
        <v>0</v>
      </c>
      <c r="OA337" s="21">
        <f t="shared" si="2297"/>
        <v>0</v>
      </c>
      <c r="OB337" s="21">
        <f t="shared" si="2297"/>
        <v>0</v>
      </c>
      <c r="OC337" s="21">
        <f t="shared" si="2297"/>
        <v>0</v>
      </c>
      <c r="OD337" s="21">
        <f t="shared" ref="OD337:OK337" si="2298">IF($F$290, 0, IF($I$298, IF(AND(COLUMN($OD$337)-COLUMN($NV$335)=$Q$291,ROW($OD$337)-ROW($NV$335)=$K$291), U$290, OD337), OD337))</f>
        <v>0</v>
      </c>
      <c r="OE337" s="21">
        <f t="shared" si="2298"/>
        <v>0</v>
      </c>
      <c r="OF337" s="21">
        <f t="shared" si="2298"/>
        <v>0</v>
      </c>
      <c r="OG337" s="21">
        <f t="shared" si="2298"/>
        <v>0</v>
      </c>
      <c r="OH337" s="21">
        <f t="shared" si="2298"/>
        <v>0</v>
      </c>
      <c r="OI337" s="21">
        <f t="shared" si="2298"/>
        <v>0</v>
      </c>
      <c r="OJ337" s="21">
        <f t="shared" si="2298"/>
        <v>0</v>
      </c>
      <c r="OK337" s="21">
        <f t="shared" si="2298"/>
        <v>0</v>
      </c>
      <c r="OL337" s="21">
        <f t="shared" ref="OL337:OS337" si="2299">IF($F$290, 0, IF($I$298, IF(AND(COLUMN($OL$337)-COLUMN($NV$335)=$Q$291,ROW($OL$337)-ROW($NV$335)=$K$291), U$290, OL337), OL337))</f>
        <v>0</v>
      </c>
      <c r="OM337" s="21">
        <f t="shared" si="2299"/>
        <v>0</v>
      </c>
      <c r="ON337" s="21">
        <f t="shared" si="2299"/>
        <v>0</v>
      </c>
      <c r="OO337" s="21">
        <f t="shared" si="2299"/>
        <v>0</v>
      </c>
      <c r="OP337" s="21">
        <f t="shared" si="2299"/>
        <v>0</v>
      </c>
      <c r="OQ337" s="21">
        <f t="shared" si="2299"/>
        <v>0</v>
      </c>
      <c r="OR337" s="21">
        <f t="shared" si="2299"/>
        <v>0</v>
      </c>
      <c r="OS337" s="21">
        <f t="shared" si="2299"/>
        <v>0</v>
      </c>
      <c r="OT337" s="21">
        <f t="shared" ref="OT337:PA337" si="2300">IF($F$290, 0, IF($I$298, IF(AND(COLUMN($OT$337)-COLUMN($NV$335)=$Q$291,ROW($OT$337)-ROW($NV$335)=$K$291), U$290, OT337), OT337))</f>
        <v>0</v>
      </c>
      <c r="OU337" s="21">
        <f t="shared" si="2300"/>
        <v>0</v>
      </c>
      <c r="OV337" s="21">
        <f t="shared" si="2300"/>
        <v>0</v>
      </c>
      <c r="OW337" s="21">
        <f t="shared" si="2300"/>
        <v>0</v>
      </c>
      <c r="OX337" s="21">
        <f t="shared" si="2300"/>
        <v>0</v>
      </c>
      <c r="OY337" s="21">
        <f t="shared" si="2300"/>
        <v>0</v>
      </c>
      <c r="OZ337" s="21">
        <f t="shared" si="2300"/>
        <v>0</v>
      </c>
      <c r="PA337" s="21">
        <f t="shared" si="2300"/>
        <v>0</v>
      </c>
      <c r="PB337" s="21">
        <f t="shared" ref="PB337:PI337" si="2301">IF($F$290, 0, IF($I$298, IF(AND(COLUMN($PB$337)-COLUMN($NV$335)=$Q$291,ROW($PB$337)-ROW($NV$335)=$K$291), U$290, PB337), PB337))</f>
        <v>0</v>
      </c>
      <c r="PC337" s="21">
        <f t="shared" si="2301"/>
        <v>0</v>
      </c>
      <c r="PD337" s="21">
        <f t="shared" si="2301"/>
        <v>0</v>
      </c>
      <c r="PE337" s="21">
        <f t="shared" si="2301"/>
        <v>0</v>
      </c>
      <c r="PF337" s="21">
        <f t="shared" si="2301"/>
        <v>0</v>
      </c>
      <c r="PG337" s="21">
        <f t="shared" si="2301"/>
        <v>0</v>
      </c>
      <c r="PH337" s="21">
        <f t="shared" si="2301"/>
        <v>0</v>
      </c>
      <c r="PI337" s="21">
        <f t="shared" si="2301"/>
        <v>0</v>
      </c>
      <c r="PJ337" s="21">
        <f t="shared" ref="PJ337:PQ337" si="2302">IF($F$290, 0, IF($I$298, IF(AND(COLUMN($PJ$337)-COLUMN($NV$335)=$Q$291,ROW($PJ$337)-ROW($NV$335)=$K$291), U$290, PJ337), PJ337))</f>
        <v>0</v>
      </c>
      <c r="PK337" s="21">
        <f t="shared" si="2302"/>
        <v>0</v>
      </c>
      <c r="PL337" s="21">
        <f t="shared" si="2302"/>
        <v>0</v>
      </c>
      <c r="PM337" s="21">
        <f t="shared" si="2302"/>
        <v>0</v>
      </c>
      <c r="PN337" s="21">
        <f t="shared" si="2302"/>
        <v>0</v>
      </c>
      <c r="PO337" s="21">
        <f t="shared" si="2302"/>
        <v>0</v>
      </c>
      <c r="PP337" s="21">
        <f t="shared" si="2302"/>
        <v>0</v>
      </c>
      <c r="PQ337" s="21">
        <f t="shared" si="2302"/>
        <v>0</v>
      </c>
      <c r="PR337" s="21">
        <f t="shared" ref="PR337:PY337" si="2303">IF($F$290, 0, IF($I$298, IF(AND(COLUMN($PR$337)-COLUMN($NV$335)=$Q$291,ROW($PR$337)-ROW($NV$335)=$K$291), U$290, PR337), PR337))</f>
        <v>0</v>
      </c>
      <c r="PS337" s="21">
        <f t="shared" si="2303"/>
        <v>0</v>
      </c>
      <c r="PT337" s="21">
        <f t="shared" si="2303"/>
        <v>0</v>
      </c>
      <c r="PU337" s="21">
        <f t="shared" si="2303"/>
        <v>0</v>
      </c>
      <c r="PV337" s="21">
        <f t="shared" si="2303"/>
        <v>0</v>
      </c>
      <c r="PW337" s="21">
        <f t="shared" si="2303"/>
        <v>0</v>
      </c>
      <c r="PX337" s="21">
        <f t="shared" si="2303"/>
        <v>0</v>
      </c>
      <c r="PY337" s="21">
        <f t="shared" si="2303"/>
        <v>0</v>
      </c>
      <c r="PZ337" s="21">
        <f t="shared" ref="PZ337:QG337" si="2304">IF($F$290, 0, IF($I$298, IF(AND(COLUMN($PZ$337)-COLUMN($NV$335)=$Q$291,ROW($PZ$337)-ROW($NV$335)=$K$291), U$290, PZ337), PZ337))</f>
        <v>0</v>
      </c>
      <c r="QA337" s="21">
        <f t="shared" si="2304"/>
        <v>0</v>
      </c>
      <c r="QB337" s="21">
        <f t="shared" si="2304"/>
        <v>0</v>
      </c>
      <c r="QC337" s="21">
        <f t="shared" si="2304"/>
        <v>0</v>
      </c>
      <c r="QD337" s="21">
        <f t="shared" si="2304"/>
        <v>0</v>
      </c>
      <c r="QE337" s="21">
        <f t="shared" si="2304"/>
        <v>0</v>
      </c>
      <c r="QF337" s="21">
        <f t="shared" si="2304"/>
        <v>0</v>
      </c>
      <c r="QG337" s="21">
        <f t="shared" si="2304"/>
        <v>0</v>
      </c>
      <c r="QH337" s="21">
        <f t="shared" ref="QH337:QO337" si="2305">IF($F$290, 0, IF($J$298, IF(AND(COLUMN($QH$337)-COLUMN($QH$335)=$Q$291,ROW($QH$337)-ROW($QH$335)=$K$291), U$290, QH337), QH337))</f>
        <v>0</v>
      </c>
      <c r="QI337" s="21">
        <f t="shared" si="2305"/>
        <v>0</v>
      </c>
      <c r="QJ337" s="21">
        <f t="shared" si="2305"/>
        <v>0</v>
      </c>
      <c r="QK337" s="21">
        <f t="shared" si="2305"/>
        <v>0</v>
      </c>
      <c r="QL337" s="21">
        <f t="shared" si="2305"/>
        <v>0</v>
      </c>
      <c r="QM337" s="21">
        <f t="shared" si="2305"/>
        <v>0</v>
      </c>
      <c r="QN337" s="21">
        <f t="shared" si="2305"/>
        <v>0</v>
      </c>
      <c r="QO337" s="21">
        <f t="shared" si="2305"/>
        <v>0</v>
      </c>
      <c r="QP337" s="21">
        <f t="shared" ref="QP337:QW337" si="2306">IF($F$290, 0, IF($J$298, IF(AND(COLUMN($QP$337)-COLUMN($QH$335)=$Q$291,ROW($QP$337)-ROW($QH$335)=$K$291), U$290, QP337), QP337))</f>
        <v>0</v>
      </c>
      <c r="QQ337" s="21">
        <f t="shared" si="2306"/>
        <v>0</v>
      </c>
      <c r="QR337" s="21">
        <f t="shared" si="2306"/>
        <v>0</v>
      </c>
      <c r="QS337" s="21">
        <f t="shared" si="2306"/>
        <v>0</v>
      </c>
      <c r="QT337" s="21">
        <f t="shared" si="2306"/>
        <v>0</v>
      </c>
      <c r="QU337" s="21">
        <f t="shared" si="2306"/>
        <v>0</v>
      </c>
      <c r="QV337" s="21">
        <f t="shared" si="2306"/>
        <v>0</v>
      </c>
      <c r="QW337" s="21">
        <f t="shared" si="2306"/>
        <v>0</v>
      </c>
      <c r="QX337" s="21">
        <f t="shared" ref="QX337:RE337" si="2307">IF($F$290, 0, IF($J$298, IF(AND(COLUMN($QX$337)-COLUMN($QH$335)=$Q$291,ROW($QX$337)-ROW($QH$335)=$K$291), U$290, QX337), QX337))</f>
        <v>0</v>
      </c>
      <c r="QY337" s="21">
        <f t="shared" si="2307"/>
        <v>0</v>
      </c>
      <c r="QZ337" s="21">
        <f t="shared" si="2307"/>
        <v>0</v>
      </c>
      <c r="RA337" s="21">
        <f t="shared" si="2307"/>
        <v>0</v>
      </c>
      <c r="RB337" s="21">
        <f t="shared" si="2307"/>
        <v>0</v>
      </c>
      <c r="RC337" s="21">
        <f t="shared" si="2307"/>
        <v>0</v>
      </c>
      <c r="RD337" s="21">
        <f t="shared" si="2307"/>
        <v>0</v>
      </c>
      <c r="RE337" s="21">
        <f t="shared" si="2307"/>
        <v>0</v>
      </c>
      <c r="RF337" s="21">
        <f t="shared" ref="RF337:RM337" si="2308">IF($F$290, 0, IF($J$298, IF(AND(COLUMN($RF$337)-COLUMN($QH$335)=$Q$291,ROW($RF$337)-ROW($QH$335)=$K$291), U$290, RF337), RF337))</f>
        <v>0</v>
      </c>
      <c r="RG337" s="21">
        <f t="shared" si="2308"/>
        <v>0</v>
      </c>
      <c r="RH337" s="21">
        <f t="shared" si="2308"/>
        <v>0</v>
      </c>
      <c r="RI337" s="21">
        <f t="shared" si="2308"/>
        <v>0</v>
      </c>
      <c r="RJ337" s="21">
        <f t="shared" si="2308"/>
        <v>0</v>
      </c>
      <c r="RK337" s="21">
        <f t="shared" si="2308"/>
        <v>0</v>
      </c>
      <c r="RL337" s="21">
        <f t="shared" si="2308"/>
        <v>0</v>
      </c>
      <c r="RM337" s="21">
        <f t="shared" si="2308"/>
        <v>0</v>
      </c>
      <c r="RN337" s="21">
        <f t="shared" ref="RN337:RU337" si="2309">IF($F$290, 0, IF($J$298, IF(AND(COLUMN($RN$337)-COLUMN($QH$335)=$Q$291,ROW($RN$337)-ROW($QH$335)=$K$291), U$290, RN337), RN337))</f>
        <v>0</v>
      </c>
      <c r="RO337" s="21">
        <f t="shared" si="2309"/>
        <v>0</v>
      </c>
      <c r="RP337" s="21">
        <f t="shared" si="2309"/>
        <v>0</v>
      </c>
      <c r="RQ337" s="21">
        <f t="shared" si="2309"/>
        <v>0</v>
      </c>
      <c r="RR337" s="21">
        <f t="shared" si="2309"/>
        <v>0</v>
      </c>
      <c r="RS337" s="21">
        <f t="shared" si="2309"/>
        <v>0</v>
      </c>
      <c r="RT337" s="21">
        <f t="shared" si="2309"/>
        <v>0</v>
      </c>
      <c r="RU337" s="21">
        <f t="shared" si="2309"/>
        <v>0</v>
      </c>
      <c r="RV337" s="21">
        <f t="shared" ref="RV337:SC337" si="2310">IF($F$290, 0, IF($J$298, IF(AND(COLUMN($RV$337)-COLUMN($QH$335)=$Q$291,ROW($RV$337)-ROW($QH$335)=$K$291), U$290, RV337), RV337))</f>
        <v>0</v>
      </c>
      <c r="RW337" s="21">
        <f t="shared" si="2310"/>
        <v>0</v>
      </c>
      <c r="RX337" s="21">
        <f t="shared" si="2310"/>
        <v>0</v>
      </c>
      <c r="RY337" s="21">
        <f t="shared" si="2310"/>
        <v>0</v>
      </c>
      <c r="RZ337" s="21">
        <f t="shared" si="2310"/>
        <v>0</v>
      </c>
      <c r="SA337" s="21">
        <f t="shared" si="2310"/>
        <v>0</v>
      </c>
      <c r="SB337" s="21">
        <f t="shared" si="2310"/>
        <v>0</v>
      </c>
      <c r="SC337" s="21">
        <f t="shared" si="2310"/>
        <v>0</v>
      </c>
      <c r="SD337" s="21">
        <f t="shared" ref="SD337:SK337" si="2311">IF($F$290, 0, IF($J$298, IF(AND(COLUMN($SD$337)-COLUMN($QH$335)=$Q$291,ROW($SD$337)-ROW($QH$335)=$K$291), U$290, SD337), SD337))</f>
        <v>0</v>
      </c>
      <c r="SE337" s="21">
        <f t="shared" si="2311"/>
        <v>0</v>
      </c>
      <c r="SF337" s="21">
        <f t="shared" si="2311"/>
        <v>0</v>
      </c>
      <c r="SG337" s="21">
        <f t="shared" si="2311"/>
        <v>0</v>
      </c>
      <c r="SH337" s="21">
        <f t="shared" si="2311"/>
        <v>0</v>
      </c>
      <c r="SI337" s="21">
        <f t="shared" si="2311"/>
        <v>0</v>
      </c>
      <c r="SJ337" s="21">
        <f t="shared" si="2311"/>
        <v>0</v>
      </c>
      <c r="SK337" s="21">
        <f t="shared" si="2311"/>
        <v>0</v>
      </c>
      <c r="SL337" s="21">
        <f t="shared" ref="SL337:SS337" si="2312">IF($F$290, 0, IF($J$298, IF(AND(COLUMN($SL$337)-COLUMN($QH$335)=$Q$291,ROW($SL$337)-ROW($QH$335)=$K$291), U$290, SL337), SL337))</f>
        <v>0</v>
      </c>
      <c r="SM337" s="21">
        <f t="shared" si="2312"/>
        <v>0</v>
      </c>
      <c r="SN337" s="21">
        <f t="shared" si="2312"/>
        <v>0</v>
      </c>
      <c r="SO337" s="21">
        <f t="shared" si="2312"/>
        <v>0</v>
      </c>
      <c r="SP337" s="21">
        <f t="shared" si="2312"/>
        <v>0</v>
      </c>
      <c r="SQ337" s="21">
        <f t="shared" si="2312"/>
        <v>0</v>
      </c>
      <c r="SR337" s="21">
        <f t="shared" si="2312"/>
        <v>0</v>
      </c>
      <c r="SS337" s="21">
        <f t="shared" si="2312"/>
        <v>0</v>
      </c>
    </row>
    <row r="338" spans="2:513" ht="15" customHeight="1" x14ac:dyDescent="0.25">
      <c r="B338" s="21">
        <f t="shared" ref="B338:I338" si="2313">IF($F$290, 0, IF($C$298, IF(AND(COLUMN($B$338)-COLUMN($B$335)=$Q$291,ROW($B$338)-ROW($B$335)=$K$291), U$290, B338), B338))</f>
        <v>0</v>
      </c>
      <c r="C338" s="21">
        <f t="shared" si="2313"/>
        <v>0</v>
      </c>
      <c r="D338" s="21">
        <f t="shared" si="2313"/>
        <v>0</v>
      </c>
      <c r="E338" s="21">
        <f t="shared" si="2313"/>
        <v>0</v>
      </c>
      <c r="F338" s="21">
        <f t="shared" si="2313"/>
        <v>0</v>
      </c>
      <c r="G338" s="21">
        <f t="shared" si="2313"/>
        <v>0</v>
      </c>
      <c r="H338" s="21">
        <f t="shared" si="2313"/>
        <v>0</v>
      </c>
      <c r="I338" s="21">
        <f t="shared" si="2313"/>
        <v>0</v>
      </c>
      <c r="J338" s="21">
        <f t="shared" ref="J338:Q338" si="2314">IF($F$290, 0, IF($C$298, IF(AND(COLUMN($J$338)-COLUMN($B$335)=$Q$291,ROW($J$338)-ROW($B$335)=$K$291), U$290, J338), J338))</f>
        <v>0</v>
      </c>
      <c r="K338" s="21">
        <f t="shared" si="2314"/>
        <v>0</v>
      </c>
      <c r="L338" s="21">
        <f t="shared" si="2314"/>
        <v>0</v>
      </c>
      <c r="M338" s="21">
        <f t="shared" si="2314"/>
        <v>0</v>
      </c>
      <c r="N338" s="21">
        <f t="shared" si="2314"/>
        <v>0</v>
      </c>
      <c r="O338" s="21">
        <f t="shared" si="2314"/>
        <v>0</v>
      </c>
      <c r="P338" s="21">
        <f t="shared" si="2314"/>
        <v>0</v>
      </c>
      <c r="Q338" s="21">
        <f t="shared" si="2314"/>
        <v>0</v>
      </c>
      <c r="R338" s="21">
        <f>IF($F$290, 0, IF($C$298, IF(AND(COLUMN($R$338)-COLUMN($B$335)=$Q$291,ROW($R$338)-ROW($B$335)=$K$291), U$290, R338), R338))</f>
        <v>0</v>
      </c>
      <c r="S338" s="21">
        <f t="shared" ref="S338:Y338" si="2315">IF($F$290, 0, IF($C$298, IF(AND(COLUMN($R$338)-COLUMN($B$335)=$Q$291,ROW($R$338)-ROW($B$335)=$K$291), V$290, S338), S338))</f>
        <v>0</v>
      </c>
      <c r="T338" s="21">
        <f t="shared" si="2315"/>
        <v>0</v>
      </c>
      <c r="U338" s="21">
        <f t="shared" si="2315"/>
        <v>0</v>
      </c>
      <c r="V338" s="21">
        <f t="shared" si="2315"/>
        <v>0</v>
      </c>
      <c r="W338" s="21">
        <f t="shared" si="2315"/>
        <v>0</v>
      </c>
      <c r="X338" s="21">
        <f t="shared" si="2315"/>
        <v>0</v>
      </c>
      <c r="Y338" s="21">
        <f t="shared" si="2315"/>
        <v>0</v>
      </c>
      <c r="Z338" s="21">
        <f t="shared" ref="Z338:AG338" si="2316">IF($F$290, 0, IF($C$298, IF(AND(COLUMN($Z$338)-COLUMN($B$335)=$Q$291,ROW($Z$338)-ROW($B$335)=$K$291), U$290, Z338), Z338))</f>
        <v>0</v>
      </c>
      <c r="AA338" s="21">
        <f t="shared" si="2316"/>
        <v>0</v>
      </c>
      <c r="AB338" s="21">
        <f t="shared" si="2316"/>
        <v>0</v>
      </c>
      <c r="AC338" s="21">
        <f t="shared" si="2316"/>
        <v>0</v>
      </c>
      <c r="AD338" s="21">
        <f t="shared" si="2316"/>
        <v>0</v>
      </c>
      <c r="AE338" s="21">
        <f t="shared" si="2316"/>
        <v>0</v>
      </c>
      <c r="AF338" s="21">
        <f t="shared" si="2316"/>
        <v>0</v>
      </c>
      <c r="AG338" s="21">
        <f t="shared" si="2316"/>
        <v>0</v>
      </c>
      <c r="AH338" s="21">
        <f t="shared" ref="AH338:AO338" si="2317">IF($F$290, 0, IF($C$298, IF(AND(COLUMN($AH$338)-COLUMN($B$335)=$Q$291,ROW($AH$338)-ROW($B$335)=$K$291), U$290, AH338), AH338))</f>
        <v>0</v>
      </c>
      <c r="AI338" s="21">
        <f t="shared" si="2317"/>
        <v>0</v>
      </c>
      <c r="AJ338" s="21">
        <f t="shared" si="2317"/>
        <v>0</v>
      </c>
      <c r="AK338" s="21">
        <f t="shared" si="2317"/>
        <v>0</v>
      </c>
      <c r="AL338" s="21">
        <f t="shared" si="2317"/>
        <v>0</v>
      </c>
      <c r="AM338" s="21">
        <f t="shared" si="2317"/>
        <v>0</v>
      </c>
      <c r="AN338" s="21">
        <f t="shared" si="2317"/>
        <v>0</v>
      </c>
      <c r="AO338" s="21">
        <f t="shared" si="2317"/>
        <v>0</v>
      </c>
      <c r="AP338" s="21">
        <f t="shared" ref="AP338:AW338" si="2318">IF($F$290, 0, IF($C$298, IF(AND(COLUMN($AP$338)-COLUMN($B$335)=$Q$291,ROW($AP$338)-ROW($B$335)=$K$291), U$290, AP338), AP338))</f>
        <v>0</v>
      </c>
      <c r="AQ338" s="21">
        <f t="shared" si="2318"/>
        <v>0</v>
      </c>
      <c r="AR338" s="21">
        <f t="shared" si="2318"/>
        <v>0</v>
      </c>
      <c r="AS338" s="21">
        <f t="shared" si="2318"/>
        <v>0</v>
      </c>
      <c r="AT338" s="21">
        <f t="shared" si="2318"/>
        <v>0</v>
      </c>
      <c r="AU338" s="21">
        <f t="shared" si="2318"/>
        <v>0</v>
      </c>
      <c r="AV338" s="21">
        <f t="shared" si="2318"/>
        <v>0</v>
      </c>
      <c r="AW338" s="21">
        <f t="shared" si="2318"/>
        <v>0</v>
      </c>
      <c r="AX338" s="21">
        <f t="shared" ref="AX338:BE338" si="2319">IF($F$290, 0, IF($C$298, IF(AND(COLUMN($AX$338)-COLUMN($B$335)=$Q$291,ROW($AX$338)-ROW($B$335)=$K$291), U$290, AX338), AX338))</f>
        <v>0</v>
      </c>
      <c r="AY338" s="21">
        <f t="shared" si="2319"/>
        <v>0</v>
      </c>
      <c r="AZ338" s="21">
        <f t="shared" si="2319"/>
        <v>0</v>
      </c>
      <c r="BA338" s="21">
        <f t="shared" si="2319"/>
        <v>0</v>
      </c>
      <c r="BB338" s="21">
        <f t="shared" si="2319"/>
        <v>0</v>
      </c>
      <c r="BC338" s="21">
        <f t="shared" si="2319"/>
        <v>0</v>
      </c>
      <c r="BD338" s="21">
        <f t="shared" si="2319"/>
        <v>0</v>
      </c>
      <c r="BE338" s="21">
        <f t="shared" si="2319"/>
        <v>0</v>
      </c>
      <c r="BF338" s="21">
        <f t="shared" ref="BF338:BM338" si="2320">IF($F$290, 0, IF($C$298, IF(AND(COLUMN($BF$338)-COLUMN($B$335)=$Q$291,ROW($BF$338)-ROW($B$335)=$K$291), U$290, BF338), BF338))</f>
        <v>0</v>
      </c>
      <c r="BG338" s="21">
        <f t="shared" si="2320"/>
        <v>0</v>
      </c>
      <c r="BH338" s="21">
        <f t="shared" si="2320"/>
        <v>0</v>
      </c>
      <c r="BI338" s="21">
        <f t="shared" si="2320"/>
        <v>0</v>
      </c>
      <c r="BJ338" s="21">
        <f t="shared" si="2320"/>
        <v>0</v>
      </c>
      <c r="BK338" s="21">
        <f t="shared" si="2320"/>
        <v>0</v>
      </c>
      <c r="BL338" s="21">
        <f t="shared" si="2320"/>
        <v>0</v>
      </c>
      <c r="BM338" s="21">
        <f t="shared" si="2320"/>
        <v>0</v>
      </c>
      <c r="BN338" s="21">
        <f t="shared" ref="BN338:BU338" si="2321">IF($F$290, 0, IF($D$298, IF(AND(COLUMN($BN$338)-COLUMN($BN$335)=$Q$291,ROW($BN$338)-ROW($BN$335)=$K$291), U$290, BN338), BN338))</f>
        <v>0</v>
      </c>
      <c r="BO338" s="21">
        <f t="shared" si="2321"/>
        <v>0</v>
      </c>
      <c r="BP338" s="21">
        <f t="shared" si="2321"/>
        <v>0</v>
      </c>
      <c r="BQ338" s="21">
        <f t="shared" si="2321"/>
        <v>0</v>
      </c>
      <c r="BR338" s="21">
        <f t="shared" si="2321"/>
        <v>0</v>
      </c>
      <c r="BS338" s="21">
        <f t="shared" si="2321"/>
        <v>0</v>
      </c>
      <c r="BT338" s="21">
        <f t="shared" si="2321"/>
        <v>0</v>
      </c>
      <c r="BU338" s="21">
        <f t="shared" si="2321"/>
        <v>0</v>
      </c>
      <c r="BV338" s="21">
        <f t="shared" ref="BV338:CC338" si="2322">IF($F$290, 0, IF($D$298, IF(AND(COLUMN($BV$338)-COLUMN($BN$335)=$Q$291,ROW($BV$338)-ROW($BN$335)=$K$291), U$290, BV338), BV338))</f>
        <v>0</v>
      </c>
      <c r="BW338" s="21">
        <f t="shared" si="2322"/>
        <v>0</v>
      </c>
      <c r="BX338" s="21">
        <f t="shared" si="2322"/>
        <v>0</v>
      </c>
      <c r="BY338" s="21">
        <f t="shared" si="2322"/>
        <v>0</v>
      </c>
      <c r="BZ338" s="21">
        <f t="shared" si="2322"/>
        <v>0</v>
      </c>
      <c r="CA338" s="21">
        <f t="shared" si="2322"/>
        <v>0</v>
      </c>
      <c r="CB338" s="21">
        <f t="shared" si="2322"/>
        <v>0</v>
      </c>
      <c r="CC338" s="21">
        <f t="shared" si="2322"/>
        <v>0</v>
      </c>
      <c r="CD338" s="21">
        <f t="shared" ref="CD338:CK338" si="2323">IF($F$290, 0, IF($D$298, IF(AND(COLUMN($CD$338)-COLUMN($BN$335)=$Q$291,ROW($CD$338)-ROW($BN$335)=$K$291), U$290, CD338), CD338))</f>
        <v>0</v>
      </c>
      <c r="CE338" s="21">
        <f t="shared" si="2323"/>
        <v>0</v>
      </c>
      <c r="CF338" s="21">
        <f t="shared" si="2323"/>
        <v>0</v>
      </c>
      <c r="CG338" s="21">
        <f t="shared" si="2323"/>
        <v>0</v>
      </c>
      <c r="CH338" s="21">
        <f t="shared" si="2323"/>
        <v>0</v>
      </c>
      <c r="CI338" s="21">
        <f t="shared" si="2323"/>
        <v>0</v>
      </c>
      <c r="CJ338" s="21">
        <f t="shared" si="2323"/>
        <v>0</v>
      </c>
      <c r="CK338" s="21">
        <f t="shared" si="2323"/>
        <v>0</v>
      </c>
      <c r="CL338" s="21">
        <f t="shared" ref="CL338:CS338" si="2324">IF($F$290, 0, IF($D$298, IF(AND(COLUMN($CL$338)-COLUMN($BN$335)=$Q$291,ROW($CL$338)-ROW($BN$335)=$K$291), U$290, CL338), CL338))</f>
        <v>0</v>
      </c>
      <c r="CM338" s="21">
        <f t="shared" si="2324"/>
        <v>0</v>
      </c>
      <c r="CN338" s="21">
        <f t="shared" si="2324"/>
        <v>0</v>
      </c>
      <c r="CO338" s="21">
        <f t="shared" si="2324"/>
        <v>0</v>
      </c>
      <c r="CP338" s="21">
        <f t="shared" si="2324"/>
        <v>0</v>
      </c>
      <c r="CQ338" s="21">
        <f t="shared" si="2324"/>
        <v>0</v>
      </c>
      <c r="CR338" s="21">
        <f t="shared" si="2324"/>
        <v>0</v>
      </c>
      <c r="CS338" s="21">
        <f t="shared" si="2324"/>
        <v>0</v>
      </c>
      <c r="CT338" s="21">
        <f t="shared" ref="CT338:DA338" si="2325">IF($F$290, 0, IF($D$298, IF(AND(COLUMN($CT$338)-COLUMN($BN$335)=$Q$291,ROW($CT$338)-ROW($BN$335)=$K$291), U$290, CT338), CT338))</f>
        <v>0</v>
      </c>
      <c r="CU338" s="21">
        <f t="shared" si="2325"/>
        <v>0</v>
      </c>
      <c r="CV338" s="21">
        <f t="shared" si="2325"/>
        <v>0</v>
      </c>
      <c r="CW338" s="21">
        <f t="shared" si="2325"/>
        <v>0</v>
      </c>
      <c r="CX338" s="21">
        <f t="shared" si="2325"/>
        <v>0</v>
      </c>
      <c r="CY338" s="21">
        <f t="shared" si="2325"/>
        <v>0</v>
      </c>
      <c r="CZ338" s="21">
        <f t="shared" si="2325"/>
        <v>0</v>
      </c>
      <c r="DA338" s="21">
        <f t="shared" si="2325"/>
        <v>0</v>
      </c>
      <c r="DB338" s="21">
        <f t="shared" ref="DB338:DI338" si="2326">IF($F$290, 0, IF($D$298, IF(AND(COLUMN($DB$338)-COLUMN($BN$335)=$Q$291,ROW($DB$338)-ROW($BN$335)=$K$291), U$290, DB338), DB338))</f>
        <v>0</v>
      </c>
      <c r="DC338" s="21">
        <f t="shared" si="2326"/>
        <v>0</v>
      </c>
      <c r="DD338" s="21">
        <f t="shared" si="2326"/>
        <v>0</v>
      </c>
      <c r="DE338" s="21">
        <f t="shared" si="2326"/>
        <v>0</v>
      </c>
      <c r="DF338" s="21">
        <f t="shared" si="2326"/>
        <v>0</v>
      </c>
      <c r="DG338" s="21">
        <f t="shared" si="2326"/>
        <v>0</v>
      </c>
      <c r="DH338" s="21">
        <f t="shared" si="2326"/>
        <v>0</v>
      </c>
      <c r="DI338" s="21">
        <f t="shared" si="2326"/>
        <v>0</v>
      </c>
      <c r="DJ338" s="21">
        <f t="shared" ref="DJ338:DQ338" si="2327">IF($F$290, 0, IF($D$298, IF(AND(COLUMN($DJ$338)-COLUMN($BN$335)=$Q$291,ROW($DJ$338)-ROW($BN$335)=$K$291), U$290, DJ338), DJ338))</f>
        <v>0</v>
      </c>
      <c r="DK338" s="21">
        <f t="shared" si="2327"/>
        <v>0</v>
      </c>
      <c r="DL338" s="21">
        <f t="shared" si="2327"/>
        <v>0</v>
      </c>
      <c r="DM338" s="21">
        <f t="shared" si="2327"/>
        <v>0</v>
      </c>
      <c r="DN338" s="21">
        <f t="shared" si="2327"/>
        <v>0</v>
      </c>
      <c r="DO338" s="21">
        <f t="shared" si="2327"/>
        <v>0</v>
      </c>
      <c r="DP338" s="21">
        <f t="shared" si="2327"/>
        <v>0</v>
      </c>
      <c r="DQ338" s="21">
        <f t="shared" si="2327"/>
        <v>0</v>
      </c>
      <c r="DR338" s="21">
        <f t="shared" ref="DR338:DY338" si="2328">IF($F$290, 0, IF($D$298, IF(AND(COLUMN($DR$338)-COLUMN($BN$335)=$Q$291,ROW($DR$338)-ROW($BN$335)=$K$291), U$290, DR338), DR338))</f>
        <v>0</v>
      </c>
      <c r="DS338" s="21">
        <f t="shared" si="2328"/>
        <v>0</v>
      </c>
      <c r="DT338" s="21">
        <f t="shared" si="2328"/>
        <v>0</v>
      </c>
      <c r="DU338" s="21">
        <f t="shared" si="2328"/>
        <v>0</v>
      </c>
      <c r="DV338" s="21">
        <f t="shared" si="2328"/>
        <v>0</v>
      </c>
      <c r="DW338" s="21">
        <f t="shared" si="2328"/>
        <v>0</v>
      </c>
      <c r="DX338" s="21">
        <f t="shared" si="2328"/>
        <v>0</v>
      </c>
      <c r="DY338" s="21">
        <f t="shared" si="2328"/>
        <v>0</v>
      </c>
      <c r="DZ338" s="21">
        <f t="shared" ref="DZ338:EG338" si="2329">IF($F$290, 0, IF($E$298, IF(AND(COLUMN($DZ$338)-COLUMN($DZ$335)=$Q$291,ROW($DZ$338)-ROW($DZ$335)=$K$291), U$290, DZ338), DZ338))</f>
        <v>0</v>
      </c>
      <c r="EA338" s="21">
        <f t="shared" si="2329"/>
        <v>0</v>
      </c>
      <c r="EB338" s="21">
        <f t="shared" si="2329"/>
        <v>0</v>
      </c>
      <c r="EC338" s="21">
        <f t="shared" si="2329"/>
        <v>0</v>
      </c>
      <c r="ED338" s="21">
        <f t="shared" si="2329"/>
        <v>0</v>
      </c>
      <c r="EE338" s="21">
        <f t="shared" si="2329"/>
        <v>0</v>
      </c>
      <c r="EF338" s="21">
        <f t="shared" si="2329"/>
        <v>0</v>
      </c>
      <c r="EG338" s="21">
        <f t="shared" si="2329"/>
        <v>0</v>
      </c>
      <c r="EH338" s="21">
        <f t="shared" ref="EH338:EO338" si="2330">IF($F$290, 0, IF($E$298, IF(AND(COLUMN($EH$338)-COLUMN($DZ$335)=$Q$291,ROW($EH$338)-ROW($DZ$335)=$K$291), U$290, EH338), EH338))</f>
        <v>0</v>
      </c>
      <c r="EI338" s="21">
        <f t="shared" si="2330"/>
        <v>0</v>
      </c>
      <c r="EJ338" s="21">
        <f t="shared" si="2330"/>
        <v>0</v>
      </c>
      <c r="EK338" s="21">
        <f t="shared" si="2330"/>
        <v>0</v>
      </c>
      <c r="EL338" s="21">
        <f t="shared" si="2330"/>
        <v>0</v>
      </c>
      <c r="EM338" s="21">
        <f t="shared" si="2330"/>
        <v>0</v>
      </c>
      <c r="EN338" s="21">
        <f t="shared" si="2330"/>
        <v>0</v>
      </c>
      <c r="EO338" s="21">
        <f t="shared" si="2330"/>
        <v>0</v>
      </c>
      <c r="EP338" s="21">
        <f t="shared" ref="EP338:EW338" si="2331">IF($F$290, 0, IF($E$298, IF(AND(COLUMN($EP$338)-COLUMN($DZ$335)=$Q$291,ROW($EP$338)-ROW($DZ$335)=$K$291), U$290, EP338), EP338))</f>
        <v>0</v>
      </c>
      <c r="EQ338" s="21">
        <f t="shared" si="2331"/>
        <v>0</v>
      </c>
      <c r="ER338" s="21">
        <f t="shared" si="2331"/>
        <v>0</v>
      </c>
      <c r="ES338" s="21">
        <f t="shared" si="2331"/>
        <v>0</v>
      </c>
      <c r="ET338" s="21">
        <f t="shared" si="2331"/>
        <v>0</v>
      </c>
      <c r="EU338" s="21">
        <f t="shared" si="2331"/>
        <v>0</v>
      </c>
      <c r="EV338" s="21">
        <f t="shared" si="2331"/>
        <v>0</v>
      </c>
      <c r="EW338" s="21">
        <f t="shared" si="2331"/>
        <v>0</v>
      </c>
      <c r="EX338" s="21">
        <f t="shared" ref="EX338:FE338" si="2332">IF($F$290, 0, IF($E$298, IF(AND(COLUMN($EX$338)-COLUMN($DZ$335)=$Q$291,ROW($EX$338)-ROW($DZ$335)=$K$291), U$290, EX338), EX338))</f>
        <v>0</v>
      </c>
      <c r="EY338" s="21">
        <f t="shared" si="2332"/>
        <v>0</v>
      </c>
      <c r="EZ338" s="21">
        <f t="shared" si="2332"/>
        <v>0</v>
      </c>
      <c r="FA338" s="21">
        <f t="shared" si="2332"/>
        <v>0</v>
      </c>
      <c r="FB338" s="21">
        <f t="shared" si="2332"/>
        <v>0</v>
      </c>
      <c r="FC338" s="21">
        <f t="shared" si="2332"/>
        <v>0</v>
      </c>
      <c r="FD338" s="21">
        <f t="shared" si="2332"/>
        <v>0</v>
      </c>
      <c r="FE338" s="21">
        <f t="shared" si="2332"/>
        <v>0</v>
      </c>
      <c r="FF338" s="21">
        <f t="shared" ref="FF338:FM338" si="2333">IF($F$290, 0, IF($E$298, IF(AND(COLUMN($FF$338)-COLUMN($DZ$335)=$Q$291,ROW($FF$338)-ROW($DZ$335)=$K$291), U$290, FF338), FF338))</f>
        <v>0</v>
      </c>
      <c r="FG338" s="21">
        <f t="shared" si="2333"/>
        <v>0</v>
      </c>
      <c r="FH338" s="21">
        <f t="shared" si="2333"/>
        <v>0</v>
      </c>
      <c r="FI338" s="21">
        <f t="shared" si="2333"/>
        <v>0</v>
      </c>
      <c r="FJ338" s="21">
        <f t="shared" si="2333"/>
        <v>0</v>
      </c>
      <c r="FK338" s="21">
        <f t="shared" si="2333"/>
        <v>0</v>
      </c>
      <c r="FL338" s="21">
        <f t="shared" si="2333"/>
        <v>0</v>
      </c>
      <c r="FM338" s="21">
        <f t="shared" si="2333"/>
        <v>0</v>
      </c>
      <c r="FN338" s="21">
        <f t="shared" ref="FN338:FU338" si="2334">IF($F$290, 0, IF($E$298, IF(AND(COLUMN($FN$338)-COLUMN($DZ$335)=$Q$291,ROW($FN$338)-ROW($DZ$335)=$K$291), U$290, FN338), FN338))</f>
        <v>0</v>
      </c>
      <c r="FO338" s="21">
        <f t="shared" si="2334"/>
        <v>0</v>
      </c>
      <c r="FP338" s="21">
        <f t="shared" si="2334"/>
        <v>0</v>
      </c>
      <c r="FQ338" s="21">
        <f t="shared" si="2334"/>
        <v>0</v>
      </c>
      <c r="FR338" s="21">
        <f t="shared" si="2334"/>
        <v>0</v>
      </c>
      <c r="FS338" s="21">
        <f t="shared" si="2334"/>
        <v>0</v>
      </c>
      <c r="FT338" s="21">
        <f t="shared" si="2334"/>
        <v>0</v>
      </c>
      <c r="FU338" s="21">
        <f t="shared" si="2334"/>
        <v>0</v>
      </c>
      <c r="FV338" s="21">
        <f t="shared" ref="FV338:GC338" si="2335">IF($F$290, 0, IF($E$298, IF(AND(COLUMN($FV$338)-COLUMN($DZ$335)=$Q$291,ROW($FV$338)-ROW($DZ$335)=$K$291), U$290, FV338), FV338))</f>
        <v>0</v>
      </c>
      <c r="FW338" s="21">
        <f t="shared" si="2335"/>
        <v>0</v>
      </c>
      <c r="FX338" s="21">
        <f t="shared" si="2335"/>
        <v>0</v>
      </c>
      <c r="FY338" s="21">
        <f t="shared" si="2335"/>
        <v>0</v>
      </c>
      <c r="FZ338" s="21">
        <f t="shared" si="2335"/>
        <v>0</v>
      </c>
      <c r="GA338" s="21">
        <f t="shared" si="2335"/>
        <v>0</v>
      </c>
      <c r="GB338" s="21">
        <f t="shared" si="2335"/>
        <v>0</v>
      </c>
      <c r="GC338" s="21">
        <f t="shared" si="2335"/>
        <v>0</v>
      </c>
      <c r="GD338" s="21">
        <f t="shared" ref="GD338:GK338" si="2336">IF($F$290, 0, IF($E$298, IF(AND(COLUMN($GD$338)-COLUMN($DZ$335)=$Q$291,ROW($GD$338)-ROW($DZ$335)=$K$291), U$290, GD338), GD338))</f>
        <v>0</v>
      </c>
      <c r="GE338" s="21">
        <f t="shared" si="2336"/>
        <v>0</v>
      </c>
      <c r="GF338" s="21">
        <f t="shared" si="2336"/>
        <v>0</v>
      </c>
      <c r="GG338" s="21">
        <f t="shared" si="2336"/>
        <v>0</v>
      </c>
      <c r="GH338" s="21">
        <f t="shared" si="2336"/>
        <v>0</v>
      </c>
      <c r="GI338" s="21">
        <f t="shared" si="2336"/>
        <v>0</v>
      </c>
      <c r="GJ338" s="21">
        <f t="shared" si="2336"/>
        <v>0</v>
      </c>
      <c r="GK338" s="21">
        <f t="shared" si="2336"/>
        <v>0</v>
      </c>
      <c r="GL338" s="21">
        <f t="shared" ref="GL338:GS338" si="2337">IF($F$290, 0, IF($F$298, IF(AND(COLUMN($GL$338)-COLUMN($GL$335)=$Q$291,ROW($GL$338)-ROW($GL$335)=$K$291), U$290, GL338), GL338))</f>
        <v>0</v>
      </c>
      <c r="GM338" s="21">
        <f t="shared" si="2337"/>
        <v>0</v>
      </c>
      <c r="GN338" s="21">
        <f t="shared" si="2337"/>
        <v>0</v>
      </c>
      <c r="GO338" s="21">
        <f t="shared" si="2337"/>
        <v>0</v>
      </c>
      <c r="GP338" s="21">
        <f t="shared" si="2337"/>
        <v>0</v>
      </c>
      <c r="GQ338" s="21">
        <f t="shared" si="2337"/>
        <v>0</v>
      </c>
      <c r="GR338" s="21">
        <f t="shared" si="2337"/>
        <v>0</v>
      </c>
      <c r="GS338" s="21">
        <f t="shared" si="2337"/>
        <v>0</v>
      </c>
      <c r="GT338" s="21">
        <f t="shared" ref="GT338:HA338" si="2338">IF($F$290, 0, IF($F$298, IF(AND(COLUMN($GT$338)-COLUMN($GL$335)=$Q$291,ROW($GT$338)-ROW($GL$335)=$K$291), U$290, GT338), GT338))</f>
        <v>0</v>
      </c>
      <c r="GU338" s="21">
        <f t="shared" si="2338"/>
        <v>0</v>
      </c>
      <c r="GV338" s="21">
        <f t="shared" si="2338"/>
        <v>0</v>
      </c>
      <c r="GW338" s="21">
        <f t="shared" si="2338"/>
        <v>0</v>
      </c>
      <c r="GX338" s="21">
        <f t="shared" si="2338"/>
        <v>0</v>
      </c>
      <c r="GY338" s="21">
        <f t="shared" si="2338"/>
        <v>0</v>
      </c>
      <c r="GZ338" s="21">
        <f t="shared" si="2338"/>
        <v>0</v>
      </c>
      <c r="HA338" s="21">
        <f t="shared" si="2338"/>
        <v>0</v>
      </c>
      <c r="HB338" s="21">
        <f t="shared" ref="HB338:HI338" si="2339">IF($F$290, 0, IF($F$298, IF(AND(COLUMN($HB$338)-COLUMN($GL$335)=$Q$291,ROW($HB$338)-ROW($GL$335)=$K$291), U$290, HB338), HB338))</f>
        <v>0</v>
      </c>
      <c r="HC338" s="21">
        <f t="shared" si="2339"/>
        <v>0</v>
      </c>
      <c r="HD338" s="21">
        <f t="shared" si="2339"/>
        <v>0</v>
      </c>
      <c r="HE338" s="21">
        <f t="shared" si="2339"/>
        <v>0</v>
      </c>
      <c r="HF338" s="21">
        <f t="shared" si="2339"/>
        <v>0</v>
      </c>
      <c r="HG338" s="21">
        <f t="shared" si="2339"/>
        <v>0</v>
      </c>
      <c r="HH338" s="21">
        <f t="shared" si="2339"/>
        <v>0</v>
      </c>
      <c r="HI338" s="21">
        <f t="shared" si="2339"/>
        <v>0</v>
      </c>
      <c r="HJ338" s="21">
        <f t="shared" ref="HJ338:HQ338" si="2340">IF($F$290, 0, IF($F$298, IF(AND(COLUMN($HJ$338)-COLUMN($GL$335)=$Q$291,ROW($HJ$338)-ROW($GL$335)=$K$291), U$290, HJ338), HJ338))</f>
        <v>0</v>
      </c>
      <c r="HK338" s="21">
        <f t="shared" si="2340"/>
        <v>0</v>
      </c>
      <c r="HL338" s="21">
        <f t="shared" si="2340"/>
        <v>0</v>
      </c>
      <c r="HM338" s="21">
        <f t="shared" si="2340"/>
        <v>0</v>
      </c>
      <c r="HN338" s="21">
        <f t="shared" si="2340"/>
        <v>0</v>
      </c>
      <c r="HO338" s="21">
        <f t="shared" si="2340"/>
        <v>0</v>
      </c>
      <c r="HP338" s="21">
        <f t="shared" si="2340"/>
        <v>0</v>
      </c>
      <c r="HQ338" s="21">
        <f t="shared" si="2340"/>
        <v>0</v>
      </c>
      <c r="HR338" s="21">
        <f t="shared" ref="HR338:HY338" si="2341">IF($F$290, 0, IF($F$298, IF(AND(COLUMN($HR$338)-COLUMN($GL$335)=$Q$291,ROW($HR$338)-ROW($GL$335)=$K$291), U$290, HR338), HR338))</f>
        <v>0</v>
      </c>
      <c r="HS338" s="21">
        <f t="shared" si="2341"/>
        <v>0</v>
      </c>
      <c r="HT338" s="21">
        <f t="shared" si="2341"/>
        <v>0</v>
      </c>
      <c r="HU338" s="21">
        <f t="shared" si="2341"/>
        <v>0</v>
      </c>
      <c r="HV338" s="21">
        <f t="shared" si="2341"/>
        <v>0</v>
      </c>
      <c r="HW338" s="21">
        <f t="shared" si="2341"/>
        <v>0</v>
      </c>
      <c r="HX338" s="21">
        <f t="shared" si="2341"/>
        <v>0</v>
      </c>
      <c r="HY338" s="21">
        <f t="shared" si="2341"/>
        <v>0</v>
      </c>
      <c r="HZ338" s="21">
        <f t="shared" ref="HZ338:IG338" si="2342">IF($F$290, 0, IF($F$298, IF(AND(COLUMN($HZ$338)-COLUMN($GL$335)=$Q$291,ROW($HZ$338)-ROW($GL$335)=$K$291), U$290, HZ338), HZ338))</f>
        <v>0</v>
      </c>
      <c r="IA338" s="21">
        <f t="shared" si="2342"/>
        <v>0</v>
      </c>
      <c r="IB338" s="21">
        <f t="shared" si="2342"/>
        <v>0</v>
      </c>
      <c r="IC338" s="21">
        <f t="shared" si="2342"/>
        <v>0</v>
      </c>
      <c r="ID338" s="21">
        <f t="shared" si="2342"/>
        <v>0</v>
      </c>
      <c r="IE338" s="21">
        <f t="shared" si="2342"/>
        <v>0</v>
      </c>
      <c r="IF338" s="21">
        <f t="shared" si="2342"/>
        <v>0</v>
      </c>
      <c r="IG338" s="21">
        <f t="shared" si="2342"/>
        <v>0</v>
      </c>
      <c r="IH338" s="21">
        <f t="shared" ref="IH338:IO338" si="2343">IF($F$290, 0, IF($F$298, IF(AND(COLUMN($IH$338)-COLUMN($GL$335)=$Q$291,ROW($IH$338)-ROW($GL$335)=$K$291), U$290, IH338), IH338))</f>
        <v>0</v>
      </c>
      <c r="II338" s="21">
        <f t="shared" si="2343"/>
        <v>0</v>
      </c>
      <c r="IJ338" s="21">
        <f t="shared" si="2343"/>
        <v>0</v>
      </c>
      <c r="IK338" s="21">
        <f t="shared" si="2343"/>
        <v>0</v>
      </c>
      <c r="IL338" s="21">
        <f t="shared" si="2343"/>
        <v>0</v>
      </c>
      <c r="IM338" s="21">
        <f t="shared" si="2343"/>
        <v>0</v>
      </c>
      <c r="IN338" s="21">
        <f t="shared" si="2343"/>
        <v>0</v>
      </c>
      <c r="IO338" s="21">
        <f t="shared" si="2343"/>
        <v>0</v>
      </c>
      <c r="IP338" s="21">
        <f t="shared" ref="IP338:IW338" si="2344">IF($F$290, 0, IF($F$298, IF(AND(COLUMN($IP$338)-COLUMN($GL$335)=$Q$291,ROW($IP$338)-ROW($GL$335)=$K$291), U$290, IP338), IP338))</f>
        <v>0</v>
      </c>
      <c r="IQ338" s="21">
        <f t="shared" si="2344"/>
        <v>0</v>
      </c>
      <c r="IR338" s="21">
        <f t="shared" si="2344"/>
        <v>0</v>
      </c>
      <c r="IS338" s="21">
        <f t="shared" si="2344"/>
        <v>0</v>
      </c>
      <c r="IT338" s="21">
        <f t="shared" si="2344"/>
        <v>0</v>
      </c>
      <c r="IU338" s="21">
        <f t="shared" si="2344"/>
        <v>0</v>
      </c>
      <c r="IV338" s="21">
        <f t="shared" si="2344"/>
        <v>0</v>
      </c>
      <c r="IW338" s="21">
        <f t="shared" si="2344"/>
        <v>0</v>
      </c>
      <c r="IX338" s="21">
        <f t="shared" ref="IX338:JE338" si="2345">IF($F$290, 0, IF($G$298, IF(AND(COLUMN($IX$338)-COLUMN($IX$335)=$Q$291,ROW($IX$338)-ROW($IX$335)=$K$291), U$290, IX338), IX338))</f>
        <v>0</v>
      </c>
      <c r="IY338" s="21">
        <f t="shared" si="2345"/>
        <v>0</v>
      </c>
      <c r="IZ338" s="21">
        <f t="shared" si="2345"/>
        <v>0</v>
      </c>
      <c r="JA338" s="21">
        <f t="shared" si="2345"/>
        <v>0</v>
      </c>
      <c r="JB338" s="21">
        <f t="shared" si="2345"/>
        <v>0</v>
      </c>
      <c r="JC338" s="21">
        <f t="shared" si="2345"/>
        <v>0</v>
      </c>
      <c r="JD338" s="21">
        <f t="shared" si="2345"/>
        <v>0</v>
      </c>
      <c r="JE338" s="21">
        <f t="shared" si="2345"/>
        <v>0</v>
      </c>
      <c r="JF338" s="21">
        <f t="shared" ref="JF338:JM338" si="2346">IF($F$290, 0, IF($G$298, IF(AND(COLUMN($JF$338)-COLUMN($IX$335)=$Q$291,ROW($JF$338)-ROW($IX$335)=$K$291), U$290, JF338), JF338))</f>
        <v>0</v>
      </c>
      <c r="JG338" s="21">
        <f t="shared" si="2346"/>
        <v>0</v>
      </c>
      <c r="JH338" s="21">
        <f t="shared" si="2346"/>
        <v>0</v>
      </c>
      <c r="JI338" s="21">
        <f t="shared" si="2346"/>
        <v>0</v>
      </c>
      <c r="JJ338" s="21">
        <f t="shared" si="2346"/>
        <v>0</v>
      </c>
      <c r="JK338" s="21">
        <f t="shared" si="2346"/>
        <v>0</v>
      </c>
      <c r="JL338" s="21">
        <f t="shared" si="2346"/>
        <v>0</v>
      </c>
      <c r="JM338" s="21">
        <f t="shared" si="2346"/>
        <v>0</v>
      </c>
      <c r="JN338" s="21">
        <f t="shared" ref="JN338:JU338" si="2347">IF($F$290, 0, IF($G$298, IF(AND(COLUMN($JN$338)-COLUMN($IX$335)=$Q$291,ROW($JN$338)-ROW($IX$335)=$K$291), U$290, JN338), JN338))</f>
        <v>0</v>
      </c>
      <c r="JO338" s="21">
        <f t="shared" si="2347"/>
        <v>0</v>
      </c>
      <c r="JP338" s="21">
        <f t="shared" si="2347"/>
        <v>0</v>
      </c>
      <c r="JQ338" s="21">
        <f t="shared" si="2347"/>
        <v>0</v>
      </c>
      <c r="JR338" s="21">
        <f t="shared" si="2347"/>
        <v>0</v>
      </c>
      <c r="JS338" s="21">
        <f t="shared" si="2347"/>
        <v>0</v>
      </c>
      <c r="JT338" s="21">
        <f t="shared" si="2347"/>
        <v>0</v>
      </c>
      <c r="JU338" s="21">
        <f t="shared" si="2347"/>
        <v>0</v>
      </c>
      <c r="JV338" s="21">
        <f t="shared" ref="JV338:KC338" si="2348">IF($F$290, 0, IF($G$298, IF(AND(COLUMN($JV$338)-COLUMN($IX$335)=$Q$291,ROW($JV$338)-ROW($IX$335)=$K$291), U$290, JV338), JV338))</f>
        <v>0</v>
      </c>
      <c r="JW338" s="21">
        <f t="shared" si="2348"/>
        <v>0</v>
      </c>
      <c r="JX338" s="21">
        <f t="shared" si="2348"/>
        <v>0</v>
      </c>
      <c r="JY338" s="21">
        <f t="shared" si="2348"/>
        <v>0</v>
      </c>
      <c r="JZ338" s="21">
        <f t="shared" si="2348"/>
        <v>0</v>
      </c>
      <c r="KA338" s="21">
        <f t="shared" si="2348"/>
        <v>0</v>
      </c>
      <c r="KB338" s="21">
        <f t="shared" si="2348"/>
        <v>0</v>
      </c>
      <c r="KC338" s="21">
        <f t="shared" si="2348"/>
        <v>0</v>
      </c>
      <c r="KD338" s="21">
        <f t="shared" ref="KD338:KK338" si="2349">IF($F$290, 0, IF($G$298, IF(AND(COLUMN($KD$338)-COLUMN($IX$335)=$Q$291,ROW($KD$338)-ROW($IX$335)=$K$291), U$290, KD338), KD338))</f>
        <v>0</v>
      </c>
      <c r="KE338" s="21">
        <f t="shared" si="2349"/>
        <v>0</v>
      </c>
      <c r="KF338" s="21">
        <f t="shared" si="2349"/>
        <v>0</v>
      </c>
      <c r="KG338" s="21">
        <f t="shared" si="2349"/>
        <v>0</v>
      </c>
      <c r="KH338" s="21">
        <f t="shared" si="2349"/>
        <v>0</v>
      </c>
      <c r="KI338" s="21">
        <f t="shared" si="2349"/>
        <v>0</v>
      </c>
      <c r="KJ338" s="21">
        <f t="shared" si="2349"/>
        <v>0</v>
      </c>
      <c r="KK338" s="21">
        <f t="shared" si="2349"/>
        <v>0</v>
      </c>
      <c r="KL338" s="21">
        <f t="shared" ref="KL338:KS338" si="2350">IF($F$290, 0, IF($G$298, IF(AND(COLUMN($KL$338)-COLUMN($IX$335)=$Q$291,ROW($KL$338)-ROW($IX$335)=$K$291), U$290, KL338), KL338))</f>
        <v>0</v>
      </c>
      <c r="KM338" s="21">
        <f t="shared" si="2350"/>
        <v>0</v>
      </c>
      <c r="KN338" s="21">
        <f t="shared" si="2350"/>
        <v>0</v>
      </c>
      <c r="KO338" s="21">
        <f t="shared" si="2350"/>
        <v>0</v>
      </c>
      <c r="KP338" s="21">
        <f t="shared" si="2350"/>
        <v>0</v>
      </c>
      <c r="KQ338" s="21">
        <f t="shared" si="2350"/>
        <v>0</v>
      </c>
      <c r="KR338" s="21">
        <f t="shared" si="2350"/>
        <v>0</v>
      </c>
      <c r="KS338" s="21">
        <f t="shared" si="2350"/>
        <v>0</v>
      </c>
      <c r="KT338" s="21">
        <f t="shared" ref="KT338:LA338" si="2351">IF($F$290, 0, IF($G$298, IF(AND(COLUMN($KT$338)-COLUMN($IX$335)=$Q$291,ROW($KT$338)-ROW($IX$335)=$K$291), U$290, KT338), KT338))</f>
        <v>0</v>
      </c>
      <c r="KU338" s="21">
        <f t="shared" si="2351"/>
        <v>0</v>
      </c>
      <c r="KV338" s="21">
        <f t="shared" si="2351"/>
        <v>0</v>
      </c>
      <c r="KW338" s="21">
        <f t="shared" si="2351"/>
        <v>0</v>
      </c>
      <c r="KX338" s="21">
        <f t="shared" si="2351"/>
        <v>0</v>
      </c>
      <c r="KY338" s="21">
        <f t="shared" si="2351"/>
        <v>0</v>
      </c>
      <c r="KZ338" s="21">
        <f t="shared" si="2351"/>
        <v>0</v>
      </c>
      <c r="LA338" s="21">
        <f t="shared" si="2351"/>
        <v>0</v>
      </c>
      <c r="LB338" s="21">
        <f t="shared" ref="LB338:LI338" si="2352">IF($F$290, 0, IF($G$298, IF(AND(COLUMN($LB$338)-COLUMN($IX$335)=$Q$291,ROW($LB$338)-ROW($IX$335)=$K$291), U$290, LB338), LB338))</f>
        <v>0</v>
      </c>
      <c r="LC338" s="21">
        <f t="shared" si="2352"/>
        <v>0</v>
      </c>
      <c r="LD338" s="21">
        <f t="shared" si="2352"/>
        <v>0</v>
      </c>
      <c r="LE338" s="21">
        <f t="shared" si="2352"/>
        <v>0</v>
      </c>
      <c r="LF338" s="21">
        <f t="shared" si="2352"/>
        <v>0</v>
      </c>
      <c r="LG338" s="21">
        <f t="shared" si="2352"/>
        <v>0</v>
      </c>
      <c r="LH338" s="21">
        <f t="shared" si="2352"/>
        <v>0</v>
      </c>
      <c r="LI338" s="21">
        <f t="shared" si="2352"/>
        <v>0</v>
      </c>
      <c r="LJ338" s="21">
        <f t="shared" ref="LJ338:LQ338" si="2353">IF($F$290, 0, IF($H$298, IF(AND(COLUMN($LJ$338)-COLUMN($LJ$335)=$Q$291,ROW($LJ$338)-ROW($LJ$335)=$K$291), U$290, LJ338), LJ338))</f>
        <v>0</v>
      </c>
      <c r="LK338" s="21">
        <f t="shared" si="2353"/>
        <v>0</v>
      </c>
      <c r="LL338" s="21">
        <f t="shared" si="2353"/>
        <v>0</v>
      </c>
      <c r="LM338" s="21">
        <f t="shared" si="2353"/>
        <v>0</v>
      </c>
      <c r="LN338" s="21">
        <f t="shared" si="2353"/>
        <v>0</v>
      </c>
      <c r="LO338" s="21">
        <f t="shared" si="2353"/>
        <v>0</v>
      </c>
      <c r="LP338" s="21">
        <f t="shared" si="2353"/>
        <v>0</v>
      </c>
      <c r="LQ338" s="21">
        <f t="shared" si="2353"/>
        <v>0</v>
      </c>
      <c r="LR338" s="21">
        <f t="shared" ref="LR338:LY338" si="2354">IF($F$290, 0, IF($H$298, IF(AND(COLUMN($LR$338)-COLUMN($LJ$335)=$Q$291,ROW($LR$338)-ROW($LJ$335)=$K$291), U$290, LR338), LR338))</f>
        <v>0</v>
      </c>
      <c r="LS338" s="21">
        <f t="shared" si="2354"/>
        <v>0</v>
      </c>
      <c r="LT338" s="21">
        <f t="shared" si="2354"/>
        <v>0</v>
      </c>
      <c r="LU338" s="21">
        <f t="shared" si="2354"/>
        <v>0</v>
      </c>
      <c r="LV338" s="21">
        <f t="shared" si="2354"/>
        <v>0</v>
      </c>
      <c r="LW338" s="21">
        <f t="shared" si="2354"/>
        <v>0</v>
      </c>
      <c r="LX338" s="21">
        <f t="shared" si="2354"/>
        <v>0</v>
      </c>
      <c r="LY338" s="21">
        <f t="shared" si="2354"/>
        <v>0</v>
      </c>
      <c r="LZ338" s="21">
        <f t="shared" ref="LZ338:MG338" si="2355">IF($F$290, 0, IF($H$298, IF(AND(COLUMN($LZ$338)-COLUMN($LJ$335)=$Q$291,ROW($LZ$338)-ROW($LJ$335)=$K$291), U$290, LZ338), LZ338))</f>
        <v>0</v>
      </c>
      <c r="MA338" s="21">
        <f t="shared" si="2355"/>
        <v>0</v>
      </c>
      <c r="MB338" s="21">
        <f t="shared" si="2355"/>
        <v>0</v>
      </c>
      <c r="MC338" s="21">
        <f t="shared" si="2355"/>
        <v>0</v>
      </c>
      <c r="MD338" s="21">
        <f t="shared" si="2355"/>
        <v>0</v>
      </c>
      <c r="ME338" s="21">
        <f t="shared" si="2355"/>
        <v>0</v>
      </c>
      <c r="MF338" s="21">
        <f t="shared" si="2355"/>
        <v>0</v>
      </c>
      <c r="MG338" s="21">
        <f t="shared" si="2355"/>
        <v>0</v>
      </c>
      <c r="MH338" s="21">
        <f t="shared" ref="MH338:MO338" si="2356">IF($F$290, 0, IF($H$298, IF(AND(COLUMN($MH$338)-COLUMN($LJ$335)=$Q$291,ROW($MH$338)-ROW($LJ$335)=$K$291), U$290, MH338), MH338))</f>
        <v>0</v>
      </c>
      <c r="MI338" s="21">
        <f t="shared" si="2356"/>
        <v>0</v>
      </c>
      <c r="MJ338" s="21">
        <f t="shared" si="2356"/>
        <v>0</v>
      </c>
      <c r="MK338" s="21">
        <f t="shared" si="2356"/>
        <v>0</v>
      </c>
      <c r="ML338" s="21">
        <f t="shared" si="2356"/>
        <v>0</v>
      </c>
      <c r="MM338" s="21">
        <f t="shared" si="2356"/>
        <v>0</v>
      </c>
      <c r="MN338" s="21">
        <f t="shared" si="2356"/>
        <v>0</v>
      </c>
      <c r="MO338" s="21">
        <f t="shared" si="2356"/>
        <v>0</v>
      </c>
      <c r="MP338" s="21">
        <f t="shared" ref="MP338:MW338" si="2357">IF($F$290, 0, IF($H$298, IF(AND(COLUMN($MP$338)-COLUMN($LJ$335)=$Q$291,ROW($MP$338)-ROW($LJ$335)=$K$291), U$290, MP338), MP338))</f>
        <v>0</v>
      </c>
      <c r="MQ338" s="21">
        <f t="shared" si="2357"/>
        <v>0</v>
      </c>
      <c r="MR338" s="21">
        <f t="shared" si="2357"/>
        <v>0</v>
      </c>
      <c r="MS338" s="21">
        <f t="shared" si="2357"/>
        <v>0</v>
      </c>
      <c r="MT338" s="21">
        <f t="shared" si="2357"/>
        <v>0</v>
      </c>
      <c r="MU338" s="21">
        <f t="shared" si="2357"/>
        <v>0</v>
      </c>
      <c r="MV338" s="21">
        <f t="shared" si="2357"/>
        <v>0</v>
      </c>
      <c r="MW338" s="21">
        <f t="shared" si="2357"/>
        <v>0</v>
      </c>
      <c r="MX338" s="21">
        <f t="shared" ref="MX338:NE338" si="2358">IF($F$290, 0, IF($H$298, IF(AND(COLUMN($MX$338)-COLUMN($LJ$335)=$Q$291,ROW($MX$338)-ROW($LJ$335)=$K$291), U$290, MX338), MX338))</f>
        <v>0</v>
      </c>
      <c r="MY338" s="21">
        <f t="shared" si="2358"/>
        <v>0</v>
      </c>
      <c r="MZ338" s="21">
        <f t="shared" si="2358"/>
        <v>0</v>
      </c>
      <c r="NA338" s="21">
        <f t="shared" si="2358"/>
        <v>0</v>
      </c>
      <c r="NB338" s="21">
        <f t="shared" si="2358"/>
        <v>0</v>
      </c>
      <c r="NC338" s="21">
        <f t="shared" si="2358"/>
        <v>0</v>
      </c>
      <c r="ND338" s="21">
        <f t="shared" si="2358"/>
        <v>0</v>
      </c>
      <c r="NE338" s="21">
        <f t="shared" si="2358"/>
        <v>0</v>
      </c>
      <c r="NF338" s="21">
        <f t="shared" ref="NF338:NM338" si="2359">IF($F$290, 0, IF($H$298, IF(AND(COLUMN($NF$338)-COLUMN($LJ$335)=$Q$291,ROW($NF$338)-ROW($LJ$335)=$K$291), U$290, NF338), NF338))</f>
        <v>0</v>
      </c>
      <c r="NG338" s="21">
        <f t="shared" si="2359"/>
        <v>0</v>
      </c>
      <c r="NH338" s="21">
        <f t="shared" si="2359"/>
        <v>0</v>
      </c>
      <c r="NI338" s="21">
        <f t="shared" si="2359"/>
        <v>0</v>
      </c>
      <c r="NJ338" s="21">
        <f t="shared" si="2359"/>
        <v>0</v>
      </c>
      <c r="NK338" s="21">
        <f t="shared" si="2359"/>
        <v>0</v>
      </c>
      <c r="NL338" s="21">
        <f t="shared" si="2359"/>
        <v>0</v>
      </c>
      <c r="NM338" s="21">
        <f t="shared" si="2359"/>
        <v>0</v>
      </c>
      <c r="NN338" s="21">
        <f t="shared" ref="NN338:NU338" si="2360">IF($F$290, 0, IF($H$298, IF(AND(COLUMN($NN$338)-COLUMN($LJ$335)=$Q$291,ROW($NN$338)-ROW($LJ$335)=$K$291), U$290, NN338), NN338))</f>
        <v>0</v>
      </c>
      <c r="NO338" s="21">
        <f t="shared" si="2360"/>
        <v>0</v>
      </c>
      <c r="NP338" s="21">
        <f t="shared" si="2360"/>
        <v>0</v>
      </c>
      <c r="NQ338" s="21">
        <f t="shared" si="2360"/>
        <v>0</v>
      </c>
      <c r="NR338" s="21">
        <f t="shared" si="2360"/>
        <v>0</v>
      </c>
      <c r="NS338" s="21">
        <f t="shared" si="2360"/>
        <v>0</v>
      </c>
      <c r="NT338" s="21">
        <f t="shared" si="2360"/>
        <v>0</v>
      </c>
      <c r="NU338" s="21">
        <f t="shared" si="2360"/>
        <v>0</v>
      </c>
      <c r="NV338" s="21">
        <f t="shared" ref="NV338:OC338" si="2361">IF($F$290, 0, IF($I$298, IF(AND(COLUMN($NV$338)-COLUMN($NV$335)=$Q$291,ROW($NV$338)-ROW($NV$335)=$K$291), U$290, NV338), NV338))</f>
        <v>0</v>
      </c>
      <c r="NW338" s="21">
        <f t="shared" si="2361"/>
        <v>0</v>
      </c>
      <c r="NX338" s="21">
        <f t="shared" si="2361"/>
        <v>0</v>
      </c>
      <c r="NY338" s="21">
        <f t="shared" si="2361"/>
        <v>0</v>
      </c>
      <c r="NZ338" s="21">
        <f t="shared" si="2361"/>
        <v>0</v>
      </c>
      <c r="OA338" s="21">
        <f t="shared" si="2361"/>
        <v>0</v>
      </c>
      <c r="OB338" s="21">
        <f t="shared" si="2361"/>
        <v>0</v>
      </c>
      <c r="OC338" s="21">
        <f t="shared" si="2361"/>
        <v>0</v>
      </c>
      <c r="OD338" s="21">
        <f t="shared" ref="OD338:OK338" si="2362">IF($F$290, 0, IF($I$298, IF(AND(COLUMN($OD$338)-COLUMN($NV$335)=$Q$291,ROW($OD$338)-ROW($NV$335)=$K$291), U$290, OD338), OD338))</f>
        <v>0</v>
      </c>
      <c r="OE338" s="21">
        <f t="shared" si="2362"/>
        <v>0</v>
      </c>
      <c r="OF338" s="21">
        <f t="shared" si="2362"/>
        <v>0</v>
      </c>
      <c r="OG338" s="21">
        <f t="shared" si="2362"/>
        <v>0</v>
      </c>
      <c r="OH338" s="21">
        <f t="shared" si="2362"/>
        <v>0</v>
      </c>
      <c r="OI338" s="21">
        <f t="shared" si="2362"/>
        <v>0</v>
      </c>
      <c r="OJ338" s="21">
        <f t="shared" si="2362"/>
        <v>0</v>
      </c>
      <c r="OK338" s="21">
        <f t="shared" si="2362"/>
        <v>0</v>
      </c>
      <c r="OL338" s="21">
        <f t="shared" ref="OL338:OS338" si="2363">IF($F$290, 0, IF($I$298, IF(AND(COLUMN($OL$338)-COLUMN($NV$335)=$Q$291,ROW($OL$338)-ROW($NV$335)=$K$291), U$290, OL338), OL338))</f>
        <v>0</v>
      </c>
      <c r="OM338" s="21">
        <f t="shared" si="2363"/>
        <v>0</v>
      </c>
      <c r="ON338" s="21">
        <f t="shared" si="2363"/>
        <v>0</v>
      </c>
      <c r="OO338" s="21">
        <f t="shared" si="2363"/>
        <v>0</v>
      </c>
      <c r="OP338" s="21">
        <f t="shared" si="2363"/>
        <v>0</v>
      </c>
      <c r="OQ338" s="21">
        <f t="shared" si="2363"/>
        <v>0</v>
      </c>
      <c r="OR338" s="21">
        <f t="shared" si="2363"/>
        <v>0</v>
      </c>
      <c r="OS338" s="21">
        <f t="shared" si="2363"/>
        <v>0</v>
      </c>
      <c r="OT338" s="21">
        <f t="shared" ref="OT338:PA338" si="2364">IF($F$290, 0, IF($I$298, IF(AND(COLUMN($OT$338)-COLUMN($NV$335)=$Q$291,ROW($OT$338)-ROW($NV$335)=$K$291), U$290, OT338), OT338))</f>
        <v>0</v>
      </c>
      <c r="OU338" s="21">
        <f t="shared" si="2364"/>
        <v>0</v>
      </c>
      <c r="OV338" s="21">
        <f t="shared" si="2364"/>
        <v>0</v>
      </c>
      <c r="OW338" s="21">
        <f t="shared" si="2364"/>
        <v>0</v>
      </c>
      <c r="OX338" s="21">
        <f t="shared" si="2364"/>
        <v>0</v>
      </c>
      <c r="OY338" s="21">
        <f t="shared" si="2364"/>
        <v>0</v>
      </c>
      <c r="OZ338" s="21">
        <f t="shared" si="2364"/>
        <v>0</v>
      </c>
      <c r="PA338" s="21">
        <f t="shared" si="2364"/>
        <v>0</v>
      </c>
      <c r="PB338" s="21">
        <f t="shared" ref="PB338:PI338" si="2365">IF($F$290, 0, IF($I$298, IF(AND(COLUMN($PB$338)-COLUMN($NV$335)=$Q$291,ROW($PB$338)-ROW($NV$335)=$K$291), U$290, PB338), PB338))</f>
        <v>0</v>
      </c>
      <c r="PC338" s="21">
        <f t="shared" si="2365"/>
        <v>0</v>
      </c>
      <c r="PD338" s="21">
        <f t="shared" si="2365"/>
        <v>0</v>
      </c>
      <c r="PE338" s="21">
        <f t="shared" si="2365"/>
        <v>0</v>
      </c>
      <c r="PF338" s="21">
        <f t="shared" si="2365"/>
        <v>0</v>
      </c>
      <c r="PG338" s="21">
        <f t="shared" si="2365"/>
        <v>0</v>
      </c>
      <c r="PH338" s="21">
        <f t="shared" si="2365"/>
        <v>0</v>
      </c>
      <c r="PI338" s="21">
        <f t="shared" si="2365"/>
        <v>0</v>
      </c>
      <c r="PJ338" s="21">
        <f t="shared" ref="PJ338:PQ338" si="2366">IF($F$290, 0, IF($I$298, IF(AND(COLUMN($PJ$338)-COLUMN($NV$335)=$Q$291,ROW($PJ$338)-ROW($NV$335)=$K$291), U$290, PJ338), PJ338))</f>
        <v>0</v>
      </c>
      <c r="PK338" s="21">
        <f t="shared" si="2366"/>
        <v>0</v>
      </c>
      <c r="PL338" s="21">
        <f t="shared" si="2366"/>
        <v>0</v>
      </c>
      <c r="PM338" s="21">
        <f t="shared" si="2366"/>
        <v>0</v>
      </c>
      <c r="PN338" s="21">
        <f t="shared" si="2366"/>
        <v>0</v>
      </c>
      <c r="PO338" s="21">
        <f t="shared" si="2366"/>
        <v>0</v>
      </c>
      <c r="PP338" s="21">
        <f t="shared" si="2366"/>
        <v>0</v>
      </c>
      <c r="PQ338" s="21">
        <f t="shared" si="2366"/>
        <v>0</v>
      </c>
      <c r="PR338" s="21">
        <f t="shared" ref="PR338:PY338" si="2367">IF($F$290, 0, IF($I$298, IF(AND(COLUMN($PR$338)-COLUMN($NV$335)=$Q$291,ROW($PR$338)-ROW($NV$335)=$K$291), U$290, PR338), PR338))</f>
        <v>0</v>
      </c>
      <c r="PS338" s="21">
        <f t="shared" si="2367"/>
        <v>0</v>
      </c>
      <c r="PT338" s="21">
        <f t="shared" si="2367"/>
        <v>0</v>
      </c>
      <c r="PU338" s="21">
        <f t="shared" si="2367"/>
        <v>0</v>
      </c>
      <c r="PV338" s="21">
        <f t="shared" si="2367"/>
        <v>0</v>
      </c>
      <c r="PW338" s="21">
        <f t="shared" si="2367"/>
        <v>0</v>
      </c>
      <c r="PX338" s="21">
        <f t="shared" si="2367"/>
        <v>0</v>
      </c>
      <c r="PY338" s="21">
        <f t="shared" si="2367"/>
        <v>0</v>
      </c>
      <c r="PZ338" s="21">
        <f t="shared" ref="PZ338:QG338" si="2368">IF($F$290, 0, IF($I$298, IF(AND(COLUMN($PZ$338)-COLUMN($NV$335)=$Q$291,ROW($PZ$338)-ROW($NV$335)=$K$291), U$290, PZ338), PZ338))</f>
        <v>0</v>
      </c>
      <c r="QA338" s="21">
        <f t="shared" si="2368"/>
        <v>0</v>
      </c>
      <c r="QB338" s="21">
        <f t="shared" si="2368"/>
        <v>0</v>
      </c>
      <c r="QC338" s="21">
        <f t="shared" si="2368"/>
        <v>0</v>
      </c>
      <c r="QD338" s="21">
        <f t="shared" si="2368"/>
        <v>0</v>
      </c>
      <c r="QE338" s="21">
        <f t="shared" si="2368"/>
        <v>0</v>
      </c>
      <c r="QF338" s="21">
        <f t="shared" si="2368"/>
        <v>0</v>
      </c>
      <c r="QG338" s="21">
        <f t="shared" si="2368"/>
        <v>0</v>
      </c>
      <c r="QH338" s="21">
        <f t="shared" ref="QH338:QO338" si="2369">IF($F$290, 0, IF($J$298, IF(AND(COLUMN($QH$338)-COLUMN($QH$335)=$Q$291,ROW($QH$338)-ROW($QH$335)=$K$291), U$290, QH338), QH338))</f>
        <v>0</v>
      </c>
      <c r="QI338" s="21">
        <f t="shared" si="2369"/>
        <v>0</v>
      </c>
      <c r="QJ338" s="21">
        <f t="shared" si="2369"/>
        <v>0</v>
      </c>
      <c r="QK338" s="21">
        <f t="shared" si="2369"/>
        <v>0</v>
      </c>
      <c r="QL338" s="21">
        <f t="shared" si="2369"/>
        <v>0</v>
      </c>
      <c r="QM338" s="21">
        <f t="shared" si="2369"/>
        <v>0</v>
      </c>
      <c r="QN338" s="21">
        <f t="shared" si="2369"/>
        <v>0</v>
      </c>
      <c r="QO338" s="21">
        <f t="shared" si="2369"/>
        <v>0</v>
      </c>
      <c r="QP338" s="21">
        <f t="shared" ref="QP338:QW338" si="2370">IF($F$290, 0, IF($J$298, IF(AND(COLUMN($QP$338)-COLUMN($QH$335)=$Q$291,ROW($QP$338)-ROW($QH$335)=$K$291), U$290, QP338), QP338))</f>
        <v>0</v>
      </c>
      <c r="QQ338" s="21">
        <f t="shared" si="2370"/>
        <v>0</v>
      </c>
      <c r="QR338" s="21">
        <f t="shared" si="2370"/>
        <v>0</v>
      </c>
      <c r="QS338" s="21">
        <f t="shared" si="2370"/>
        <v>0</v>
      </c>
      <c r="QT338" s="21">
        <f t="shared" si="2370"/>
        <v>0</v>
      </c>
      <c r="QU338" s="21">
        <f t="shared" si="2370"/>
        <v>0</v>
      </c>
      <c r="QV338" s="21">
        <f t="shared" si="2370"/>
        <v>0</v>
      </c>
      <c r="QW338" s="21">
        <f t="shared" si="2370"/>
        <v>0</v>
      </c>
      <c r="QX338" s="21">
        <f t="shared" ref="QX338:RE338" si="2371">IF($F$290, 0, IF($J$298, IF(AND(COLUMN($QX$338)-COLUMN($QH$335)=$Q$291,ROW($QX$338)-ROW($QH$335)=$K$291), U$290, QX338), QX338))</f>
        <v>0</v>
      </c>
      <c r="QY338" s="21">
        <f t="shared" si="2371"/>
        <v>0</v>
      </c>
      <c r="QZ338" s="21">
        <f t="shared" si="2371"/>
        <v>0</v>
      </c>
      <c r="RA338" s="21">
        <f t="shared" si="2371"/>
        <v>0</v>
      </c>
      <c r="RB338" s="21">
        <f t="shared" si="2371"/>
        <v>0</v>
      </c>
      <c r="RC338" s="21">
        <f t="shared" si="2371"/>
        <v>0</v>
      </c>
      <c r="RD338" s="21">
        <f t="shared" si="2371"/>
        <v>0</v>
      </c>
      <c r="RE338" s="21">
        <f t="shared" si="2371"/>
        <v>0</v>
      </c>
      <c r="RF338" s="21">
        <f t="shared" ref="RF338:RM338" si="2372">IF($F$290, 0, IF($J$298, IF(AND(COLUMN($RF$338)-COLUMN($QH$335)=$Q$291,ROW($RF$338)-ROW($QH$335)=$K$291), U$290, RF338), RF338))</f>
        <v>0</v>
      </c>
      <c r="RG338" s="21">
        <f t="shared" si="2372"/>
        <v>0</v>
      </c>
      <c r="RH338" s="21">
        <f t="shared" si="2372"/>
        <v>0</v>
      </c>
      <c r="RI338" s="21">
        <f t="shared" si="2372"/>
        <v>0</v>
      </c>
      <c r="RJ338" s="21">
        <f t="shared" si="2372"/>
        <v>0</v>
      </c>
      <c r="RK338" s="21">
        <f t="shared" si="2372"/>
        <v>0</v>
      </c>
      <c r="RL338" s="21">
        <f t="shared" si="2372"/>
        <v>0</v>
      </c>
      <c r="RM338" s="21">
        <f t="shared" si="2372"/>
        <v>0</v>
      </c>
      <c r="RN338" s="21">
        <f t="shared" ref="RN338:RU338" si="2373">IF($F$290, 0, IF($J$298, IF(AND(COLUMN($RN$338)-COLUMN($QH$335)=$Q$291,ROW($RN$338)-ROW($QH$335)=$K$291), U$290, RN338), RN338))</f>
        <v>0</v>
      </c>
      <c r="RO338" s="21">
        <f t="shared" si="2373"/>
        <v>0</v>
      </c>
      <c r="RP338" s="21">
        <f t="shared" si="2373"/>
        <v>0</v>
      </c>
      <c r="RQ338" s="21">
        <f t="shared" si="2373"/>
        <v>0</v>
      </c>
      <c r="RR338" s="21">
        <f t="shared" si="2373"/>
        <v>0</v>
      </c>
      <c r="RS338" s="21">
        <f t="shared" si="2373"/>
        <v>0</v>
      </c>
      <c r="RT338" s="21">
        <f t="shared" si="2373"/>
        <v>0</v>
      </c>
      <c r="RU338" s="21">
        <f t="shared" si="2373"/>
        <v>0</v>
      </c>
      <c r="RV338" s="21">
        <f t="shared" ref="RV338:SC338" si="2374">IF($F$290, 0, IF($J$298, IF(AND(COLUMN($RV$338)-COLUMN($QH$335)=$Q$291,ROW($RV$338)-ROW($QH$335)=$K$291), U$290, RV338), RV338))</f>
        <v>0</v>
      </c>
      <c r="RW338" s="21">
        <f t="shared" si="2374"/>
        <v>0</v>
      </c>
      <c r="RX338" s="21">
        <f t="shared" si="2374"/>
        <v>0</v>
      </c>
      <c r="RY338" s="21">
        <f t="shared" si="2374"/>
        <v>0</v>
      </c>
      <c r="RZ338" s="21">
        <f t="shared" si="2374"/>
        <v>0</v>
      </c>
      <c r="SA338" s="21">
        <f t="shared" si="2374"/>
        <v>0</v>
      </c>
      <c r="SB338" s="21">
        <f t="shared" si="2374"/>
        <v>0</v>
      </c>
      <c r="SC338" s="21">
        <f t="shared" si="2374"/>
        <v>0</v>
      </c>
      <c r="SD338" s="21">
        <f t="shared" ref="SD338:SK338" si="2375">IF($F$290, 0, IF($J$298, IF(AND(COLUMN($SD$338)-COLUMN($QH$335)=$Q$291,ROW($SD$338)-ROW($QH$335)=$K$291), U$290, SD338), SD338))</f>
        <v>0</v>
      </c>
      <c r="SE338" s="21">
        <f t="shared" si="2375"/>
        <v>0</v>
      </c>
      <c r="SF338" s="21">
        <f t="shared" si="2375"/>
        <v>0</v>
      </c>
      <c r="SG338" s="21">
        <f t="shared" si="2375"/>
        <v>0</v>
      </c>
      <c r="SH338" s="21">
        <f t="shared" si="2375"/>
        <v>0</v>
      </c>
      <c r="SI338" s="21">
        <f t="shared" si="2375"/>
        <v>0</v>
      </c>
      <c r="SJ338" s="21">
        <f t="shared" si="2375"/>
        <v>0</v>
      </c>
      <c r="SK338" s="21">
        <f t="shared" si="2375"/>
        <v>0</v>
      </c>
      <c r="SL338" s="21">
        <f t="shared" ref="SL338:SS338" si="2376">IF($F$290, 0, IF($J$298, IF(AND(COLUMN($SL$338)-COLUMN($QH$335)=$Q$291,ROW($SL$338)-ROW($QH$335)=$K$291), U$290, SL338), SL338))</f>
        <v>0</v>
      </c>
      <c r="SM338" s="21">
        <f t="shared" si="2376"/>
        <v>0</v>
      </c>
      <c r="SN338" s="21">
        <f t="shared" si="2376"/>
        <v>0</v>
      </c>
      <c r="SO338" s="21">
        <f t="shared" si="2376"/>
        <v>0</v>
      </c>
      <c r="SP338" s="21">
        <f t="shared" si="2376"/>
        <v>0</v>
      </c>
      <c r="SQ338" s="21">
        <f t="shared" si="2376"/>
        <v>0</v>
      </c>
      <c r="SR338" s="21">
        <f t="shared" si="2376"/>
        <v>0</v>
      </c>
      <c r="SS338" s="21">
        <f t="shared" si="2376"/>
        <v>0</v>
      </c>
    </row>
    <row r="339" spans="2:513" ht="15" customHeight="1" x14ac:dyDescent="0.25">
      <c r="B339" s="21">
        <f t="shared" ref="B339:I339" si="2377">IF($F$290, 0, IF($C$298, IF(AND(COLUMN($B$339)-COLUMN($B$335)=$Q$291,ROW($B$339)-ROW($B$335)=$K$291), U$290, B339), B339))</f>
        <v>0</v>
      </c>
      <c r="C339" s="21">
        <f t="shared" si="2377"/>
        <v>0</v>
      </c>
      <c r="D339" s="21">
        <f t="shared" si="2377"/>
        <v>0</v>
      </c>
      <c r="E339" s="21">
        <f t="shared" si="2377"/>
        <v>0</v>
      </c>
      <c r="F339" s="21">
        <f t="shared" si="2377"/>
        <v>0</v>
      </c>
      <c r="G339" s="21">
        <f t="shared" si="2377"/>
        <v>0</v>
      </c>
      <c r="H339" s="21">
        <f t="shared" si="2377"/>
        <v>0</v>
      </c>
      <c r="I339" s="21">
        <f t="shared" si="2377"/>
        <v>0</v>
      </c>
      <c r="J339" s="21">
        <f t="shared" ref="J339:Q339" si="2378">IF($F$290, 0, IF($C$298, IF(AND(COLUMN($J$339)-COLUMN($B$335)=$Q$291,ROW($J$339)-ROW($B$335)=$K$291), U$290, J339), J339))</f>
        <v>0</v>
      </c>
      <c r="K339" s="21">
        <f t="shared" si="2378"/>
        <v>0</v>
      </c>
      <c r="L339" s="21">
        <f t="shared" si="2378"/>
        <v>0</v>
      </c>
      <c r="M339" s="21">
        <f t="shared" si="2378"/>
        <v>0</v>
      </c>
      <c r="N339" s="21">
        <f t="shared" si="2378"/>
        <v>0</v>
      </c>
      <c r="O339" s="21">
        <f t="shared" si="2378"/>
        <v>0</v>
      </c>
      <c r="P339" s="21">
        <f t="shared" si="2378"/>
        <v>0</v>
      </c>
      <c r="Q339" s="21">
        <f t="shared" si="2378"/>
        <v>0</v>
      </c>
      <c r="R339" s="21">
        <f>IF($F$290, 0, IF($C$298, IF(AND(COLUMN($R$339)-COLUMN($B$335)=$Q$291,ROW($R$339)-ROW($B$335)=$K$291), U$290, R339), R339))</f>
        <v>0</v>
      </c>
      <c r="S339" s="21">
        <f t="shared" ref="S339:Y339" si="2379">IF($F$290, 0, IF($C$298, IF(AND(COLUMN($R$339)-COLUMN($B$335)=$Q$291,ROW($R$339)-ROW($B$335)=$K$291), V$290, S339), S339))</f>
        <v>0</v>
      </c>
      <c r="T339" s="21">
        <f t="shared" si="2379"/>
        <v>0</v>
      </c>
      <c r="U339" s="21">
        <f t="shared" si="2379"/>
        <v>0</v>
      </c>
      <c r="V339" s="21">
        <f t="shared" si="2379"/>
        <v>0</v>
      </c>
      <c r="W339" s="21">
        <f t="shared" si="2379"/>
        <v>0</v>
      </c>
      <c r="X339" s="21">
        <f t="shared" si="2379"/>
        <v>0</v>
      </c>
      <c r="Y339" s="21">
        <f t="shared" si="2379"/>
        <v>0</v>
      </c>
      <c r="Z339" s="21">
        <f t="shared" ref="Z339:AG339" si="2380">IF($F$290, 0, IF($C$298, IF(AND(COLUMN($Z$339)-COLUMN($B$335)=$Q$291,ROW($Z$339)-ROW($B$335)=$K$291), U$290, Z339), Z339))</f>
        <v>0</v>
      </c>
      <c r="AA339" s="21">
        <f t="shared" si="2380"/>
        <v>0</v>
      </c>
      <c r="AB339" s="21">
        <f t="shared" si="2380"/>
        <v>0</v>
      </c>
      <c r="AC339" s="21">
        <f t="shared" si="2380"/>
        <v>0</v>
      </c>
      <c r="AD339" s="21">
        <f t="shared" si="2380"/>
        <v>0</v>
      </c>
      <c r="AE339" s="21">
        <f t="shared" si="2380"/>
        <v>0</v>
      </c>
      <c r="AF339" s="21">
        <f t="shared" si="2380"/>
        <v>0</v>
      </c>
      <c r="AG339" s="21">
        <f t="shared" si="2380"/>
        <v>0</v>
      </c>
      <c r="AH339" s="21">
        <f t="shared" ref="AH339:AO339" si="2381">IF($F$290, 0, IF($C$298, IF(AND(COLUMN($AH$339)-COLUMN($B$335)=$Q$291,ROW($AH$339)-ROW($B$335)=$K$291), U$290, AH339), AH339))</f>
        <v>0</v>
      </c>
      <c r="AI339" s="21">
        <f t="shared" si="2381"/>
        <v>0</v>
      </c>
      <c r="AJ339" s="21">
        <f t="shared" si="2381"/>
        <v>0</v>
      </c>
      <c r="AK339" s="21">
        <f t="shared" si="2381"/>
        <v>0</v>
      </c>
      <c r="AL339" s="21">
        <f t="shared" si="2381"/>
        <v>0</v>
      </c>
      <c r="AM339" s="21">
        <f t="shared" si="2381"/>
        <v>0</v>
      </c>
      <c r="AN339" s="21">
        <f t="shared" si="2381"/>
        <v>0</v>
      </c>
      <c r="AO339" s="21">
        <f t="shared" si="2381"/>
        <v>0</v>
      </c>
      <c r="AP339" s="21">
        <f t="shared" ref="AP339:AW339" si="2382">IF($F$290, 0, IF($C$298, IF(AND(COLUMN($AP$339)-COLUMN($B$335)=$Q$291,ROW($AP$339)-ROW($B$335)=$K$291), U$290, AP339), AP339))</f>
        <v>0</v>
      </c>
      <c r="AQ339" s="21">
        <f t="shared" si="2382"/>
        <v>0</v>
      </c>
      <c r="AR339" s="21">
        <f t="shared" si="2382"/>
        <v>0</v>
      </c>
      <c r="AS339" s="21">
        <f t="shared" si="2382"/>
        <v>0</v>
      </c>
      <c r="AT339" s="21">
        <f t="shared" si="2382"/>
        <v>0</v>
      </c>
      <c r="AU339" s="21">
        <f t="shared" si="2382"/>
        <v>0</v>
      </c>
      <c r="AV339" s="21">
        <f t="shared" si="2382"/>
        <v>0</v>
      </c>
      <c r="AW339" s="21">
        <f t="shared" si="2382"/>
        <v>0</v>
      </c>
      <c r="AX339" s="21">
        <f t="shared" ref="AX339:BE339" si="2383">IF($F$290, 0, IF($C$298, IF(AND(COLUMN($AX$339)-COLUMN($B$335)=$Q$291,ROW($AX$339)-ROW($B$335)=$K$291), U$290, AX339), AX339))</f>
        <v>0</v>
      </c>
      <c r="AY339" s="21">
        <f t="shared" si="2383"/>
        <v>0</v>
      </c>
      <c r="AZ339" s="21">
        <f t="shared" si="2383"/>
        <v>0</v>
      </c>
      <c r="BA339" s="21">
        <f t="shared" si="2383"/>
        <v>0</v>
      </c>
      <c r="BB339" s="21">
        <f t="shared" si="2383"/>
        <v>0</v>
      </c>
      <c r="BC339" s="21">
        <f t="shared" si="2383"/>
        <v>0</v>
      </c>
      <c r="BD339" s="21">
        <f t="shared" si="2383"/>
        <v>0</v>
      </c>
      <c r="BE339" s="21">
        <f t="shared" si="2383"/>
        <v>0</v>
      </c>
      <c r="BF339" s="21">
        <f t="shared" ref="BF339:BM339" si="2384">IF($F$290, 0, IF($C$298, IF(AND(COLUMN($BF$339)-COLUMN($B$335)=$Q$291,ROW($BF$339)-ROW($B$335)=$K$291), U$290, BF339), BF339))</f>
        <v>0</v>
      </c>
      <c r="BG339" s="21">
        <f t="shared" si="2384"/>
        <v>0</v>
      </c>
      <c r="BH339" s="21">
        <f t="shared" si="2384"/>
        <v>0</v>
      </c>
      <c r="BI339" s="21">
        <f t="shared" si="2384"/>
        <v>0</v>
      </c>
      <c r="BJ339" s="21">
        <f t="shared" si="2384"/>
        <v>0</v>
      </c>
      <c r="BK339" s="21">
        <f t="shared" si="2384"/>
        <v>0</v>
      </c>
      <c r="BL339" s="21">
        <f t="shared" si="2384"/>
        <v>0</v>
      </c>
      <c r="BM339" s="21">
        <f t="shared" si="2384"/>
        <v>0</v>
      </c>
      <c r="BN339" s="21">
        <f t="shared" ref="BN339:BU339" si="2385">IF($F$290, 0, IF($D$298, IF(AND(COLUMN($BN$339)-COLUMN($BN$335)=$Q$291,ROW($BN$339)-ROW($BN$335)=$K$291), U$290, BN339), BN339))</f>
        <v>0</v>
      </c>
      <c r="BO339" s="21">
        <f t="shared" si="2385"/>
        <v>0</v>
      </c>
      <c r="BP339" s="21">
        <f t="shared" si="2385"/>
        <v>0</v>
      </c>
      <c r="BQ339" s="21">
        <f t="shared" si="2385"/>
        <v>0</v>
      </c>
      <c r="BR339" s="21">
        <f t="shared" si="2385"/>
        <v>0</v>
      </c>
      <c r="BS339" s="21">
        <f t="shared" si="2385"/>
        <v>0</v>
      </c>
      <c r="BT339" s="21">
        <f t="shared" si="2385"/>
        <v>0</v>
      </c>
      <c r="BU339" s="21">
        <f t="shared" si="2385"/>
        <v>0</v>
      </c>
      <c r="BV339" s="21">
        <f t="shared" ref="BV339:CC339" si="2386">IF($F$290, 0, IF($D$298, IF(AND(COLUMN($BV$339)-COLUMN($BN$335)=$Q$291,ROW($BV$339)-ROW($BN$335)=$K$291), U$290, BV339), BV339))</f>
        <v>0</v>
      </c>
      <c r="BW339" s="21">
        <f t="shared" si="2386"/>
        <v>0</v>
      </c>
      <c r="BX339" s="21">
        <f t="shared" si="2386"/>
        <v>0</v>
      </c>
      <c r="BY339" s="21">
        <f t="shared" si="2386"/>
        <v>0</v>
      </c>
      <c r="BZ339" s="21">
        <f t="shared" si="2386"/>
        <v>0</v>
      </c>
      <c r="CA339" s="21">
        <f t="shared" si="2386"/>
        <v>0</v>
      </c>
      <c r="CB339" s="21">
        <f t="shared" si="2386"/>
        <v>0</v>
      </c>
      <c r="CC339" s="21">
        <f t="shared" si="2386"/>
        <v>0</v>
      </c>
      <c r="CD339" s="21">
        <f t="shared" ref="CD339:CK339" si="2387">IF($F$290, 0, IF($D$298, IF(AND(COLUMN($CD$339)-COLUMN($BN$335)=$Q$291,ROW($CD$339)-ROW($BN$335)=$K$291), U$290, CD339), CD339))</f>
        <v>0</v>
      </c>
      <c r="CE339" s="21">
        <f t="shared" si="2387"/>
        <v>0</v>
      </c>
      <c r="CF339" s="21">
        <f t="shared" si="2387"/>
        <v>0</v>
      </c>
      <c r="CG339" s="21">
        <f t="shared" si="2387"/>
        <v>0</v>
      </c>
      <c r="CH339" s="21">
        <f t="shared" si="2387"/>
        <v>0</v>
      </c>
      <c r="CI339" s="21">
        <f t="shared" si="2387"/>
        <v>0</v>
      </c>
      <c r="CJ339" s="21">
        <f t="shared" si="2387"/>
        <v>0</v>
      </c>
      <c r="CK339" s="21">
        <f t="shared" si="2387"/>
        <v>0</v>
      </c>
      <c r="CL339" s="21">
        <f t="shared" ref="CL339:CS339" si="2388">IF($F$290, 0, IF($D$298, IF(AND(COLUMN($CL$339)-COLUMN($BN$335)=$Q$291,ROW($CL$339)-ROW($BN$335)=$K$291), U$290, CL339), CL339))</f>
        <v>0</v>
      </c>
      <c r="CM339" s="21">
        <f t="shared" si="2388"/>
        <v>0</v>
      </c>
      <c r="CN339" s="21">
        <f t="shared" si="2388"/>
        <v>0</v>
      </c>
      <c r="CO339" s="21">
        <f t="shared" si="2388"/>
        <v>0</v>
      </c>
      <c r="CP339" s="21">
        <f t="shared" si="2388"/>
        <v>0</v>
      </c>
      <c r="CQ339" s="21">
        <f t="shared" si="2388"/>
        <v>0</v>
      </c>
      <c r="CR339" s="21">
        <f t="shared" si="2388"/>
        <v>0</v>
      </c>
      <c r="CS339" s="21">
        <f t="shared" si="2388"/>
        <v>0</v>
      </c>
      <c r="CT339" s="21">
        <f t="shared" ref="CT339:DA339" si="2389">IF($F$290, 0, IF($D$298, IF(AND(COLUMN($CT$339)-COLUMN($BN$335)=$Q$291,ROW($CT$339)-ROW($BN$335)=$K$291), U$290, CT339), CT339))</f>
        <v>0</v>
      </c>
      <c r="CU339" s="21">
        <f t="shared" si="2389"/>
        <v>0</v>
      </c>
      <c r="CV339" s="21">
        <f t="shared" si="2389"/>
        <v>0</v>
      </c>
      <c r="CW339" s="21">
        <f t="shared" si="2389"/>
        <v>0</v>
      </c>
      <c r="CX339" s="21">
        <f t="shared" si="2389"/>
        <v>0</v>
      </c>
      <c r="CY339" s="21">
        <f t="shared" si="2389"/>
        <v>0</v>
      </c>
      <c r="CZ339" s="21">
        <f t="shared" si="2389"/>
        <v>0</v>
      </c>
      <c r="DA339" s="21">
        <f t="shared" si="2389"/>
        <v>0</v>
      </c>
      <c r="DB339" s="21">
        <f t="shared" ref="DB339:DI339" si="2390">IF($F$290, 0, IF($D$298, IF(AND(COLUMN($DB$339)-COLUMN($BN$335)=$Q$291,ROW($DB$339)-ROW($BN$335)=$K$291), U$290, DB339), DB339))</f>
        <v>0</v>
      </c>
      <c r="DC339" s="21">
        <f t="shared" si="2390"/>
        <v>0</v>
      </c>
      <c r="DD339" s="21">
        <f t="shared" si="2390"/>
        <v>0</v>
      </c>
      <c r="DE339" s="21">
        <f t="shared" si="2390"/>
        <v>0</v>
      </c>
      <c r="DF339" s="21">
        <f t="shared" si="2390"/>
        <v>0</v>
      </c>
      <c r="DG339" s="21">
        <f t="shared" si="2390"/>
        <v>0</v>
      </c>
      <c r="DH339" s="21">
        <f t="shared" si="2390"/>
        <v>0</v>
      </c>
      <c r="DI339" s="21">
        <f t="shared" si="2390"/>
        <v>0</v>
      </c>
      <c r="DJ339" s="21">
        <f t="shared" ref="DJ339:DQ339" si="2391">IF($F$290, 0, IF($D$298, IF(AND(COLUMN($DJ$339)-COLUMN($BN$335)=$Q$291,ROW($DJ$339)-ROW($BN$335)=$K$291), U$290, DJ339), DJ339))</f>
        <v>0</v>
      </c>
      <c r="DK339" s="21">
        <f t="shared" si="2391"/>
        <v>0</v>
      </c>
      <c r="DL339" s="21">
        <f t="shared" si="2391"/>
        <v>0</v>
      </c>
      <c r="DM339" s="21">
        <f t="shared" si="2391"/>
        <v>0</v>
      </c>
      <c r="DN339" s="21">
        <f t="shared" si="2391"/>
        <v>0</v>
      </c>
      <c r="DO339" s="21">
        <f t="shared" si="2391"/>
        <v>0</v>
      </c>
      <c r="DP339" s="21">
        <f t="shared" si="2391"/>
        <v>0</v>
      </c>
      <c r="DQ339" s="21">
        <f t="shared" si="2391"/>
        <v>0</v>
      </c>
      <c r="DR339" s="21">
        <f t="shared" ref="DR339:DY339" si="2392">IF($F$290, 0, IF($D$298, IF(AND(COLUMN($DR$339)-COLUMN($BN$335)=$Q$291,ROW($DR$339)-ROW($BN$335)=$K$291), U$290, DR339), DR339))</f>
        <v>0</v>
      </c>
      <c r="DS339" s="21">
        <f t="shared" si="2392"/>
        <v>0</v>
      </c>
      <c r="DT339" s="21">
        <f t="shared" si="2392"/>
        <v>0</v>
      </c>
      <c r="DU339" s="21">
        <f t="shared" si="2392"/>
        <v>0</v>
      </c>
      <c r="DV339" s="21">
        <f t="shared" si="2392"/>
        <v>0</v>
      </c>
      <c r="DW339" s="21">
        <f t="shared" si="2392"/>
        <v>0</v>
      </c>
      <c r="DX339" s="21">
        <f t="shared" si="2392"/>
        <v>0</v>
      </c>
      <c r="DY339" s="21">
        <f t="shared" si="2392"/>
        <v>0</v>
      </c>
      <c r="DZ339" s="21">
        <f t="shared" ref="DZ339:EG339" si="2393">IF($F$290, 0, IF($E$298, IF(AND(COLUMN($DZ$339)-COLUMN($DZ$335)=$Q$291,ROW($DZ$339)-ROW($DZ$335)=$K$291), U$290, DZ339), DZ339))</f>
        <v>0</v>
      </c>
      <c r="EA339" s="21">
        <f t="shared" si="2393"/>
        <v>0</v>
      </c>
      <c r="EB339" s="21">
        <f t="shared" si="2393"/>
        <v>0</v>
      </c>
      <c r="EC339" s="21">
        <f t="shared" si="2393"/>
        <v>0</v>
      </c>
      <c r="ED339" s="21">
        <f t="shared" si="2393"/>
        <v>0</v>
      </c>
      <c r="EE339" s="21">
        <f t="shared" si="2393"/>
        <v>0</v>
      </c>
      <c r="EF339" s="21">
        <f t="shared" si="2393"/>
        <v>0</v>
      </c>
      <c r="EG339" s="21">
        <f t="shared" si="2393"/>
        <v>0</v>
      </c>
      <c r="EH339" s="21">
        <f t="shared" ref="EH339:EO339" si="2394">IF($F$290, 0, IF($E$298, IF(AND(COLUMN($EH$339)-COLUMN($DZ$335)=$Q$291,ROW($EH$339)-ROW($DZ$335)=$K$291), U$290, EH339), EH339))</f>
        <v>0</v>
      </c>
      <c r="EI339" s="21">
        <f t="shared" si="2394"/>
        <v>0</v>
      </c>
      <c r="EJ339" s="21">
        <f t="shared" si="2394"/>
        <v>0</v>
      </c>
      <c r="EK339" s="21">
        <f t="shared" si="2394"/>
        <v>0</v>
      </c>
      <c r="EL339" s="21">
        <f t="shared" si="2394"/>
        <v>0</v>
      </c>
      <c r="EM339" s="21">
        <f t="shared" si="2394"/>
        <v>0</v>
      </c>
      <c r="EN339" s="21">
        <f t="shared" si="2394"/>
        <v>0</v>
      </c>
      <c r="EO339" s="21">
        <f t="shared" si="2394"/>
        <v>0</v>
      </c>
      <c r="EP339" s="21">
        <f t="shared" ref="EP339:EW339" si="2395">IF($F$290, 0, IF($E$298, IF(AND(COLUMN($EP$339)-COLUMN($DZ$335)=$Q$291,ROW($EP$339)-ROW($DZ$335)=$K$291), U$290, EP339), EP339))</f>
        <v>0</v>
      </c>
      <c r="EQ339" s="21">
        <f t="shared" si="2395"/>
        <v>0</v>
      </c>
      <c r="ER339" s="21">
        <f t="shared" si="2395"/>
        <v>0</v>
      </c>
      <c r="ES339" s="21">
        <f t="shared" si="2395"/>
        <v>0</v>
      </c>
      <c r="ET339" s="21">
        <f t="shared" si="2395"/>
        <v>0</v>
      </c>
      <c r="EU339" s="21">
        <f t="shared" si="2395"/>
        <v>0</v>
      </c>
      <c r="EV339" s="21">
        <f t="shared" si="2395"/>
        <v>0</v>
      </c>
      <c r="EW339" s="21">
        <f t="shared" si="2395"/>
        <v>0</v>
      </c>
      <c r="EX339" s="21">
        <f t="shared" ref="EX339:FE339" si="2396">IF($F$290, 0, IF($E$298, IF(AND(COLUMN($EX$339)-COLUMN($DZ$335)=$Q$291,ROW($EX$339)-ROW($DZ$335)=$K$291), U$290, EX339), EX339))</f>
        <v>0</v>
      </c>
      <c r="EY339" s="21">
        <f t="shared" si="2396"/>
        <v>0</v>
      </c>
      <c r="EZ339" s="21">
        <f t="shared" si="2396"/>
        <v>0</v>
      </c>
      <c r="FA339" s="21">
        <f t="shared" si="2396"/>
        <v>0</v>
      </c>
      <c r="FB339" s="21">
        <f t="shared" si="2396"/>
        <v>0</v>
      </c>
      <c r="FC339" s="21">
        <f t="shared" si="2396"/>
        <v>0</v>
      </c>
      <c r="FD339" s="21">
        <f t="shared" si="2396"/>
        <v>0</v>
      </c>
      <c r="FE339" s="21">
        <f t="shared" si="2396"/>
        <v>0</v>
      </c>
      <c r="FF339" s="21">
        <f t="shared" ref="FF339:FM339" si="2397">IF($F$290, 0, IF($E$298, IF(AND(COLUMN($FF$339)-COLUMN($DZ$335)=$Q$291,ROW($FF$339)-ROW($DZ$335)=$K$291), U$290, FF339), FF339))</f>
        <v>0</v>
      </c>
      <c r="FG339" s="21">
        <f t="shared" si="2397"/>
        <v>0</v>
      </c>
      <c r="FH339" s="21">
        <f t="shared" si="2397"/>
        <v>0</v>
      </c>
      <c r="FI339" s="21">
        <f t="shared" si="2397"/>
        <v>0</v>
      </c>
      <c r="FJ339" s="21">
        <f t="shared" si="2397"/>
        <v>0</v>
      </c>
      <c r="FK339" s="21">
        <f t="shared" si="2397"/>
        <v>0</v>
      </c>
      <c r="FL339" s="21">
        <f t="shared" si="2397"/>
        <v>0</v>
      </c>
      <c r="FM339" s="21">
        <f t="shared" si="2397"/>
        <v>0</v>
      </c>
      <c r="FN339" s="21">
        <f t="shared" ref="FN339:FU339" si="2398">IF($F$290, 0, IF($E$298, IF(AND(COLUMN($FN$339)-COLUMN($DZ$335)=$Q$291,ROW($FN$339)-ROW($DZ$335)=$K$291), U$290, FN339), FN339))</f>
        <v>0</v>
      </c>
      <c r="FO339" s="21">
        <f t="shared" si="2398"/>
        <v>0</v>
      </c>
      <c r="FP339" s="21">
        <f t="shared" si="2398"/>
        <v>0</v>
      </c>
      <c r="FQ339" s="21">
        <f t="shared" si="2398"/>
        <v>0</v>
      </c>
      <c r="FR339" s="21">
        <f t="shared" si="2398"/>
        <v>0</v>
      </c>
      <c r="FS339" s="21">
        <f t="shared" si="2398"/>
        <v>0</v>
      </c>
      <c r="FT339" s="21">
        <f t="shared" si="2398"/>
        <v>0</v>
      </c>
      <c r="FU339" s="21">
        <f t="shared" si="2398"/>
        <v>0</v>
      </c>
      <c r="FV339" s="21">
        <f t="shared" ref="FV339:GC339" si="2399">IF($F$290, 0, IF($E$298, IF(AND(COLUMN($FV$339)-COLUMN($DZ$335)=$Q$291,ROW($FV$339)-ROW($DZ$335)=$K$291), U$290, FV339), FV339))</f>
        <v>0</v>
      </c>
      <c r="FW339" s="21">
        <f t="shared" si="2399"/>
        <v>0</v>
      </c>
      <c r="FX339" s="21">
        <f t="shared" si="2399"/>
        <v>0</v>
      </c>
      <c r="FY339" s="21">
        <f t="shared" si="2399"/>
        <v>0</v>
      </c>
      <c r="FZ339" s="21">
        <f t="shared" si="2399"/>
        <v>0</v>
      </c>
      <c r="GA339" s="21">
        <f t="shared" si="2399"/>
        <v>0</v>
      </c>
      <c r="GB339" s="21">
        <f t="shared" si="2399"/>
        <v>0</v>
      </c>
      <c r="GC339" s="21">
        <f t="shared" si="2399"/>
        <v>0</v>
      </c>
      <c r="GD339" s="21">
        <f t="shared" ref="GD339:GK339" si="2400">IF($F$290, 0, IF($E$298, IF(AND(COLUMN($GD$339)-COLUMN($DZ$335)=$Q$291,ROW($GD$339)-ROW($DZ$335)=$K$291), U$290, GD339), GD339))</f>
        <v>0</v>
      </c>
      <c r="GE339" s="21">
        <f t="shared" si="2400"/>
        <v>0</v>
      </c>
      <c r="GF339" s="21">
        <f t="shared" si="2400"/>
        <v>0</v>
      </c>
      <c r="GG339" s="21">
        <f t="shared" si="2400"/>
        <v>0</v>
      </c>
      <c r="GH339" s="21">
        <f t="shared" si="2400"/>
        <v>0</v>
      </c>
      <c r="GI339" s="21">
        <f t="shared" si="2400"/>
        <v>0</v>
      </c>
      <c r="GJ339" s="21">
        <f t="shared" si="2400"/>
        <v>0</v>
      </c>
      <c r="GK339" s="21">
        <f t="shared" si="2400"/>
        <v>0</v>
      </c>
      <c r="GL339" s="21">
        <f t="shared" ref="GL339:GS339" si="2401">IF($F$290, 0, IF($F$298, IF(AND(COLUMN($GL$339)-COLUMN($GL$335)=$Q$291,ROW($GL$339)-ROW($GL$335)=$K$291), U$290, GL339), GL339))</f>
        <v>0</v>
      </c>
      <c r="GM339" s="21">
        <f t="shared" si="2401"/>
        <v>0</v>
      </c>
      <c r="GN339" s="21">
        <f t="shared" si="2401"/>
        <v>0</v>
      </c>
      <c r="GO339" s="21">
        <f t="shared" si="2401"/>
        <v>0</v>
      </c>
      <c r="GP339" s="21">
        <f t="shared" si="2401"/>
        <v>0</v>
      </c>
      <c r="GQ339" s="21">
        <f t="shared" si="2401"/>
        <v>0</v>
      </c>
      <c r="GR339" s="21">
        <f t="shared" si="2401"/>
        <v>0</v>
      </c>
      <c r="GS339" s="21">
        <f t="shared" si="2401"/>
        <v>0</v>
      </c>
      <c r="GT339" s="21">
        <f t="shared" ref="GT339:HA339" si="2402">IF($F$290, 0, IF($F$298, IF(AND(COLUMN($GT$339)-COLUMN($GL$335)=$Q$291,ROW($GT$339)-ROW($GL$335)=$K$291), U$290, GT339), GT339))</f>
        <v>0</v>
      </c>
      <c r="GU339" s="21">
        <f t="shared" si="2402"/>
        <v>0</v>
      </c>
      <c r="GV339" s="21">
        <f t="shared" si="2402"/>
        <v>0</v>
      </c>
      <c r="GW339" s="21">
        <f t="shared" si="2402"/>
        <v>0</v>
      </c>
      <c r="GX339" s="21">
        <f t="shared" si="2402"/>
        <v>0</v>
      </c>
      <c r="GY339" s="21">
        <f t="shared" si="2402"/>
        <v>0</v>
      </c>
      <c r="GZ339" s="21">
        <f t="shared" si="2402"/>
        <v>0</v>
      </c>
      <c r="HA339" s="21">
        <f t="shared" si="2402"/>
        <v>0</v>
      </c>
      <c r="HB339" s="21">
        <f t="shared" ref="HB339:HI339" si="2403">IF($F$290, 0, IF($F$298, IF(AND(COLUMN($HB$339)-COLUMN($GL$335)=$Q$291,ROW($HB$339)-ROW($GL$335)=$K$291), U$290, HB339), HB339))</f>
        <v>0</v>
      </c>
      <c r="HC339" s="21">
        <f t="shared" si="2403"/>
        <v>0</v>
      </c>
      <c r="HD339" s="21">
        <f t="shared" si="2403"/>
        <v>0</v>
      </c>
      <c r="HE339" s="21">
        <f t="shared" si="2403"/>
        <v>0</v>
      </c>
      <c r="HF339" s="21">
        <f t="shared" si="2403"/>
        <v>0</v>
      </c>
      <c r="HG339" s="21">
        <f t="shared" si="2403"/>
        <v>0</v>
      </c>
      <c r="HH339" s="21">
        <f t="shared" si="2403"/>
        <v>0</v>
      </c>
      <c r="HI339" s="21">
        <f t="shared" si="2403"/>
        <v>0</v>
      </c>
      <c r="HJ339" s="21">
        <f t="shared" ref="HJ339:HQ339" si="2404">IF($F$290, 0, IF($F$298, IF(AND(COLUMN($HJ$339)-COLUMN($GL$335)=$Q$291,ROW($HJ$339)-ROW($GL$335)=$K$291), U$290, HJ339), HJ339))</f>
        <v>0</v>
      </c>
      <c r="HK339" s="21">
        <f t="shared" si="2404"/>
        <v>0</v>
      </c>
      <c r="HL339" s="21">
        <f t="shared" si="2404"/>
        <v>0</v>
      </c>
      <c r="HM339" s="21">
        <f t="shared" si="2404"/>
        <v>0</v>
      </c>
      <c r="HN339" s="21">
        <f t="shared" si="2404"/>
        <v>0</v>
      </c>
      <c r="HO339" s="21">
        <f t="shared" si="2404"/>
        <v>0</v>
      </c>
      <c r="HP339" s="21">
        <f t="shared" si="2404"/>
        <v>0</v>
      </c>
      <c r="HQ339" s="21">
        <f t="shared" si="2404"/>
        <v>0</v>
      </c>
      <c r="HR339" s="21">
        <f t="shared" ref="HR339:HY339" si="2405">IF($F$290, 0, IF($F$298, IF(AND(COLUMN($HR$339)-COLUMN($GL$335)=$Q$291,ROW($HR$339)-ROW($GL$335)=$K$291), U$290, HR339), HR339))</f>
        <v>0</v>
      </c>
      <c r="HS339" s="21">
        <f t="shared" si="2405"/>
        <v>0</v>
      </c>
      <c r="HT339" s="21">
        <f t="shared" si="2405"/>
        <v>0</v>
      </c>
      <c r="HU339" s="21">
        <f t="shared" si="2405"/>
        <v>0</v>
      </c>
      <c r="HV339" s="21">
        <f t="shared" si="2405"/>
        <v>0</v>
      </c>
      <c r="HW339" s="21">
        <f t="shared" si="2405"/>
        <v>0</v>
      </c>
      <c r="HX339" s="21">
        <f t="shared" si="2405"/>
        <v>0</v>
      </c>
      <c r="HY339" s="21">
        <f t="shared" si="2405"/>
        <v>0</v>
      </c>
      <c r="HZ339" s="21">
        <f t="shared" ref="HZ339:IG339" si="2406">IF($F$290, 0, IF($F$298, IF(AND(COLUMN($HZ$339)-COLUMN($GL$335)=$Q$291,ROW($HZ$339)-ROW($GL$335)=$K$291), U$290, HZ339), HZ339))</f>
        <v>0</v>
      </c>
      <c r="IA339" s="21">
        <f t="shared" si="2406"/>
        <v>0</v>
      </c>
      <c r="IB339" s="21">
        <f t="shared" si="2406"/>
        <v>0</v>
      </c>
      <c r="IC339" s="21">
        <f t="shared" si="2406"/>
        <v>0</v>
      </c>
      <c r="ID339" s="21">
        <f t="shared" si="2406"/>
        <v>0</v>
      </c>
      <c r="IE339" s="21">
        <f t="shared" si="2406"/>
        <v>0</v>
      </c>
      <c r="IF339" s="21">
        <f t="shared" si="2406"/>
        <v>0</v>
      </c>
      <c r="IG339" s="21">
        <f t="shared" si="2406"/>
        <v>0</v>
      </c>
      <c r="IH339" s="21">
        <f t="shared" ref="IH339:IO339" si="2407">IF($F$290, 0, IF($F$298, IF(AND(COLUMN($IH$339)-COLUMN($GL$335)=$Q$291,ROW($IH$339)-ROW($GL$335)=$K$291), U$290, IH339), IH339))</f>
        <v>0</v>
      </c>
      <c r="II339" s="21">
        <f t="shared" si="2407"/>
        <v>0</v>
      </c>
      <c r="IJ339" s="21">
        <f t="shared" si="2407"/>
        <v>0</v>
      </c>
      <c r="IK339" s="21">
        <f t="shared" si="2407"/>
        <v>0</v>
      </c>
      <c r="IL339" s="21">
        <f t="shared" si="2407"/>
        <v>0</v>
      </c>
      <c r="IM339" s="21">
        <f t="shared" si="2407"/>
        <v>0</v>
      </c>
      <c r="IN339" s="21">
        <f t="shared" si="2407"/>
        <v>0</v>
      </c>
      <c r="IO339" s="21">
        <f t="shared" si="2407"/>
        <v>0</v>
      </c>
      <c r="IP339" s="21">
        <f t="shared" ref="IP339:IW339" si="2408">IF($F$290, 0, IF($F$298, IF(AND(COLUMN($IP$339)-COLUMN($GL$335)=$Q$291,ROW($IP$339)-ROW($GL$335)=$K$291), U$290, IP339), IP339))</f>
        <v>0</v>
      </c>
      <c r="IQ339" s="21">
        <f t="shared" si="2408"/>
        <v>0</v>
      </c>
      <c r="IR339" s="21">
        <f t="shared" si="2408"/>
        <v>0</v>
      </c>
      <c r="IS339" s="21">
        <f t="shared" si="2408"/>
        <v>0</v>
      </c>
      <c r="IT339" s="21">
        <f t="shared" si="2408"/>
        <v>0</v>
      </c>
      <c r="IU339" s="21">
        <f t="shared" si="2408"/>
        <v>0</v>
      </c>
      <c r="IV339" s="21">
        <f t="shared" si="2408"/>
        <v>0</v>
      </c>
      <c r="IW339" s="21">
        <f t="shared" si="2408"/>
        <v>0</v>
      </c>
      <c r="IX339" s="21">
        <f t="shared" ref="IX339:JE339" si="2409">IF($F$290, 0, IF($G$298, IF(AND(COLUMN($IX$339)-COLUMN($IX$335)=$Q$291,ROW($IX$339)-ROW($IX$335)=$K$291), U$290, IX339), IX339))</f>
        <v>0</v>
      </c>
      <c r="IY339" s="21">
        <f t="shared" si="2409"/>
        <v>0</v>
      </c>
      <c r="IZ339" s="21">
        <f t="shared" si="2409"/>
        <v>0</v>
      </c>
      <c r="JA339" s="21">
        <f t="shared" si="2409"/>
        <v>0</v>
      </c>
      <c r="JB339" s="21">
        <f t="shared" si="2409"/>
        <v>0</v>
      </c>
      <c r="JC339" s="21">
        <f t="shared" si="2409"/>
        <v>0</v>
      </c>
      <c r="JD339" s="21">
        <f t="shared" si="2409"/>
        <v>0</v>
      </c>
      <c r="JE339" s="21">
        <f t="shared" si="2409"/>
        <v>0</v>
      </c>
      <c r="JF339" s="21">
        <f t="shared" ref="JF339:JM339" si="2410">IF($F$290, 0, IF($G$298, IF(AND(COLUMN($JF$339)-COLUMN($IX$335)=$Q$291,ROW($JF$339)-ROW($IX$335)=$K$291), U$290, JF339), JF339))</f>
        <v>0</v>
      </c>
      <c r="JG339" s="21">
        <f t="shared" si="2410"/>
        <v>0</v>
      </c>
      <c r="JH339" s="21">
        <f t="shared" si="2410"/>
        <v>0</v>
      </c>
      <c r="JI339" s="21">
        <f t="shared" si="2410"/>
        <v>0</v>
      </c>
      <c r="JJ339" s="21">
        <f t="shared" si="2410"/>
        <v>0</v>
      </c>
      <c r="JK339" s="21">
        <f t="shared" si="2410"/>
        <v>0</v>
      </c>
      <c r="JL339" s="21">
        <f t="shared" si="2410"/>
        <v>0</v>
      </c>
      <c r="JM339" s="21">
        <f t="shared" si="2410"/>
        <v>0</v>
      </c>
      <c r="JN339" s="21">
        <f t="shared" ref="JN339:JU339" si="2411">IF($F$290, 0, IF($G$298, IF(AND(COLUMN($JN$339)-COLUMN($IX$335)=$Q$291,ROW($JN$339)-ROW($IX$335)=$K$291), U$290, JN339), JN339))</f>
        <v>0</v>
      </c>
      <c r="JO339" s="21">
        <f t="shared" si="2411"/>
        <v>0</v>
      </c>
      <c r="JP339" s="21">
        <f t="shared" si="2411"/>
        <v>0</v>
      </c>
      <c r="JQ339" s="21">
        <f t="shared" si="2411"/>
        <v>0</v>
      </c>
      <c r="JR339" s="21">
        <f t="shared" si="2411"/>
        <v>0</v>
      </c>
      <c r="JS339" s="21">
        <f t="shared" si="2411"/>
        <v>0</v>
      </c>
      <c r="JT339" s="21">
        <f t="shared" si="2411"/>
        <v>0</v>
      </c>
      <c r="JU339" s="21">
        <f t="shared" si="2411"/>
        <v>0</v>
      </c>
      <c r="JV339" s="21">
        <f t="shared" ref="JV339:KC339" si="2412">IF($F$290, 0, IF($G$298, IF(AND(COLUMN($JV$339)-COLUMN($IX$335)=$Q$291,ROW($JV$339)-ROW($IX$335)=$K$291), U$290, JV339), JV339))</f>
        <v>0</v>
      </c>
      <c r="JW339" s="21">
        <f t="shared" si="2412"/>
        <v>0</v>
      </c>
      <c r="JX339" s="21">
        <f t="shared" si="2412"/>
        <v>0</v>
      </c>
      <c r="JY339" s="21">
        <f t="shared" si="2412"/>
        <v>0</v>
      </c>
      <c r="JZ339" s="21">
        <f t="shared" si="2412"/>
        <v>0</v>
      </c>
      <c r="KA339" s="21">
        <f t="shared" si="2412"/>
        <v>0</v>
      </c>
      <c r="KB339" s="21">
        <f t="shared" si="2412"/>
        <v>0</v>
      </c>
      <c r="KC339" s="21">
        <f t="shared" si="2412"/>
        <v>0</v>
      </c>
      <c r="KD339" s="21">
        <f t="shared" ref="KD339:KK339" si="2413">IF($F$290, 0, IF($G$298, IF(AND(COLUMN($KD$339)-COLUMN($IX$335)=$Q$291,ROW($KD$339)-ROW($IX$335)=$K$291), U$290, KD339), KD339))</f>
        <v>0</v>
      </c>
      <c r="KE339" s="21">
        <f t="shared" si="2413"/>
        <v>0</v>
      </c>
      <c r="KF339" s="21">
        <f t="shared" si="2413"/>
        <v>0</v>
      </c>
      <c r="KG339" s="21">
        <f t="shared" si="2413"/>
        <v>0</v>
      </c>
      <c r="KH339" s="21">
        <f t="shared" si="2413"/>
        <v>0</v>
      </c>
      <c r="KI339" s="21">
        <f t="shared" si="2413"/>
        <v>0</v>
      </c>
      <c r="KJ339" s="21">
        <f t="shared" si="2413"/>
        <v>0</v>
      </c>
      <c r="KK339" s="21">
        <f t="shared" si="2413"/>
        <v>0</v>
      </c>
      <c r="KL339" s="21">
        <f t="shared" ref="KL339:KS339" si="2414">IF($F$290, 0, IF($G$298, IF(AND(COLUMN($KL$339)-COLUMN($IX$335)=$Q$291,ROW($KL$339)-ROW($IX$335)=$K$291), U$290, KL339), KL339))</f>
        <v>0</v>
      </c>
      <c r="KM339" s="21">
        <f t="shared" si="2414"/>
        <v>0</v>
      </c>
      <c r="KN339" s="21">
        <f t="shared" si="2414"/>
        <v>0</v>
      </c>
      <c r="KO339" s="21">
        <f t="shared" si="2414"/>
        <v>0</v>
      </c>
      <c r="KP339" s="21">
        <f t="shared" si="2414"/>
        <v>0</v>
      </c>
      <c r="KQ339" s="21">
        <f t="shared" si="2414"/>
        <v>0</v>
      </c>
      <c r="KR339" s="21">
        <f t="shared" si="2414"/>
        <v>0</v>
      </c>
      <c r="KS339" s="21">
        <f t="shared" si="2414"/>
        <v>0</v>
      </c>
      <c r="KT339" s="21">
        <f t="shared" ref="KT339:LA339" si="2415">IF($F$290, 0, IF($G$298, IF(AND(COLUMN($KT$339)-COLUMN($IX$335)=$Q$291,ROW($KT$339)-ROW($IX$335)=$K$291), U$290, KT339), KT339))</f>
        <v>0</v>
      </c>
      <c r="KU339" s="21">
        <f t="shared" si="2415"/>
        <v>0</v>
      </c>
      <c r="KV339" s="21">
        <f t="shared" si="2415"/>
        <v>0</v>
      </c>
      <c r="KW339" s="21">
        <f t="shared" si="2415"/>
        <v>0</v>
      </c>
      <c r="KX339" s="21">
        <f t="shared" si="2415"/>
        <v>0</v>
      </c>
      <c r="KY339" s="21">
        <f t="shared" si="2415"/>
        <v>0</v>
      </c>
      <c r="KZ339" s="21">
        <f t="shared" si="2415"/>
        <v>0</v>
      </c>
      <c r="LA339" s="21">
        <f t="shared" si="2415"/>
        <v>0</v>
      </c>
      <c r="LB339" s="21">
        <f t="shared" ref="LB339:LI339" si="2416">IF($F$290, 0, IF($G$298, IF(AND(COLUMN($LB$339)-COLUMN($IX$335)=$Q$291,ROW($LB$339)-ROW($IX$335)=$K$291), U$290, LB339), LB339))</f>
        <v>0</v>
      </c>
      <c r="LC339" s="21">
        <f t="shared" si="2416"/>
        <v>0</v>
      </c>
      <c r="LD339" s="21">
        <f t="shared" si="2416"/>
        <v>0</v>
      </c>
      <c r="LE339" s="21">
        <f t="shared" si="2416"/>
        <v>0</v>
      </c>
      <c r="LF339" s="21">
        <f t="shared" si="2416"/>
        <v>0</v>
      </c>
      <c r="LG339" s="21">
        <f t="shared" si="2416"/>
        <v>0</v>
      </c>
      <c r="LH339" s="21">
        <f t="shared" si="2416"/>
        <v>0</v>
      </c>
      <c r="LI339" s="21">
        <f t="shared" si="2416"/>
        <v>0</v>
      </c>
      <c r="LJ339" s="21">
        <f t="shared" ref="LJ339:LQ339" si="2417">IF($F$290, 0, IF($H$298, IF(AND(COLUMN($LJ$339)-COLUMN($LJ$335)=$Q$291,ROW($LJ$339)-ROW($LJ$335)=$K$291), U$290, LJ339), LJ339))</f>
        <v>0</v>
      </c>
      <c r="LK339" s="21">
        <f t="shared" si="2417"/>
        <v>0</v>
      </c>
      <c r="LL339" s="21">
        <f t="shared" si="2417"/>
        <v>0</v>
      </c>
      <c r="LM339" s="21">
        <f t="shared" si="2417"/>
        <v>0</v>
      </c>
      <c r="LN339" s="21">
        <f t="shared" si="2417"/>
        <v>0</v>
      </c>
      <c r="LO339" s="21">
        <f t="shared" si="2417"/>
        <v>0</v>
      </c>
      <c r="LP339" s="21">
        <f t="shared" si="2417"/>
        <v>0</v>
      </c>
      <c r="LQ339" s="21">
        <f t="shared" si="2417"/>
        <v>0</v>
      </c>
      <c r="LR339" s="21">
        <f t="shared" ref="LR339:LY339" si="2418">IF($F$290, 0, IF($H$298, IF(AND(COLUMN($LR$339)-COLUMN($LJ$335)=$Q$291,ROW($LR$339)-ROW($LJ$335)=$K$291), U$290, LR339), LR339))</f>
        <v>0</v>
      </c>
      <c r="LS339" s="21">
        <f t="shared" si="2418"/>
        <v>0</v>
      </c>
      <c r="LT339" s="21">
        <f t="shared" si="2418"/>
        <v>0</v>
      </c>
      <c r="LU339" s="21">
        <f t="shared" si="2418"/>
        <v>0</v>
      </c>
      <c r="LV339" s="21">
        <f t="shared" si="2418"/>
        <v>0</v>
      </c>
      <c r="LW339" s="21">
        <f t="shared" si="2418"/>
        <v>0</v>
      </c>
      <c r="LX339" s="21">
        <f t="shared" si="2418"/>
        <v>0</v>
      </c>
      <c r="LY339" s="21">
        <f t="shared" si="2418"/>
        <v>0</v>
      </c>
      <c r="LZ339" s="21">
        <f t="shared" ref="LZ339:MG339" si="2419">IF($F$290, 0, IF($H$298, IF(AND(COLUMN($LZ$339)-COLUMN($LJ$335)=$Q$291,ROW($LZ$339)-ROW($LJ$335)=$K$291), U$290, LZ339), LZ339))</f>
        <v>0</v>
      </c>
      <c r="MA339" s="21">
        <f t="shared" si="2419"/>
        <v>0</v>
      </c>
      <c r="MB339" s="21">
        <f t="shared" si="2419"/>
        <v>0</v>
      </c>
      <c r="MC339" s="21">
        <f t="shared" si="2419"/>
        <v>0</v>
      </c>
      <c r="MD339" s="21">
        <f t="shared" si="2419"/>
        <v>0</v>
      </c>
      <c r="ME339" s="21">
        <f t="shared" si="2419"/>
        <v>0</v>
      </c>
      <c r="MF339" s="21">
        <f t="shared" si="2419"/>
        <v>0</v>
      </c>
      <c r="MG339" s="21">
        <f t="shared" si="2419"/>
        <v>0</v>
      </c>
      <c r="MH339" s="21">
        <f t="shared" ref="MH339:MO339" si="2420">IF($F$290, 0, IF($H$298, IF(AND(COLUMN($MH$339)-COLUMN($LJ$335)=$Q$291,ROW($MH$339)-ROW($LJ$335)=$K$291), U$290, MH339), MH339))</f>
        <v>0</v>
      </c>
      <c r="MI339" s="21">
        <f t="shared" si="2420"/>
        <v>0</v>
      </c>
      <c r="MJ339" s="21">
        <f t="shared" si="2420"/>
        <v>0</v>
      </c>
      <c r="MK339" s="21">
        <f t="shared" si="2420"/>
        <v>0</v>
      </c>
      <c r="ML339" s="21">
        <f t="shared" si="2420"/>
        <v>0</v>
      </c>
      <c r="MM339" s="21">
        <f t="shared" si="2420"/>
        <v>0</v>
      </c>
      <c r="MN339" s="21">
        <f t="shared" si="2420"/>
        <v>0</v>
      </c>
      <c r="MO339" s="21">
        <f t="shared" si="2420"/>
        <v>0</v>
      </c>
      <c r="MP339" s="21">
        <f t="shared" ref="MP339:MW339" si="2421">IF($F$290, 0, IF($H$298, IF(AND(COLUMN($MP$339)-COLUMN($LJ$335)=$Q$291,ROW($MP$339)-ROW($LJ$335)=$K$291), U$290, MP339), MP339))</f>
        <v>0</v>
      </c>
      <c r="MQ339" s="21">
        <f t="shared" si="2421"/>
        <v>0</v>
      </c>
      <c r="MR339" s="21">
        <f t="shared" si="2421"/>
        <v>0</v>
      </c>
      <c r="MS339" s="21">
        <f t="shared" si="2421"/>
        <v>0</v>
      </c>
      <c r="MT339" s="21">
        <f t="shared" si="2421"/>
        <v>0</v>
      </c>
      <c r="MU339" s="21">
        <f t="shared" si="2421"/>
        <v>0</v>
      </c>
      <c r="MV339" s="21">
        <f t="shared" si="2421"/>
        <v>0</v>
      </c>
      <c r="MW339" s="21">
        <f t="shared" si="2421"/>
        <v>0</v>
      </c>
      <c r="MX339" s="21">
        <f t="shared" ref="MX339:NE339" si="2422">IF($F$290, 0, IF($H$298, IF(AND(COLUMN($MX$339)-COLUMN($LJ$335)=$Q$291,ROW($MX$339)-ROW($LJ$335)=$K$291), U$290, MX339), MX339))</f>
        <v>0</v>
      </c>
      <c r="MY339" s="21">
        <f t="shared" si="2422"/>
        <v>0</v>
      </c>
      <c r="MZ339" s="21">
        <f t="shared" si="2422"/>
        <v>0</v>
      </c>
      <c r="NA339" s="21">
        <f t="shared" si="2422"/>
        <v>0</v>
      </c>
      <c r="NB339" s="21">
        <f t="shared" si="2422"/>
        <v>0</v>
      </c>
      <c r="NC339" s="21">
        <f t="shared" si="2422"/>
        <v>0</v>
      </c>
      <c r="ND339" s="21">
        <f t="shared" si="2422"/>
        <v>0</v>
      </c>
      <c r="NE339" s="21">
        <f t="shared" si="2422"/>
        <v>0</v>
      </c>
      <c r="NF339" s="21">
        <f t="shared" ref="NF339:NM339" si="2423">IF($F$290, 0, IF($H$298, IF(AND(COLUMN($NF$339)-COLUMN($LJ$335)=$Q$291,ROW($NF$339)-ROW($LJ$335)=$K$291), U$290, NF339), NF339))</f>
        <v>0</v>
      </c>
      <c r="NG339" s="21">
        <f t="shared" si="2423"/>
        <v>0</v>
      </c>
      <c r="NH339" s="21">
        <f t="shared" si="2423"/>
        <v>0</v>
      </c>
      <c r="NI339" s="21">
        <f t="shared" si="2423"/>
        <v>0</v>
      </c>
      <c r="NJ339" s="21">
        <f t="shared" si="2423"/>
        <v>0</v>
      </c>
      <c r="NK339" s="21">
        <f t="shared" si="2423"/>
        <v>0</v>
      </c>
      <c r="NL339" s="21">
        <f t="shared" si="2423"/>
        <v>0</v>
      </c>
      <c r="NM339" s="21">
        <f t="shared" si="2423"/>
        <v>0</v>
      </c>
      <c r="NN339" s="21">
        <f t="shared" ref="NN339:NU339" si="2424">IF($F$290, 0, IF($H$298, IF(AND(COLUMN($NN$339)-COLUMN($LJ$335)=$Q$291,ROW($NN$339)-ROW($LJ$335)=$K$291), U$290, NN339), NN339))</f>
        <v>0</v>
      </c>
      <c r="NO339" s="21">
        <f t="shared" si="2424"/>
        <v>0</v>
      </c>
      <c r="NP339" s="21">
        <f t="shared" si="2424"/>
        <v>0</v>
      </c>
      <c r="NQ339" s="21">
        <f t="shared" si="2424"/>
        <v>0</v>
      </c>
      <c r="NR339" s="21">
        <f t="shared" si="2424"/>
        <v>0</v>
      </c>
      <c r="NS339" s="21">
        <f t="shared" si="2424"/>
        <v>0</v>
      </c>
      <c r="NT339" s="21">
        <f t="shared" si="2424"/>
        <v>0</v>
      </c>
      <c r="NU339" s="21">
        <f t="shared" si="2424"/>
        <v>0</v>
      </c>
      <c r="NV339" s="21">
        <f t="shared" ref="NV339:OC339" si="2425">IF($F$290, 0, IF($I$298, IF(AND(COLUMN($NV$339)-COLUMN($NV$335)=$Q$291,ROW($NV$339)-ROW($NV$335)=$K$291), U$290, NV339), NV339))</f>
        <v>0</v>
      </c>
      <c r="NW339" s="21">
        <f t="shared" si="2425"/>
        <v>0</v>
      </c>
      <c r="NX339" s="21">
        <f t="shared" si="2425"/>
        <v>0</v>
      </c>
      <c r="NY339" s="21">
        <f t="shared" si="2425"/>
        <v>0</v>
      </c>
      <c r="NZ339" s="21">
        <f t="shared" si="2425"/>
        <v>0</v>
      </c>
      <c r="OA339" s="21">
        <f t="shared" si="2425"/>
        <v>0</v>
      </c>
      <c r="OB339" s="21">
        <f t="shared" si="2425"/>
        <v>0</v>
      </c>
      <c r="OC339" s="21">
        <f t="shared" si="2425"/>
        <v>0</v>
      </c>
      <c r="OD339" s="21">
        <f t="shared" ref="OD339:OK339" si="2426">IF($F$290, 0, IF($I$298, IF(AND(COLUMN($OD$339)-COLUMN($NV$335)=$Q$291,ROW($OD$339)-ROW($NV$335)=$K$291), U$290, OD339), OD339))</f>
        <v>0</v>
      </c>
      <c r="OE339" s="21">
        <f t="shared" si="2426"/>
        <v>0</v>
      </c>
      <c r="OF339" s="21">
        <f t="shared" si="2426"/>
        <v>0</v>
      </c>
      <c r="OG339" s="21">
        <f t="shared" si="2426"/>
        <v>0</v>
      </c>
      <c r="OH339" s="21">
        <f t="shared" si="2426"/>
        <v>0</v>
      </c>
      <c r="OI339" s="21">
        <f t="shared" si="2426"/>
        <v>0</v>
      </c>
      <c r="OJ339" s="21">
        <f t="shared" si="2426"/>
        <v>0</v>
      </c>
      <c r="OK339" s="21">
        <f t="shared" si="2426"/>
        <v>0</v>
      </c>
      <c r="OL339" s="21">
        <f t="shared" ref="OL339:OS339" si="2427">IF($F$290, 0, IF($I$298, IF(AND(COLUMN($OL$339)-COLUMN($NV$335)=$Q$291,ROW($OL$339)-ROW($NV$335)=$K$291), U$290, OL339), OL339))</f>
        <v>0</v>
      </c>
      <c r="OM339" s="21">
        <f t="shared" si="2427"/>
        <v>0</v>
      </c>
      <c r="ON339" s="21">
        <f t="shared" si="2427"/>
        <v>0</v>
      </c>
      <c r="OO339" s="21">
        <f t="shared" si="2427"/>
        <v>0</v>
      </c>
      <c r="OP339" s="21">
        <f t="shared" si="2427"/>
        <v>0</v>
      </c>
      <c r="OQ339" s="21">
        <f t="shared" si="2427"/>
        <v>0</v>
      </c>
      <c r="OR339" s="21">
        <f t="shared" si="2427"/>
        <v>0</v>
      </c>
      <c r="OS339" s="21">
        <f t="shared" si="2427"/>
        <v>0</v>
      </c>
      <c r="OT339" s="21">
        <f t="shared" ref="OT339:PA339" si="2428">IF($F$290, 0, IF($I$298, IF(AND(COLUMN($OT$339)-COLUMN($NV$335)=$Q$291,ROW($OT$339)-ROW($NV$335)=$K$291), U$290, OT339), OT339))</f>
        <v>0</v>
      </c>
      <c r="OU339" s="21">
        <f t="shared" si="2428"/>
        <v>0</v>
      </c>
      <c r="OV339" s="21">
        <f t="shared" si="2428"/>
        <v>0</v>
      </c>
      <c r="OW339" s="21">
        <f t="shared" si="2428"/>
        <v>0</v>
      </c>
      <c r="OX339" s="21">
        <f t="shared" si="2428"/>
        <v>0</v>
      </c>
      <c r="OY339" s="21">
        <f t="shared" si="2428"/>
        <v>0</v>
      </c>
      <c r="OZ339" s="21">
        <f t="shared" si="2428"/>
        <v>0</v>
      </c>
      <c r="PA339" s="21">
        <f t="shared" si="2428"/>
        <v>0</v>
      </c>
      <c r="PB339" s="21">
        <f t="shared" ref="PB339:PI339" si="2429">IF($F$290, 0, IF($I$298, IF(AND(COLUMN($PB$339)-COLUMN($NV$335)=$Q$291,ROW($PB$339)-ROW($NV$335)=$K$291), U$290, PB339), PB339))</f>
        <v>0</v>
      </c>
      <c r="PC339" s="21">
        <f t="shared" si="2429"/>
        <v>0</v>
      </c>
      <c r="PD339" s="21">
        <f t="shared" si="2429"/>
        <v>0</v>
      </c>
      <c r="PE339" s="21">
        <f t="shared" si="2429"/>
        <v>0</v>
      </c>
      <c r="PF339" s="21">
        <f t="shared" si="2429"/>
        <v>0</v>
      </c>
      <c r="PG339" s="21">
        <f t="shared" si="2429"/>
        <v>0</v>
      </c>
      <c r="PH339" s="21">
        <f t="shared" si="2429"/>
        <v>0</v>
      </c>
      <c r="PI339" s="21">
        <f t="shared" si="2429"/>
        <v>0</v>
      </c>
      <c r="PJ339" s="21">
        <f t="shared" ref="PJ339:PQ339" si="2430">IF($F$290, 0, IF($I$298, IF(AND(COLUMN($PJ$339)-COLUMN($NV$335)=$Q$291,ROW($PJ$339)-ROW($NV$335)=$K$291), U$290, PJ339), PJ339))</f>
        <v>0</v>
      </c>
      <c r="PK339" s="21">
        <f t="shared" si="2430"/>
        <v>0</v>
      </c>
      <c r="PL339" s="21">
        <f t="shared" si="2430"/>
        <v>0</v>
      </c>
      <c r="PM339" s="21">
        <f t="shared" si="2430"/>
        <v>0</v>
      </c>
      <c r="PN339" s="21">
        <f t="shared" si="2430"/>
        <v>0</v>
      </c>
      <c r="PO339" s="21">
        <f t="shared" si="2430"/>
        <v>0</v>
      </c>
      <c r="PP339" s="21">
        <f t="shared" si="2430"/>
        <v>0</v>
      </c>
      <c r="PQ339" s="21">
        <f t="shared" si="2430"/>
        <v>0</v>
      </c>
      <c r="PR339" s="21">
        <f t="shared" ref="PR339:PY339" si="2431">IF($F$290, 0, IF($I$298, IF(AND(COLUMN($PR$339)-COLUMN($NV$335)=$Q$291,ROW($PR$339)-ROW($NV$335)=$K$291), U$290, PR339), PR339))</f>
        <v>0</v>
      </c>
      <c r="PS339" s="21">
        <f t="shared" si="2431"/>
        <v>0</v>
      </c>
      <c r="PT339" s="21">
        <f t="shared" si="2431"/>
        <v>0</v>
      </c>
      <c r="PU339" s="21">
        <f t="shared" si="2431"/>
        <v>0</v>
      </c>
      <c r="PV339" s="21">
        <f t="shared" si="2431"/>
        <v>0</v>
      </c>
      <c r="PW339" s="21">
        <f t="shared" si="2431"/>
        <v>0</v>
      </c>
      <c r="PX339" s="21">
        <f t="shared" si="2431"/>
        <v>0</v>
      </c>
      <c r="PY339" s="21">
        <f t="shared" si="2431"/>
        <v>0</v>
      </c>
      <c r="PZ339" s="21">
        <f t="shared" ref="PZ339:QG339" si="2432">IF($F$290, 0, IF($I$298, IF(AND(COLUMN($PZ$339)-COLUMN($NV$335)=$Q$291,ROW($PZ$339)-ROW($NV$335)=$K$291), U$290, PZ339), PZ339))</f>
        <v>0</v>
      </c>
      <c r="QA339" s="21">
        <f t="shared" si="2432"/>
        <v>0</v>
      </c>
      <c r="QB339" s="21">
        <f t="shared" si="2432"/>
        <v>0</v>
      </c>
      <c r="QC339" s="21">
        <f t="shared" si="2432"/>
        <v>0</v>
      </c>
      <c r="QD339" s="21">
        <f t="shared" si="2432"/>
        <v>0</v>
      </c>
      <c r="QE339" s="21">
        <f t="shared" si="2432"/>
        <v>0</v>
      </c>
      <c r="QF339" s="21">
        <f t="shared" si="2432"/>
        <v>0</v>
      </c>
      <c r="QG339" s="21">
        <f t="shared" si="2432"/>
        <v>0</v>
      </c>
      <c r="QH339" s="21">
        <f t="shared" ref="QH339:QO339" si="2433">IF($F$290, 0, IF($J$298, IF(AND(COLUMN($QH$339)-COLUMN($QH$335)=$Q$291,ROW($QH$339)-ROW($QH$335)=$K$291), U$290, QH339), QH339))</f>
        <v>0</v>
      </c>
      <c r="QI339" s="21">
        <f t="shared" si="2433"/>
        <v>0</v>
      </c>
      <c r="QJ339" s="21">
        <f t="shared" si="2433"/>
        <v>0</v>
      </c>
      <c r="QK339" s="21">
        <f t="shared" si="2433"/>
        <v>0</v>
      </c>
      <c r="QL339" s="21">
        <f t="shared" si="2433"/>
        <v>0</v>
      </c>
      <c r="QM339" s="21">
        <f t="shared" si="2433"/>
        <v>0</v>
      </c>
      <c r="QN339" s="21">
        <f t="shared" si="2433"/>
        <v>0</v>
      </c>
      <c r="QO339" s="21">
        <f t="shared" si="2433"/>
        <v>0</v>
      </c>
      <c r="QP339" s="21">
        <f t="shared" ref="QP339:QW339" si="2434">IF($F$290, 0, IF($J$298, IF(AND(COLUMN($QP$339)-COLUMN($QH$335)=$Q$291,ROW($QP$339)-ROW($QH$335)=$K$291), U$290, QP339), QP339))</f>
        <v>0</v>
      </c>
      <c r="QQ339" s="21">
        <f t="shared" si="2434"/>
        <v>0</v>
      </c>
      <c r="QR339" s="21">
        <f t="shared" si="2434"/>
        <v>0</v>
      </c>
      <c r="QS339" s="21">
        <f t="shared" si="2434"/>
        <v>0</v>
      </c>
      <c r="QT339" s="21">
        <f t="shared" si="2434"/>
        <v>0</v>
      </c>
      <c r="QU339" s="21">
        <f t="shared" si="2434"/>
        <v>0</v>
      </c>
      <c r="QV339" s="21">
        <f t="shared" si="2434"/>
        <v>0</v>
      </c>
      <c r="QW339" s="21">
        <f t="shared" si="2434"/>
        <v>0</v>
      </c>
      <c r="QX339" s="21">
        <f t="shared" ref="QX339:RE339" si="2435">IF($F$290, 0, IF($J$298, IF(AND(COLUMN($QX$339)-COLUMN($QH$335)=$Q$291,ROW($QX$339)-ROW($QH$335)=$K$291), U$290, QX339), QX339))</f>
        <v>0</v>
      </c>
      <c r="QY339" s="21">
        <f t="shared" si="2435"/>
        <v>0</v>
      </c>
      <c r="QZ339" s="21">
        <f t="shared" si="2435"/>
        <v>0</v>
      </c>
      <c r="RA339" s="21">
        <f t="shared" si="2435"/>
        <v>0</v>
      </c>
      <c r="RB339" s="21">
        <f t="shared" si="2435"/>
        <v>0</v>
      </c>
      <c r="RC339" s="21">
        <f t="shared" si="2435"/>
        <v>0</v>
      </c>
      <c r="RD339" s="21">
        <f t="shared" si="2435"/>
        <v>0</v>
      </c>
      <c r="RE339" s="21">
        <f t="shared" si="2435"/>
        <v>0</v>
      </c>
      <c r="RF339" s="21">
        <f t="shared" ref="RF339:RM339" si="2436">IF($F$290, 0, IF($J$298, IF(AND(COLUMN($RF$339)-COLUMN($QH$335)=$Q$291,ROW($RF$339)-ROW($QH$335)=$K$291), U$290, RF339), RF339))</f>
        <v>0</v>
      </c>
      <c r="RG339" s="21">
        <f t="shared" si="2436"/>
        <v>0</v>
      </c>
      <c r="RH339" s="21">
        <f t="shared" si="2436"/>
        <v>0</v>
      </c>
      <c r="RI339" s="21">
        <f t="shared" si="2436"/>
        <v>0</v>
      </c>
      <c r="RJ339" s="21">
        <f t="shared" si="2436"/>
        <v>0</v>
      </c>
      <c r="RK339" s="21">
        <f t="shared" si="2436"/>
        <v>0</v>
      </c>
      <c r="RL339" s="21">
        <f t="shared" si="2436"/>
        <v>0</v>
      </c>
      <c r="RM339" s="21">
        <f t="shared" si="2436"/>
        <v>0</v>
      </c>
      <c r="RN339" s="21">
        <f t="shared" ref="RN339:RU339" si="2437">IF($F$290, 0, IF($J$298, IF(AND(COLUMN($RN$339)-COLUMN($QH$335)=$Q$291,ROW($RN$339)-ROW($QH$335)=$K$291), U$290, RN339), RN339))</f>
        <v>0</v>
      </c>
      <c r="RO339" s="21">
        <f t="shared" si="2437"/>
        <v>0</v>
      </c>
      <c r="RP339" s="21">
        <f t="shared" si="2437"/>
        <v>0</v>
      </c>
      <c r="RQ339" s="21">
        <f t="shared" si="2437"/>
        <v>0</v>
      </c>
      <c r="RR339" s="21">
        <f t="shared" si="2437"/>
        <v>0</v>
      </c>
      <c r="RS339" s="21">
        <f t="shared" si="2437"/>
        <v>0</v>
      </c>
      <c r="RT339" s="21">
        <f t="shared" si="2437"/>
        <v>0</v>
      </c>
      <c r="RU339" s="21">
        <f t="shared" si="2437"/>
        <v>0</v>
      </c>
      <c r="RV339" s="21">
        <f t="shared" ref="RV339:SC339" si="2438">IF($F$290, 0, IF($J$298, IF(AND(COLUMN($RV$339)-COLUMN($QH$335)=$Q$291,ROW($RV$339)-ROW($QH$335)=$K$291), U$290, RV339), RV339))</f>
        <v>0</v>
      </c>
      <c r="RW339" s="21">
        <f t="shared" si="2438"/>
        <v>0</v>
      </c>
      <c r="RX339" s="21">
        <f t="shared" si="2438"/>
        <v>0</v>
      </c>
      <c r="RY339" s="21">
        <f t="shared" si="2438"/>
        <v>0</v>
      </c>
      <c r="RZ339" s="21">
        <f t="shared" si="2438"/>
        <v>0</v>
      </c>
      <c r="SA339" s="21">
        <f t="shared" si="2438"/>
        <v>0</v>
      </c>
      <c r="SB339" s="21">
        <f t="shared" si="2438"/>
        <v>0</v>
      </c>
      <c r="SC339" s="21">
        <f t="shared" si="2438"/>
        <v>0</v>
      </c>
      <c r="SD339" s="21">
        <f t="shared" ref="SD339:SK339" si="2439">IF($F$290, 0, IF($J$298, IF(AND(COLUMN($SD$339)-COLUMN($QH$335)=$Q$291,ROW($SD$339)-ROW($QH$335)=$K$291), U$290, SD339), SD339))</f>
        <v>0</v>
      </c>
      <c r="SE339" s="21">
        <f t="shared" si="2439"/>
        <v>0</v>
      </c>
      <c r="SF339" s="21">
        <f t="shared" si="2439"/>
        <v>0</v>
      </c>
      <c r="SG339" s="21">
        <f t="shared" si="2439"/>
        <v>0</v>
      </c>
      <c r="SH339" s="21">
        <f t="shared" si="2439"/>
        <v>0</v>
      </c>
      <c r="SI339" s="21">
        <f t="shared" si="2439"/>
        <v>0</v>
      </c>
      <c r="SJ339" s="21">
        <f t="shared" si="2439"/>
        <v>0</v>
      </c>
      <c r="SK339" s="21">
        <f t="shared" si="2439"/>
        <v>0</v>
      </c>
      <c r="SL339" s="21">
        <f t="shared" ref="SL339:SS339" si="2440">IF($F$290, 0, IF($J$298, IF(AND(COLUMN($SL$339)-COLUMN($QH$335)=$Q$291,ROW($SL$339)-ROW($QH$335)=$K$291), U$290, SL339), SL339))</f>
        <v>0</v>
      </c>
      <c r="SM339" s="21">
        <f t="shared" si="2440"/>
        <v>0</v>
      </c>
      <c r="SN339" s="21">
        <f t="shared" si="2440"/>
        <v>0</v>
      </c>
      <c r="SO339" s="21">
        <f t="shared" si="2440"/>
        <v>0</v>
      </c>
      <c r="SP339" s="21">
        <f t="shared" si="2440"/>
        <v>0</v>
      </c>
      <c r="SQ339" s="21">
        <f t="shared" si="2440"/>
        <v>0</v>
      </c>
      <c r="SR339" s="21">
        <f t="shared" si="2440"/>
        <v>0</v>
      </c>
      <c r="SS339" s="21">
        <f t="shared" si="2440"/>
        <v>0</v>
      </c>
    </row>
    <row r="340" spans="2:513" ht="15" customHeight="1" x14ac:dyDescent="0.25">
      <c r="B340" s="21">
        <f t="shared" ref="B340:I340" si="2441">IF($F$290, 0, IF($C$298, IF(AND(COLUMN($B$340)-COLUMN($B$335)=$Q$291,ROW($B$340)-ROW($B$335)=$K$291), U$290, B340), B340))</f>
        <v>0</v>
      </c>
      <c r="C340" s="21">
        <f t="shared" si="2441"/>
        <v>0</v>
      </c>
      <c r="D340" s="21">
        <f t="shared" si="2441"/>
        <v>0</v>
      </c>
      <c r="E340" s="21">
        <f t="shared" si="2441"/>
        <v>0</v>
      </c>
      <c r="F340" s="21">
        <f t="shared" si="2441"/>
        <v>0</v>
      </c>
      <c r="G340" s="21">
        <f t="shared" si="2441"/>
        <v>0</v>
      </c>
      <c r="H340" s="21">
        <f t="shared" si="2441"/>
        <v>0</v>
      </c>
      <c r="I340" s="21">
        <f t="shared" si="2441"/>
        <v>0</v>
      </c>
      <c r="J340" s="21">
        <f t="shared" ref="J340:Q340" si="2442">IF($F$290, 0, IF($C$298, IF(AND(COLUMN($J$340)-COLUMN($B$335)=$Q$291,ROW($J$340)-ROW($B$335)=$K$291), U$290, J340), J340))</f>
        <v>0</v>
      </c>
      <c r="K340" s="21">
        <f t="shared" si="2442"/>
        <v>0</v>
      </c>
      <c r="L340" s="21">
        <f t="shared" si="2442"/>
        <v>0</v>
      </c>
      <c r="M340" s="21">
        <f t="shared" si="2442"/>
        <v>0</v>
      </c>
      <c r="N340" s="21">
        <f t="shared" si="2442"/>
        <v>0</v>
      </c>
      <c r="O340" s="21">
        <f t="shared" si="2442"/>
        <v>0</v>
      </c>
      <c r="P340" s="21">
        <f t="shared" si="2442"/>
        <v>0</v>
      </c>
      <c r="Q340" s="21">
        <f t="shared" si="2442"/>
        <v>0</v>
      </c>
      <c r="R340" s="21">
        <f>IF($F$290, 0, IF($C$298, IF(AND(COLUMN($R$340)-COLUMN($B$335)=$Q$291,ROW($R$340)-ROW($B$335)=$K$291), U$290, R340), R340))</f>
        <v>0</v>
      </c>
      <c r="S340" s="21">
        <f t="shared" ref="S340:Y340" si="2443">IF($F$290, 0, IF($C$298, IF(AND(COLUMN($R$340)-COLUMN($B$335)=$Q$291,ROW($R$340)-ROW($B$335)=$K$291), V$290, S340), S340))</f>
        <v>0</v>
      </c>
      <c r="T340" s="21">
        <f t="shared" si="2443"/>
        <v>0</v>
      </c>
      <c r="U340" s="21">
        <f t="shared" si="2443"/>
        <v>0</v>
      </c>
      <c r="V340" s="21">
        <f t="shared" si="2443"/>
        <v>0</v>
      </c>
      <c r="W340" s="21">
        <f t="shared" si="2443"/>
        <v>0</v>
      </c>
      <c r="X340" s="21">
        <f t="shared" si="2443"/>
        <v>0</v>
      </c>
      <c r="Y340" s="21">
        <f t="shared" si="2443"/>
        <v>0</v>
      </c>
      <c r="Z340" s="21">
        <f t="shared" ref="Z340:AG340" si="2444">IF($F$290, 0, IF($C$298, IF(AND(COLUMN($Z$340)-COLUMN($B$335)=$Q$291,ROW($Z$340)-ROW($B$335)=$K$291), U$290, Z340), Z340))</f>
        <v>0</v>
      </c>
      <c r="AA340" s="21">
        <f t="shared" si="2444"/>
        <v>0</v>
      </c>
      <c r="AB340" s="21">
        <f t="shared" si="2444"/>
        <v>0</v>
      </c>
      <c r="AC340" s="21">
        <f t="shared" si="2444"/>
        <v>0</v>
      </c>
      <c r="AD340" s="21">
        <f t="shared" si="2444"/>
        <v>0</v>
      </c>
      <c r="AE340" s="21">
        <f t="shared" si="2444"/>
        <v>0</v>
      </c>
      <c r="AF340" s="21">
        <f t="shared" si="2444"/>
        <v>0</v>
      </c>
      <c r="AG340" s="21">
        <f t="shared" si="2444"/>
        <v>0</v>
      </c>
      <c r="AH340" s="21">
        <f t="shared" ref="AH340:AO340" si="2445">IF($F$290, 0, IF($C$298, IF(AND(COLUMN($AH$340)-COLUMN($B$335)=$Q$291,ROW($AH$340)-ROW($B$335)=$K$291), U$290, AH340), AH340))</f>
        <v>0</v>
      </c>
      <c r="AI340" s="21">
        <f t="shared" si="2445"/>
        <v>0</v>
      </c>
      <c r="AJ340" s="21">
        <f t="shared" si="2445"/>
        <v>0</v>
      </c>
      <c r="AK340" s="21">
        <f t="shared" si="2445"/>
        <v>0</v>
      </c>
      <c r="AL340" s="21">
        <f t="shared" si="2445"/>
        <v>0</v>
      </c>
      <c r="AM340" s="21">
        <f t="shared" si="2445"/>
        <v>0</v>
      </c>
      <c r="AN340" s="21">
        <f t="shared" si="2445"/>
        <v>0</v>
      </c>
      <c r="AO340" s="21">
        <f t="shared" si="2445"/>
        <v>0</v>
      </c>
      <c r="AP340" s="21">
        <f t="shared" ref="AP340:AW340" si="2446">IF($F$290, 0, IF($C$298, IF(AND(COLUMN($AP$340)-COLUMN($B$335)=$Q$291,ROW($AP$340)-ROW($B$335)=$K$291), U$290, AP340), AP340))</f>
        <v>0</v>
      </c>
      <c r="AQ340" s="21">
        <f t="shared" si="2446"/>
        <v>0</v>
      </c>
      <c r="AR340" s="21">
        <f t="shared" si="2446"/>
        <v>0</v>
      </c>
      <c r="AS340" s="21">
        <f t="shared" si="2446"/>
        <v>0</v>
      </c>
      <c r="AT340" s="21">
        <f t="shared" si="2446"/>
        <v>0</v>
      </c>
      <c r="AU340" s="21">
        <f t="shared" si="2446"/>
        <v>0</v>
      </c>
      <c r="AV340" s="21">
        <f t="shared" si="2446"/>
        <v>0</v>
      </c>
      <c r="AW340" s="21">
        <f t="shared" si="2446"/>
        <v>0</v>
      </c>
      <c r="AX340" s="21">
        <f t="shared" ref="AX340:BE340" si="2447">IF($F$290, 0, IF($C$298, IF(AND(COLUMN($AX$340)-COLUMN($B$335)=$Q$291,ROW($AX$340)-ROW($B$335)=$K$291), U$290, AX340), AX340))</f>
        <v>0</v>
      </c>
      <c r="AY340" s="21">
        <f t="shared" si="2447"/>
        <v>0</v>
      </c>
      <c r="AZ340" s="21">
        <f t="shared" si="2447"/>
        <v>0</v>
      </c>
      <c r="BA340" s="21">
        <f t="shared" si="2447"/>
        <v>0</v>
      </c>
      <c r="BB340" s="21">
        <f t="shared" si="2447"/>
        <v>0</v>
      </c>
      <c r="BC340" s="21">
        <f t="shared" si="2447"/>
        <v>0</v>
      </c>
      <c r="BD340" s="21">
        <f t="shared" si="2447"/>
        <v>0</v>
      </c>
      <c r="BE340" s="21">
        <f t="shared" si="2447"/>
        <v>0</v>
      </c>
      <c r="BF340" s="21">
        <f t="shared" ref="BF340:BM340" si="2448">IF($F$290, 0, IF($C$298, IF(AND(COLUMN($BF$340)-COLUMN($B$335)=$Q$291,ROW($BF$340)-ROW($B$335)=$K$291), U$290, BF340), BF340))</f>
        <v>0</v>
      </c>
      <c r="BG340" s="21">
        <f t="shared" si="2448"/>
        <v>0</v>
      </c>
      <c r="BH340" s="21">
        <f t="shared" si="2448"/>
        <v>0</v>
      </c>
      <c r="BI340" s="21">
        <f t="shared" si="2448"/>
        <v>0</v>
      </c>
      <c r="BJ340" s="21">
        <f t="shared" si="2448"/>
        <v>0</v>
      </c>
      <c r="BK340" s="21">
        <f t="shared" si="2448"/>
        <v>0</v>
      </c>
      <c r="BL340" s="21">
        <f t="shared" si="2448"/>
        <v>0</v>
      </c>
      <c r="BM340" s="21">
        <f t="shared" si="2448"/>
        <v>0</v>
      </c>
      <c r="BN340" s="21">
        <f t="shared" ref="BN340:BU340" si="2449">IF($F$290, 0, IF($D$298, IF(AND(COLUMN($BN$340)-COLUMN($BN$335)=$Q$291,ROW($BN$340)-ROW($BN$335)=$K$291), U$290, BN340), BN340))</f>
        <v>0</v>
      </c>
      <c r="BO340" s="21">
        <f t="shared" si="2449"/>
        <v>0</v>
      </c>
      <c r="BP340" s="21">
        <f t="shared" si="2449"/>
        <v>0</v>
      </c>
      <c r="BQ340" s="21">
        <f t="shared" si="2449"/>
        <v>0</v>
      </c>
      <c r="BR340" s="21">
        <f t="shared" si="2449"/>
        <v>0</v>
      </c>
      <c r="BS340" s="21">
        <f t="shared" si="2449"/>
        <v>0</v>
      </c>
      <c r="BT340" s="21">
        <f t="shared" si="2449"/>
        <v>0</v>
      </c>
      <c r="BU340" s="21">
        <f t="shared" si="2449"/>
        <v>0</v>
      </c>
      <c r="BV340" s="21">
        <f t="shared" ref="BV340:CC340" si="2450">IF($F$290, 0, IF($D$298, IF(AND(COLUMN($BV$340)-COLUMN($BN$335)=$Q$291,ROW($BV$340)-ROW($BN$335)=$K$291), U$290, BV340), BV340))</f>
        <v>0</v>
      </c>
      <c r="BW340" s="21">
        <f t="shared" si="2450"/>
        <v>0</v>
      </c>
      <c r="BX340" s="21">
        <f t="shared" si="2450"/>
        <v>0</v>
      </c>
      <c r="BY340" s="21">
        <f t="shared" si="2450"/>
        <v>0</v>
      </c>
      <c r="BZ340" s="21">
        <f t="shared" si="2450"/>
        <v>0</v>
      </c>
      <c r="CA340" s="21">
        <f t="shared" si="2450"/>
        <v>0</v>
      </c>
      <c r="CB340" s="21">
        <f t="shared" si="2450"/>
        <v>0</v>
      </c>
      <c r="CC340" s="21">
        <f t="shared" si="2450"/>
        <v>0</v>
      </c>
      <c r="CD340" s="21">
        <f t="shared" ref="CD340:CK340" si="2451">IF($F$290, 0, IF($D$298, IF(AND(COLUMN($CD$340)-COLUMN($BN$335)=$Q$291,ROW($CD$340)-ROW($BN$335)=$K$291), U$290, CD340), CD340))</f>
        <v>0</v>
      </c>
      <c r="CE340" s="21">
        <f t="shared" si="2451"/>
        <v>0</v>
      </c>
      <c r="CF340" s="21">
        <f t="shared" si="2451"/>
        <v>0</v>
      </c>
      <c r="CG340" s="21">
        <f t="shared" si="2451"/>
        <v>0</v>
      </c>
      <c r="CH340" s="21">
        <f t="shared" si="2451"/>
        <v>0</v>
      </c>
      <c r="CI340" s="21">
        <f t="shared" si="2451"/>
        <v>0</v>
      </c>
      <c r="CJ340" s="21">
        <f t="shared" si="2451"/>
        <v>0</v>
      </c>
      <c r="CK340" s="21">
        <f t="shared" si="2451"/>
        <v>0</v>
      </c>
      <c r="CL340" s="21">
        <f t="shared" ref="CL340:CS340" si="2452">IF($F$290, 0, IF($D$298, IF(AND(COLUMN($CL$340)-COLUMN($BN$335)=$Q$291,ROW($CL$340)-ROW($BN$335)=$K$291), U$290, CL340), CL340))</f>
        <v>0</v>
      </c>
      <c r="CM340" s="21">
        <f t="shared" si="2452"/>
        <v>0</v>
      </c>
      <c r="CN340" s="21">
        <f t="shared" si="2452"/>
        <v>0</v>
      </c>
      <c r="CO340" s="21">
        <f t="shared" si="2452"/>
        <v>0</v>
      </c>
      <c r="CP340" s="21">
        <f t="shared" si="2452"/>
        <v>0</v>
      </c>
      <c r="CQ340" s="21">
        <f t="shared" si="2452"/>
        <v>0</v>
      </c>
      <c r="CR340" s="21">
        <f t="shared" si="2452"/>
        <v>0</v>
      </c>
      <c r="CS340" s="21">
        <f t="shared" si="2452"/>
        <v>0</v>
      </c>
      <c r="CT340" s="21">
        <f t="shared" ref="CT340:DA340" si="2453">IF($F$290, 0, IF($D$298, IF(AND(COLUMN($CT$340)-COLUMN($BN$335)=$Q$291,ROW($CT$340)-ROW($BN$335)=$K$291), U$290, CT340), CT340))</f>
        <v>0</v>
      </c>
      <c r="CU340" s="21">
        <f t="shared" si="2453"/>
        <v>0</v>
      </c>
      <c r="CV340" s="21">
        <f t="shared" si="2453"/>
        <v>0</v>
      </c>
      <c r="CW340" s="21">
        <f t="shared" si="2453"/>
        <v>0</v>
      </c>
      <c r="CX340" s="21">
        <f t="shared" si="2453"/>
        <v>0</v>
      </c>
      <c r="CY340" s="21">
        <f t="shared" si="2453"/>
        <v>0</v>
      </c>
      <c r="CZ340" s="21">
        <f t="shared" si="2453"/>
        <v>0</v>
      </c>
      <c r="DA340" s="21">
        <f t="shared" si="2453"/>
        <v>0</v>
      </c>
      <c r="DB340" s="21">
        <f t="shared" ref="DB340:DI340" si="2454">IF($F$290, 0, IF($D$298, IF(AND(COLUMN($DB$340)-COLUMN($BN$335)=$Q$291,ROW($DB$340)-ROW($BN$335)=$K$291), U$290, DB340), DB340))</f>
        <v>0</v>
      </c>
      <c r="DC340" s="21">
        <f t="shared" si="2454"/>
        <v>0</v>
      </c>
      <c r="DD340" s="21">
        <f t="shared" si="2454"/>
        <v>0</v>
      </c>
      <c r="DE340" s="21">
        <f t="shared" si="2454"/>
        <v>0</v>
      </c>
      <c r="DF340" s="21">
        <f t="shared" si="2454"/>
        <v>0</v>
      </c>
      <c r="DG340" s="21">
        <f t="shared" si="2454"/>
        <v>0</v>
      </c>
      <c r="DH340" s="21">
        <f t="shared" si="2454"/>
        <v>0</v>
      </c>
      <c r="DI340" s="21">
        <f t="shared" si="2454"/>
        <v>0</v>
      </c>
      <c r="DJ340" s="21">
        <f t="shared" ref="DJ340:DQ340" si="2455">IF($F$290, 0, IF($D$298, IF(AND(COLUMN($DJ$340)-COLUMN($BN$335)=$Q$291,ROW($DJ$340)-ROW($BN$335)=$K$291), U$290, DJ340), DJ340))</f>
        <v>0</v>
      </c>
      <c r="DK340" s="21">
        <f t="shared" si="2455"/>
        <v>0</v>
      </c>
      <c r="DL340" s="21">
        <f t="shared" si="2455"/>
        <v>0</v>
      </c>
      <c r="DM340" s="21">
        <f t="shared" si="2455"/>
        <v>0</v>
      </c>
      <c r="DN340" s="21">
        <f t="shared" si="2455"/>
        <v>0</v>
      </c>
      <c r="DO340" s="21">
        <f t="shared" si="2455"/>
        <v>0</v>
      </c>
      <c r="DP340" s="21">
        <f t="shared" si="2455"/>
        <v>0</v>
      </c>
      <c r="DQ340" s="21">
        <f t="shared" si="2455"/>
        <v>0</v>
      </c>
      <c r="DR340" s="21">
        <f t="shared" ref="DR340:DY340" si="2456">IF($F$290, 0, IF($D$298, IF(AND(COLUMN($DR$340)-COLUMN($BN$335)=$Q$291,ROW($DR$340)-ROW($BN$335)=$K$291), U$290, DR340), DR340))</f>
        <v>0</v>
      </c>
      <c r="DS340" s="21">
        <f t="shared" si="2456"/>
        <v>0</v>
      </c>
      <c r="DT340" s="21">
        <f t="shared" si="2456"/>
        <v>0</v>
      </c>
      <c r="DU340" s="21">
        <f t="shared" si="2456"/>
        <v>0</v>
      </c>
      <c r="DV340" s="21">
        <f t="shared" si="2456"/>
        <v>0</v>
      </c>
      <c r="DW340" s="21">
        <f t="shared" si="2456"/>
        <v>0</v>
      </c>
      <c r="DX340" s="21">
        <f t="shared" si="2456"/>
        <v>0</v>
      </c>
      <c r="DY340" s="21">
        <f t="shared" si="2456"/>
        <v>0</v>
      </c>
      <c r="DZ340" s="21">
        <f t="shared" ref="DZ340:EG340" si="2457">IF($F$290, 0, IF($E$298, IF(AND(COLUMN($DZ$340)-COLUMN($DZ$335)=$Q$291,ROW($DZ$340)-ROW($DZ$335)=$K$291), U$290, DZ340), DZ340))</f>
        <v>0</v>
      </c>
      <c r="EA340" s="21">
        <f t="shared" si="2457"/>
        <v>0</v>
      </c>
      <c r="EB340" s="21">
        <f t="shared" si="2457"/>
        <v>0</v>
      </c>
      <c r="EC340" s="21">
        <f t="shared" si="2457"/>
        <v>0</v>
      </c>
      <c r="ED340" s="21">
        <f t="shared" si="2457"/>
        <v>0</v>
      </c>
      <c r="EE340" s="21">
        <f t="shared" si="2457"/>
        <v>0</v>
      </c>
      <c r="EF340" s="21">
        <f t="shared" si="2457"/>
        <v>0</v>
      </c>
      <c r="EG340" s="21">
        <f t="shared" si="2457"/>
        <v>0</v>
      </c>
      <c r="EH340" s="21">
        <f t="shared" ref="EH340:EO340" si="2458">IF($F$290, 0, IF($E$298, IF(AND(COLUMN($EH$340)-COLUMN($DZ$335)=$Q$291,ROW($EH$340)-ROW($DZ$335)=$K$291), U$290, EH340), EH340))</f>
        <v>0</v>
      </c>
      <c r="EI340" s="21">
        <f t="shared" si="2458"/>
        <v>0</v>
      </c>
      <c r="EJ340" s="21">
        <f t="shared" si="2458"/>
        <v>0</v>
      </c>
      <c r="EK340" s="21">
        <f t="shared" si="2458"/>
        <v>0</v>
      </c>
      <c r="EL340" s="21">
        <f t="shared" si="2458"/>
        <v>0</v>
      </c>
      <c r="EM340" s="21">
        <f t="shared" si="2458"/>
        <v>0</v>
      </c>
      <c r="EN340" s="21">
        <f t="shared" si="2458"/>
        <v>0</v>
      </c>
      <c r="EO340" s="21">
        <f t="shared" si="2458"/>
        <v>0</v>
      </c>
      <c r="EP340" s="21">
        <f t="shared" ref="EP340:EW340" si="2459">IF($F$290, 0, IF($E$298, IF(AND(COLUMN($EP$340)-COLUMN($DZ$335)=$Q$291,ROW($EP$340)-ROW($DZ$335)=$K$291), U$290, EP340), EP340))</f>
        <v>0</v>
      </c>
      <c r="EQ340" s="21">
        <f t="shared" si="2459"/>
        <v>0</v>
      </c>
      <c r="ER340" s="21">
        <f t="shared" si="2459"/>
        <v>0</v>
      </c>
      <c r="ES340" s="21">
        <f t="shared" si="2459"/>
        <v>0</v>
      </c>
      <c r="ET340" s="21">
        <f t="shared" si="2459"/>
        <v>0</v>
      </c>
      <c r="EU340" s="21">
        <f t="shared" si="2459"/>
        <v>0</v>
      </c>
      <c r="EV340" s="21">
        <f t="shared" si="2459"/>
        <v>0</v>
      </c>
      <c r="EW340" s="21">
        <f t="shared" si="2459"/>
        <v>0</v>
      </c>
      <c r="EX340" s="21">
        <f t="shared" ref="EX340:FE340" si="2460">IF($F$290, 0, IF($E$298, IF(AND(COLUMN($EX$340)-COLUMN($DZ$335)=$Q$291,ROW($EX$340)-ROW($DZ$335)=$K$291), U$290, EX340), EX340))</f>
        <v>0</v>
      </c>
      <c r="EY340" s="21">
        <f t="shared" si="2460"/>
        <v>0</v>
      </c>
      <c r="EZ340" s="21">
        <f t="shared" si="2460"/>
        <v>0</v>
      </c>
      <c r="FA340" s="21">
        <f t="shared" si="2460"/>
        <v>0</v>
      </c>
      <c r="FB340" s="21">
        <f t="shared" si="2460"/>
        <v>0</v>
      </c>
      <c r="FC340" s="21">
        <f t="shared" si="2460"/>
        <v>0</v>
      </c>
      <c r="FD340" s="21">
        <f t="shared" si="2460"/>
        <v>0</v>
      </c>
      <c r="FE340" s="21">
        <f t="shared" si="2460"/>
        <v>0</v>
      </c>
      <c r="FF340" s="21">
        <f t="shared" ref="FF340:FM340" si="2461">IF($F$290, 0, IF($E$298, IF(AND(COLUMN($FF$340)-COLUMN($DZ$335)=$Q$291,ROW($FF$340)-ROW($DZ$335)=$K$291), U$290, FF340), FF340))</f>
        <v>0</v>
      </c>
      <c r="FG340" s="21">
        <f t="shared" si="2461"/>
        <v>0</v>
      </c>
      <c r="FH340" s="21">
        <f t="shared" si="2461"/>
        <v>0</v>
      </c>
      <c r="FI340" s="21">
        <f t="shared" si="2461"/>
        <v>0</v>
      </c>
      <c r="FJ340" s="21">
        <f t="shared" si="2461"/>
        <v>0</v>
      </c>
      <c r="FK340" s="21">
        <f t="shared" si="2461"/>
        <v>0</v>
      </c>
      <c r="FL340" s="21">
        <f t="shared" si="2461"/>
        <v>0</v>
      </c>
      <c r="FM340" s="21">
        <f t="shared" si="2461"/>
        <v>0</v>
      </c>
      <c r="FN340" s="21">
        <f t="shared" ref="FN340:FU340" si="2462">IF($F$290, 0, IF($E$298, IF(AND(COLUMN($FN$340)-COLUMN($DZ$335)=$Q$291,ROW($FN$340)-ROW($DZ$335)=$K$291), U$290, FN340), FN340))</f>
        <v>0</v>
      </c>
      <c r="FO340" s="21">
        <f t="shared" si="2462"/>
        <v>0</v>
      </c>
      <c r="FP340" s="21">
        <f t="shared" si="2462"/>
        <v>0</v>
      </c>
      <c r="FQ340" s="21">
        <f t="shared" si="2462"/>
        <v>0</v>
      </c>
      <c r="FR340" s="21">
        <f t="shared" si="2462"/>
        <v>0</v>
      </c>
      <c r="FS340" s="21">
        <f t="shared" si="2462"/>
        <v>0</v>
      </c>
      <c r="FT340" s="21">
        <f t="shared" si="2462"/>
        <v>0</v>
      </c>
      <c r="FU340" s="21">
        <f t="shared" si="2462"/>
        <v>0</v>
      </c>
      <c r="FV340" s="21">
        <f t="shared" ref="FV340:GC340" si="2463">IF($F$290, 0, IF($E$298, IF(AND(COLUMN($FV$340)-COLUMN($DZ$335)=$Q$291,ROW($FV$340)-ROW($DZ$335)=$K$291), U$290, FV340), FV340))</f>
        <v>0</v>
      </c>
      <c r="FW340" s="21">
        <f t="shared" si="2463"/>
        <v>0</v>
      </c>
      <c r="FX340" s="21">
        <f t="shared" si="2463"/>
        <v>0</v>
      </c>
      <c r="FY340" s="21">
        <f t="shared" si="2463"/>
        <v>0</v>
      </c>
      <c r="FZ340" s="21">
        <f t="shared" si="2463"/>
        <v>0</v>
      </c>
      <c r="GA340" s="21">
        <f t="shared" si="2463"/>
        <v>0</v>
      </c>
      <c r="GB340" s="21">
        <f t="shared" si="2463"/>
        <v>0</v>
      </c>
      <c r="GC340" s="21">
        <f t="shared" si="2463"/>
        <v>0</v>
      </c>
      <c r="GD340" s="21">
        <f t="shared" ref="GD340:GK340" si="2464">IF($F$290, 0, IF($E$298, IF(AND(COLUMN($GD$340)-COLUMN($DZ$335)=$Q$291,ROW($GD$340)-ROW($DZ$335)=$K$291), U$290, GD340), GD340))</f>
        <v>0</v>
      </c>
      <c r="GE340" s="21">
        <f t="shared" si="2464"/>
        <v>0</v>
      </c>
      <c r="GF340" s="21">
        <f t="shared" si="2464"/>
        <v>0</v>
      </c>
      <c r="GG340" s="21">
        <f t="shared" si="2464"/>
        <v>0</v>
      </c>
      <c r="GH340" s="21">
        <f t="shared" si="2464"/>
        <v>0</v>
      </c>
      <c r="GI340" s="21">
        <f t="shared" si="2464"/>
        <v>0</v>
      </c>
      <c r="GJ340" s="21">
        <f t="shared" si="2464"/>
        <v>0</v>
      </c>
      <c r="GK340" s="21">
        <f t="shared" si="2464"/>
        <v>0</v>
      </c>
      <c r="GL340" s="21">
        <f t="shared" ref="GL340:GS340" si="2465">IF($F$290, 0, IF($F$298, IF(AND(COLUMN($GL$340)-COLUMN($GL$335)=$Q$291,ROW($GL$340)-ROW($GL$335)=$K$291), U$290, GL340), GL340))</f>
        <v>0</v>
      </c>
      <c r="GM340" s="21">
        <f t="shared" si="2465"/>
        <v>0</v>
      </c>
      <c r="GN340" s="21">
        <f t="shared" si="2465"/>
        <v>0</v>
      </c>
      <c r="GO340" s="21">
        <f t="shared" si="2465"/>
        <v>0</v>
      </c>
      <c r="GP340" s="21">
        <f t="shared" si="2465"/>
        <v>0</v>
      </c>
      <c r="GQ340" s="21">
        <f t="shared" si="2465"/>
        <v>0</v>
      </c>
      <c r="GR340" s="21">
        <f t="shared" si="2465"/>
        <v>0</v>
      </c>
      <c r="GS340" s="21">
        <f t="shared" si="2465"/>
        <v>0</v>
      </c>
      <c r="GT340" s="21">
        <f t="shared" ref="GT340:HA340" si="2466">IF($F$290, 0, IF($F$298, IF(AND(COLUMN($GT$340)-COLUMN($GL$335)=$Q$291,ROW($GT$340)-ROW($GL$335)=$K$291), U$290, GT340), GT340))</f>
        <v>0</v>
      </c>
      <c r="GU340" s="21">
        <f t="shared" si="2466"/>
        <v>0</v>
      </c>
      <c r="GV340" s="21">
        <f t="shared" si="2466"/>
        <v>0</v>
      </c>
      <c r="GW340" s="21">
        <f t="shared" si="2466"/>
        <v>0</v>
      </c>
      <c r="GX340" s="21">
        <f t="shared" si="2466"/>
        <v>0</v>
      </c>
      <c r="GY340" s="21">
        <f t="shared" si="2466"/>
        <v>0</v>
      </c>
      <c r="GZ340" s="21">
        <f t="shared" si="2466"/>
        <v>0</v>
      </c>
      <c r="HA340" s="21">
        <f t="shared" si="2466"/>
        <v>0</v>
      </c>
      <c r="HB340" s="21">
        <f t="shared" ref="HB340:HI340" si="2467">IF($F$290, 0, IF($F$298, IF(AND(COLUMN($HB$340)-COLUMN($GL$335)=$Q$291,ROW($HB$340)-ROW($GL$335)=$K$291), U$290, HB340), HB340))</f>
        <v>0</v>
      </c>
      <c r="HC340" s="21">
        <f t="shared" si="2467"/>
        <v>0</v>
      </c>
      <c r="HD340" s="21">
        <f t="shared" si="2467"/>
        <v>0</v>
      </c>
      <c r="HE340" s="21">
        <f t="shared" si="2467"/>
        <v>0</v>
      </c>
      <c r="HF340" s="21">
        <f t="shared" si="2467"/>
        <v>0</v>
      </c>
      <c r="HG340" s="21">
        <f t="shared" si="2467"/>
        <v>0</v>
      </c>
      <c r="HH340" s="21">
        <f t="shared" si="2467"/>
        <v>0</v>
      </c>
      <c r="HI340" s="21">
        <f t="shared" si="2467"/>
        <v>0</v>
      </c>
      <c r="HJ340" s="21">
        <f t="shared" ref="HJ340:HQ340" si="2468">IF($F$290, 0, IF($F$298, IF(AND(COLUMN($HJ$340)-COLUMN($GL$335)=$Q$291,ROW($HJ$340)-ROW($GL$335)=$K$291), U$290, HJ340), HJ340))</f>
        <v>0</v>
      </c>
      <c r="HK340" s="21">
        <f t="shared" si="2468"/>
        <v>0</v>
      </c>
      <c r="HL340" s="21">
        <f t="shared" si="2468"/>
        <v>0</v>
      </c>
      <c r="HM340" s="21">
        <f t="shared" si="2468"/>
        <v>0</v>
      </c>
      <c r="HN340" s="21">
        <f t="shared" si="2468"/>
        <v>0</v>
      </c>
      <c r="HO340" s="21">
        <f t="shared" si="2468"/>
        <v>0</v>
      </c>
      <c r="HP340" s="21">
        <f t="shared" si="2468"/>
        <v>0</v>
      </c>
      <c r="HQ340" s="21">
        <f t="shared" si="2468"/>
        <v>0</v>
      </c>
      <c r="HR340" s="21">
        <f t="shared" ref="HR340:HY340" si="2469">IF($F$290, 0, IF($F$298, IF(AND(COLUMN($HR$340)-COLUMN($GL$335)=$Q$291,ROW($HR$340)-ROW($GL$335)=$K$291), U$290, HR340), HR340))</f>
        <v>0</v>
      </c>
      <c r="HS340" s="21">
        <f t="shared" si="2469"/>
        <v>0</v>
      </c>
      <c r="HT340" s="21">
        <f t="shared" si="2469"/>
        <v>0</v>
      </c>
      <c r="HU340" s="21">
        <f t="shared" si="2469"/>
        <v>0</v>
      </c>
      <c r="HV340" s="21">
        <f t="shared" si="2469"/>
        <v>0</v>
      </c>
      <c r="HW340" s="21">
        <f t="shared" si="2469"/>
        <v>0</v>
      </c>
      <c r="HX340" s="21">
        <f t="shared" si="2469"/>
        <v>0</v>
      </c>
      <c r="HY340" s="21">
        <f t="shared" si="2469"/>
        <v>0</v>
      </c>
      <c r="HZ340" s="21">
        <f t="shared" ref="HZ340:IG340" si="2470">IF($F$290, 0, IF($F$298, IF(AND(COLUMN($HZ$340)-COLUMN($GL$335)=$Q$291,ROW($HZ$340)-ROW($GL$335)=$K$291), U$290, HZ340), HZ340))</f>
        <v>0</v>
      </c>
      <c r="IA340" s="21">
        <f t="shared" si="2470"/>
        <v>0</v>
      </c>
      <c r="IB340" s="21">
        <f t="shared" si="2470"/>
        <v>0</v>
      </c>
      <c r="IC340" s="21">
        <f t="shared" si="2470"/>
        <v>0</v>
      </c>
      <c r="ID340" s="21">
        <f t="shared" si="2470"/>
        <v>0</v>
      </c>
      <c r="IE340" s="21">
        <f t="shared" si="2470"/>
        <v>0</v>
      </c>
      <c r="IF340" s="21">
        <f t="shared" si="2470"/>
        <v>0</v>
      </c>
      <c r="IG340" s="21">
        <f t="shared" si="2470"/>
        <v>0</v>
      </c>
      <c r="IH340" s="21">
        <f t="shared" ref="IH340:IO340" si="2471">IF($F$290, 0, IF($F$298, IF(AND(COLUMN($IH$340)-COLUMN($GL$335)=$Q$291,ROW($IH$340)-ROW($GL$335)=$K$291), U$290, IH340), IH340))</f>
        <v>0</v>
      </c>
      <c r="II340" s="21">
        <f t="shared" si="2471"/>
        <v>0</v>
      </c>
      <c r="IJ340" s="21">
        <f t="shared" si="2471"/>
        <v>0</v>
      </c>
      <c r="IK340" s="21">
        <f t="shared" si="2471"/>
        <v>0</v>
      </c>
      <c r="IL340" s="21">
        <f t="shared" si="2471"/>
        <v>0</v>
      </c>
      <c r="IM340" s="21">
        <f t="shared" si="2471"/>
        <v>0</v>
      </c>
      <c r="IN340" s="21">
        <f t="shared" si="2471"/>
        <v>0</v>
      </c>
      <c r="IO340" s="21">
        <f t="shared" si="2471"/>
        <v>0</v>
      </c>
      <c r="IP340" s="21">
        <f t="shared" ref="IP340:IW340" si="2472">IF($F$290, 0, IF($F$298, IF(AND(COLUMN($IP$340)-COLUMN($GL$335)=$Q$291,ROW($IP$340)-ROW($GL$335)=$K$291), U$290, IP340), IP340))</f>
        <v>0</v>
      </c>
      <c r="IQ340" s="21">
        <f t="shared" si="2472"/>
        <v>0</v>
      </c>
      <c r="IR340" s="21">
        <f t="shared" si="2472"/>
        <v>0</v>
      </c>
      <c r="IS340" s="21">
        <f t="shared" si="2472"/>
        <v>0</v>
      </c>
      <c r="IT340" s="21">
        <f t="shared" si="2472"/>
        <v>0</v>
      </c>
      <c r="IU340" s="21">
        <f t="shared" si="2472"/>
        <v>0</v>
      </c>
      <c r="IV340" s="21">
        <f t="shared" si="2472"/>
        <v>0</v>
      </c>
      <c r="IW340" s="21">
        <f t="shared" si="2472"/>
        <v>0</v>
      </c>
      <c r="IX340" s="21">
        <f t="shared" ref="IX340:JE340" si="2473">IF($F$290, 0, IF($G$298, IF(AND(COLUMN($IX$340)-COLUMN($IX$335)=$Q$291,ROW($IX$340)-ROW($IX$335)=$K$291), U$290, IX340), IX340))</f>
        <v>0</v>
      </c>
      <c r="IY340" s="21">
        <f t="shared" si="2473"/>
        <v>0</v>
      </c>
      <c r="IZ340" s="21">
        <f t="shared" si="2473"/>
        <v>0</v>
      </c>
      <c r="JA340" s="21">
        <f t="shared" si="2473"/>
        <v>0</v>
      </c>
      <c r="JB340" s="21">
        <f t="shared" si="2473"/>
        <v>0</v>
      </c>
      <c r="JC340" s="21">
        <f t="shared" si="2473"/>
        <v>0</v>
      </c>
      <c r="JD340" s="21">
        <f t="shared" si="2473"/>
        <v>0</v>
      </c>
      <c r="JE340" s="21">
        <f t="shared" si="2473"/>
        <v>0</v>
      </c>
      <c r="JF340" s="21">
        <f t="shared" ref="JF340:JM340" si="2474">IF($F$290, 0, IF($G$298, IF(AND(COLUMN($JF$340)-COLUMN($IX$335)=$Q$291,ROW($JF$340)-ROW($IX$335)=$K$291), U$290, JF340), JF340))</f>
        <v>0</v>
      </c>
      <c r="JG340" s="21">
        <f t="shared" si="2474"/>
        <v>0</v>
      </c>
      <c r="JH340" s="21">
        <f t="shared" si="2474"/>
        <v>0</v>
      </c>
      <c r="JI340" s="21">
        <f t="shared" si="2474"/>
        <v>0</v>
      </c>
      <c r="JJ340" s="21">
        <f t="shared" si="2474"/>
        <v>0</v>
      </c>
      <c r="JK340" s="21">
        <f t="shared" si="2474"/>
        <v>0</v>
      </c>
      <c r="JL340" s="21">
        <f t="shared" si="2474"/>
        <v>0</v>
      </c>
      <c r="JM340" s="21">
        <f t="shared" si="2474"/>
        <v>0</v>
      </c>
      <c r="JN340" s="21">
        <f t="shared" ref="JN340:JU340" si="2475">IF($F$290, 0, IF($G$298, IF(AND(COLUMN($JN$340)-COLUMN($IX$335)=$Q$291,ROW($JN$340)-ROW($IX$335)=$K$291), U$290, JN340), JN340))</f>
        <v>0</v>
      </c>
      <c r="JO340" s="21">
        <f t="shared" si="2475"/>
        <v>0</v>
      </c>
      <c r="JP340" s="21">
        <f t="shared" si="2475"/>
        <v>0</v>
      </c>
      <c r="JQ340" s="21">
        <f t="shared" si="2475"/>
        <v>0</v>
      </c>
      <c r="JR340" s="21">
        <f t="shared" si="2475"/>
        <v>0</v>
      </c>
      <c r="JS340" s="21">
        <f t="shared" si="2475"/>
        <v>0</v>
      </c>
      <c r="JT340" s="21">
        <f t="shared" si="2475"/>
        <v>0</v>
      </c>
      <c r="JU340" s="21">
        <f t="shared" si="2475"/>
        <v>0</v>
      </c>
      <c r="JV340" s="21">
        <f t="shared" ref="JV340:KC340" si="2476">IF($F$290, 0, IF($G$298, IF(AND(COLUMN($JV$340)-COLUMN($IX$335)=$Q$291,ROW($JV$340)-ROW($IX$335)=$K$291), U$290, JV340), JV340))</f>
        <v>0</v>
      </c>
      <c r="JW340" s="21">
        <f t="shared" si="2476"/>
        <v>0</v>
      </c>
      <c r="JX340" s="21">
        <f t="shared" si="2476"/>
        <v>0</v>
      </c>
      <c r="JY340" s="21">
        <f t="shared" si="2476"/>
        <v>0</v>
      </c>
      <c r="JZ340" s="21">
        <f t="shared" si="2476"/>
        <v>0</v>
      </c>
      <c r="KA340" s="21">
        <f t="shared" si="2476"/>
        <v>0</v>
      </c>
      <c r="KB340" s="21">
        <f t="shared" si="2476"/>
        <v>0</v>
      </c>
      <c r="KC340" s="21">
        <f t="shared" si="2476"/>
        <v>0</v>
      </c>
      <c r="KD340" s="21">
        <f t="shared" ref="KD340:KK340" si="2477">IF($F$290, 0, IF($G$298, IF(AND(COLUMN($KD$340)-COLUMN($IX$335)=$Q$291,ROW($KD$340)-ROW($IX$335)=$K$291), U$290, KD340), KD340))</f>
        <v>0</v>
      </c>
      <c r="KE340" s="21">
        <f t="shared" si="2477"/>
        <v>0</v>
      </c>
      <c r="KF340" s="21">
        <f t="shared" si="2477"/>
        <v>0</v>
      </c>
      <c r="KG340" s="21">
        <f t="shared" si="2477"/>
        <v>0</v>
      </c>
      <c r="KH340" s="21">
        <f t="shared" si="2477"/>
        <v>0</v>
      </c>
      <c r="KI340" s="21">
        <f t="shared" si="2477"/>
        <v>0</v>
      </c>
      <c r="KJ340" s="21">
        <f t="shared" si="2477"/>
        <v>0</v>
      </c>
      <c r="KK340" s="21">
        <f t="shared" si="2477"/>
        <v>0</v>
      </c>
      <c r="KL340" s="21">
        <f t="shared" ref="KL340:KS340" si="2478">IF($F$290, 0, IF($G$298, IF(AND(COLUMN($KL$340)-COLUMN($IX$335)=$Q$291,ROW($KL$340)-ROW($IX$335)=$K$291), U$290, KL340), KL340))</f>
        <v>0</v>
      </c>
      <c r="KM340" s="21">
        <f t="shared" si="2478"/>
        <v>0</v>
      </c>
      <c r="KN340" s="21">
        <f t="shared" si="2478"/>
        <v>0</v>
      </c>
      <c r="KO340" s="21">
        <f t="shared" si="2478"/>
        <v>0</v>
      </c>
      <c r="KP340" s="21">
        <f t="shared" si="2478"/>
        <v>0</v>
      </c>
      <c r="KQ340" s="21">
        <f t="shared" si="2478"/>
        <v>0</v>
      </c>
      <c r="KR340" s="21">
        <f t="shared" si="2478"/>
        <v>0</v>
      </c>
      <c r="KS340" s="21">
        <f t="shared" si="2478"/>
        <v>0</v>
      </c>
      <c r="KT340" s="21">
        <f t="shared" ref="KT340:LA340" si="2479">IF($F$290, 0, IF($G$298, IF(AND(COLUMN($KT$340)-COLUMN($IX$335)=$Q$291,ROW($KT$340)-ROW($IX$335)=$K$291), U$290, KT340), KT340))</f>
        <v>0</v>
      </c>
      <c r="KU340" s="21">
        <f t="shared" si="2479"/>
        <v>0</v>
      </c>
      <c r="KV340" s="21">
        <f t="shared" si="2479"/>
        <v>0</v>
      </c>
      <c r="KW340" s="21">
        <f t="shared" si="2479"/>
        <v>0</v>
      </c>
      <c r="KX340" s="21">
        <f t="shared" si="2479"/>
        <v>0</v>
      </c>
      <c r="KY340" s="21">
        <f t="shared" si="2479"/>
        <v>0</v>
      </c>
      <c r="KZ340" s="21">
        <f t="shared" si="2479"/>
        <v>0</v>
      </c>
      <c r="LA340" s="21">
        <f t="shared" si="2479"/>
        <v>0</v>
      </c>
      <c r="LB340" s="21">
        <f t="shared" ref="LB340:LI340" si="2480">IF($F$290, 0, IF($G$298, IF(AND(COLUMN($LB$340)-COLUMN($IX$335)=$Q$291,ROW($LB$340)-ROW($IX$335)=$K$291), U$290, LB340), LB340))</f>
        <v>0</v>
      </c>
      <c r="LC340" s="21">
        <f t="shared" si="2480"/>
        <v>0</v>
      </c>
      <c r="LD340" s="21">
        <f t="shared" si="2480"/>
        <v>0</v>
      </c>
      <c r="LE340" s="21">
        <f t="shared" si="2480"/>
        <v>0</v>
      </c>
      <c r="LF340" s="21">
        <f t="shared" si="2480"/>
        <v>0</v>
      </c>
      <c r="LG340" s="21">
        <f t="shared" si="2480"/>
        <v>0</v>
      </c>
      <c r="LH340" s="21">
        <f t="shared" si="2480"/>
        <v>0</v>
      </c>
      <c r="LI340" s="21">
        <f t="shared" si="2480"/>
        <v>0</v>
      </c>
      <c r="LJ340" s="21">
        <f t="shared" ref="LJ340:LQ340" si="2481">IF($F$290, 0, IF($H$298, IF(AND(COLUMN($LJ$340)-COLUMN($LJ$335)=$Q$291,ROW($LJ$340)-ROW($LJ$335)=$K$291), U$290, LJ340), LJ340))</f>
        <v>0</v>
      </c>
      <c r="LK340" s="21">
        <f t="shared" si="2481"/>
        <v>0</v>
      </c>
      <c r="LL340" s="21">
        <f t="shared" si="2481"/>
        <v>0</v>
      </c>
      <c r="LM340" s="21">
        <f t="shared" si="2481"/>
        <v>0</v>
      </c>
      <c r="LN340" s="21">
        <f t="shared" si="2481"/>
        <v>0</v>
      </c>
      <c r="LO340" s="21">
        <f t="shared" si="2481"/>
        <v>0</v>
      </c>
      <c r="LP340" s="21">
        <f t="shared" si="2481"/>
        <v>0</v>
      </c>
      <c r="LQ340" s="21">
        <f t="shared" si="2481"/>
        <v>0</v>
      </c>
      <c r="LR340" s="21">
        <f t="shared" ref="LR340:LY340" si="2482">IF($F$290, 0, IF($H$298, IF(AND(COLUMN($LR$340)-COLUMN($LJ$335)=$Q$291,ROW($LR$340)-ROW($LJ$335)=$K$291), U$290, LR340), LR340))</f>
        <v>0</v>
      </c>
      <c r="LS340" s="21">
        <f t="shared" si="2482"/>
        <v>0</v>
      </c>
      <c r="LT340" s="21">
        <f t="shared" si="2482"/>
        <v>0</v>
      </c>
      <c r="LU340" s="21">
        <f t="shared" si="2482"/>
        <v>0</v>
      </c>
      <c r="LV340" s="21">
        <f t="shared" si="2482"/>
        <v>0</v>
      </c>
      <c r="LW340" s="21">
        <f t="shared" si="2482"/>
        <v>0</v>
      </c>
      <c r="LX340" s="21">
        <f t="shared" si="2482"/>
        <v>0</v>
      </c>
      <c r="LY340" s="21">
        <f t="shared" si="2482"/>
        <v>0</v>
      </c>
      <c r="LZ340" s="21">
        <f t="shared" ref="LZ340:MG340" si="2483">IF($F$290, 0, IF($H$298, IF(AND(COLUMN($LZ$340)-COLUMN($LJ$335)=$Q$291,ROW($LZ$340)-ROW($LJ$335)=$K$291), U$290, LZ340), LZ340))</f>
        <v>0</v>
      </c>
      <c r="MA340" s="21">
        <f t="shared" si="2483"/>
        <v>0</v>
      </c>
      <c r="MB340" s="21">
        <f t="shared" si="2483"/>
        <v>0</v>
      </c>
      <c r="MC340" s="21">
        <f t="shared" si="2483"/>
        <v>0</v>
      </c>
      <c r="MD340" s="21">
        <f t="shared" si="2483"/>
        <v>0</v>
      </c>
      <c r="ME340" s="21">
        <f t="shared" si="2483"/>
        <v>0</v>
      </c>
      <c r="MF340" s="21">
        <f t="shared" si="2483"/>
        <v>0</v>
      </c>
      <c r="MG340" s="21">
        <f t="shared" si="2483"/>
        <v>0</v>
      </c>
      <c r="MH340" s="21">
        <f t="shared" ref="MH340:MO340" si="2484">IF($F$290, 0, IF($H$298, IF(AND(COLUMN($MH$340)-COLUMN($LJ$335)=$Q$291,ROW($MH$340)-ROW($LJ$335)=$K$291), U$290, MH340), MH340))</f>
        <v>0</v>
      </c>
      <c r="MI340" s="21">
        <f t="shared" si="2484"/>
        <v>0</v>
      </c>
      <c r="MJ340" s="21">
        <f t="shared" si="2484"/>
        <v>0</v>
      </c>
      <c r="MK340" s="21">
        <f t="shared" si="2484"/>
        <v>0</v>
      </c>
      <c r="ML340" s="21">
        <f t="shared" si="2484"/>
        <v>0</v>
      </c>
      <c r="MM340" s="21">
        <f t="shared" si="2484"/>
        <v>0</v>
      </c>
      <c r="MN340" s="21">
        <f t="shared" si="2484"/>
        <v>0</v>
      </c>
      <c r="MO340" s="21">
        <f t="shared" si="2484"/>
        <v>0</v>
      </c>
      <c r="MP340" s="21">
        <f t="shared" ref="MP340:MW340" si="2485">IF($F$290, 0, IF($H$298, IF(AND(COLUMN($MP$340)-COLUMN($LJ$335)=$Q$291,ROW($MP$340)-ROW($LJ$335)=$K$291), U$290, MP340), MP340))</f>
        <v>0</v>
      </c>
      <c r="MQ340" s="21">
        <f t="shared" si="2485"/>
        <v>0</v>
      </c>
      <c r="MR340" s="21">
        <f t="shared" si="2485"/>
        <v>0</v>
      </c>
      <c r="MS340" s="21">
        <f t="shared" si="2485"/>
        <v>0</v>
      </c>
      <c r="MT340" s="21">
        <f t="shared" si="2485"/>
        <v>0</v>
      </c>
      <c r="MU340" s="21">
        <f t="shared" si="2485"/>
        <v>0</v>
      </c>
      <c r="MV340" s="21">
        <f t="shared" si="2485"/>
        <v>0</v>
      </c>
      <c r="MW340" s="21">
        <f t="shared" si="2485"/>
        <v>0</v>
      </c>
      <c r="MX340" s="21">
        <f t="shared" ref="MX340:NE340" si="2486">IF($F$290, 0, IF($H$298, IF(AND(COLUMN($MX$340)-COLUMN($LJ$335)=$Q$291,ROW($MX$340)-ROW($LJ$335)=$K$291), U$290, MX340), MX340))</f>
        <v>0</v>
      </c>
      <c r="MY340" s="21">
        <f t="shared" si="2486"/>
        <v>0</v>
      </c>
      <c r="MZ340" s="21">
        <f t="shared" si="2486"/>
        <v>0</v>
      </c>
      <c r="NA340" s="21">
        <f t="shared" si="2486"/>
        <v>0</v>
      </c>
      <c r="NB340" s="21">
        <f t="shared" si="2486"/>
        <v>0</v>
      </c>
      <c r="NC340" s="21">
        <f t="shared" si="2486"/>
        <v>0</v>
      </c>
      <c r="ND340" s="21">
        <f t="shared" si="2486"/>
        <v>0</v>
      </c>
      <c r="NE340" s="21">
        <f t="shared" si="2486"/>
        <v>0</v>
      </c>
      <c r="NF340" s="21">
        <f t="shared" ref="NF340:NM340" si="2487">IF($F$290, 0, IF($H$298, IF(AND(COLUMN($NF$340)-COLUMN($LJ$335)=$Q$291,ROW($NF$340)-ROW($LJ$335)=$K$291), U$290, NF340), NF340))</f>
        <v>0</v>
      </c>
      <c r="NG340" s="21">
        <f t="shared" si="2487"/>
        <v>0</v>
      </c>
      <c r="NH340" s="21">
        <f t="shared" si="2487"/>
        <v>0</v>
      </c>
      <c r="NI340" s="21">
        <f t="shared" si="2487"/>
        <v>0</v>
      </c>
      <c r="NJ340" s="21">
        <f t="shared" si="2487"/>
        <v>0</v>
      </c>
      <c r="NK340" s="21">
        <f t="shared" si="2487"/>
        <v>0</v>
      </c>
      <c r="NL340" s="21">
        <f t="shared" si="2487"/>
        <v>0</v>
      </c>
      <c r="NM340" s="21">
        <f t="shared" si="2487"/>
        <v>0</v>
      </c>
      <c r="NN340" s="21">
        <f t="shared" ref="NN340:NU340" si="2488">IF($F$290, 0, IF($H$298, IF(AND(COLUMN($NN$340)-COLUMN($LJ$335)=$Q$291,ROW($NN$340)-ROW($LJ$335)=$K$291), U$290, NN340), NN340))</f>
        <v>0</v>
      </c>
      <c r="NO340" s="21">
        <f t="shared" si="2488"/>
        <v>0</v>
      </c>
      <c r="NP340" s="21">
        <f t="shared" si="2488"/>
        <v>0</v>
      </c>
      <c r="NQ340" s="21">
        <f t="shared" si="2488"/>
        <v>0</v>
      </c>
      <c r="NR340" s="21">
        <f t="shared" si="2488"/>
        <v>0</v>
      </c>
      <c r="NS340" s="21">
        <f t="shared" si="2488"/>
        <v>0</v>
      </c>
      <c r="NT340" s="21">
        <f t="shared" si="2488"/>
        <v>0</v>
      </c>
      <c r="NU340" s="21">
        <f t="shared" si="2488"/>
        <v>0</v>
      </c>
      <c r="NV340" s="21">
        <f t="shared" ref="NV340:OC340" si="2489">IF($F$290, 0, IF($I$298, IF(AND(COLUMN($NV$340)-COLUMN($NV$335)=$Q$291,ROW($NV$340)-ROW($NV$335)=$K$291), U$290, NV340), NV340))</f>
        <v>0</v>
      </c>
      <c r="NW340" s="21">
        <f t="shared" si="2489"/>
        <v>0</v>
      </c>
      <c r="NX340" s="21">
        <f t="shared" si="2489"/>
        <v>0</v>
      </c>
      <c r="NY340" s="21">
        <f t="shared" si="2489"/>
        <v>0</v>
      </c>
      <c r="NZ340" s="21">
        <f t="shared" si="2489"/>
        <v>0</v>
      </c>
      <c r="OA340" s="21">
        <f t="shared" si="2489"/>
        <v>0</v>
      </c>
      <c r="OB340" s="21">
        <f t="shared" si="2489"/>
        <v>0</v>
      </c>
      <c r="OC340" s="21">
        <f t="shared" si="2489"/>
        <v>0</v>
      </c>
      <c r="OD340" s="21">
        <f t="shared" ref="OD340:OK340" si="2490">IF($F$290, 0, IF($I$298, IF(AND(COLUMN($OD$340)-COLUMN($NV$335)=$Q$291,ROW($OD$340)-ROW($NV$335)=$K$291), U$290, OD340), OD340))</f>
        <v>0</v>
      </c>
      <c r="OE340" s="21">
        <f t="shared" si="2490"/>
        <v>0</v>
      </c>
      <c r="OF340" s="21">
        <f t="shared" si="2490"/>
        <v>0</v>
      </c>
      <c r="OG340" s="21">
        <f t="shared" si="2490"/>
        <v>0</v>
      </c>
      <c r="OH340" s="21">
        <f t="shared" si="2490"/>
        <v>0</v>
      </c>
      <c r="OI340" s="21">
        <f t="shared" si="2490"/>
        <v>0</v>
      </c>
      <c r="OJ340" s="21">
        <f t="shared" si="2490"/>
        <v>0</v>
      </c>
      <c r="OK340" s="21">
        <f t="shared" si="2490"/>
        <v>0</v>
      </c>
      <c r="OL340" s="21">
        <f t="shared" ref="OL340:OS340" si="2491">IF($F$290, 0, IF($I$298, IF(AND(COLUMN($OL$340)-COLUMN($NV$335)=$Q$291,ROW($OL$340)-ROW($NV$335)=$K$291), U$290, OL340), OL340))</f>
        <v>0</v>
      </c>
      <c r="OM340" s="21">
        <f t="shared" si="2491"/>
        <v>0</v>
      </c>
      <c r="ON340" s="21">
        <f t="shared" si="2491"/>
        <v>0</v>
      </c>
      <c r="OO340" s="21">
        <f t="shared" si="2491"/>
        <v>0</v>
      </c>
      <c r="OP340" s="21">
        <f t="shared" si="2491"/>
        <v>0</v>
      </c>
      <c r="OQ340" s="21">
        <f t="shared" si="2491"/>
        <v>0</v>
      </c>
      <c r="OR340" s="21">
        <f t="shared" si="2491"/>
        <v>0</v>
      </c>
      <c r="OS340" s="21">
        <f t="shared" si="2491"/>
        <v>0</v>
      </c>
      <c r="OT340" s="21">
        <f t="shared" ref="OT340:PA340" si="2492">IF($F$290, 0, IF($I$298, IF(AND(COLUMN($OT$340)-COLUMN($NV$335)=$Q$291,ROW($OT$340)-ROW($NV$335)=$K$291), U$290, OT340), OT340))</f>
        <v>0</v>
      </c>
      <c r="OU340" s="21">
        <f t="shared" si="2492"/>
        <v>0</v>
      </c>
      <c r="OV340" s="21">
        <f t="shared" si="2492"/>
        <v>0</v>
      </c>
      <c r="OW340" s="21">
        <f t="shared" si="2492"/>
        <v>0</v>
      </c>
      <c r="OX340" s="21">
        <f t="shared" si="2492"/>
        <v>0</v>
      </c>
      <c r="OY340" s="21">
        <f t="shared" si="2492"/>
        <v>0</v>
      </c>
      <c r="OZ340" s="21">
        <f t="shared" si="2492"/>
        <v>0</v>
      </c>
      <c r="PA340" s="21">
        <f t="shared" si="2492"/>
        <v>0</v>
      </c>
      <c r="PB340" s="21">
        <f t="shared" ref="PB340:PI340" si="2493">IF($F$290, 0, IF($I$298, IF(AND(COLUMN($PB$340)-COLUMN($NV$335)=$Q$291,ROW($PB$340)-ROW($NV$335)=$K$291), U$290, PB340), PB340))</f>
        <v>0</v>
      </c>
      <c r="PC340" s="21">
        <f t="shared" si="2493"/>
        <v>0</v>
      </c>
      <c r="PD340" s="21">
        <f t="shared" si="2493"/>
        <v>0</v>
      </c>
      <c r="PE340" s="21">
        <f t="shared" si="2493"/>
        <v>0</v>
      </c>
      <c r="PF340" s="21">
        <f t="shared" si="2493"/>
        <v>0</v>
      </c>
      <c r="PG340" s="21">
        <f t="shared" si="2493"/>
        <v>0</v>
      </c>
      <c r="PH340" s="21">
        <f t="shared" si="2493"/>
        <v>0</v>
      </c>
      <c r="PI340" s="21">
        <f t="shared" si="2493"/>
        <v>0</v>
      </c>
      <c r="PJ340" s="21">
        <f t="shared" ref="PJ340:PQ340" si="2494">IF($F$290, 0, IF($I$298, IF(AND(COLUMN($PJ$340)-COLUMN($NV$335)=$Q$291,ROW($PJ$340)-ROW($NV$335)=$K$291), U$290, PJ340), PJ340))</f>
        <v>0</v>
      </c>
      <c r="PK340" s="21">
        <f t="shared" si="2494"/>
        <v>0</v>
      </c>
      <c r="PL340" s="21">
        <f t="shared" si="2494"/>
        <v>0</v>
      </c>
      <c r="PM340" s="21">
        <f t="shared" si="2494"/>
        <v>0</v>
      </c>
      <c r="PN340" s="21">
        <f t="shared" si="2494"/>
        <v>0</v>
      </c>
      <c r="PO340" s="21">
        <f t="shared" si="2494"/>
        <v>0</v>
      </c>
      <c r="PP340" s="21">
        <f t="shared" si="2494"/>
        <v>0</v>
      </c>
      <c r="PQ340" s="21">
        <f t="shared" si="2494"/>
        <v>0</v>
      </c>
      <c r="PR340" s="21">
        <f t="shared" ref="PR340:PY340" si="2495">IF($F$290, 0, IF($I$298, IF(AND(COLUMN($PR$340)-COLUMN($NV$335)=$Q$291,ROW($PR$340)-ROW($NV$335)=$K$291), U$290, PR340), PR340))</f>
        <v>0</v>
      </c>
      <c r="PS340" s="21">
        <f t="shared" si="2495"/>
        <v>0</v>
      </c>
      <c r="PT340" s="21">
        <f t="shared" si="2495"/>
        <v>0</v>
      </c>
      <c r="PU340" s="21">
        <f t="shared" si="2495"/>
        <v>0</v>
      </c>
      <c r="PV340" s="21">
        <f t="shared" si="2495"/>
        <v>0</v>
      </c>
      <c r="PW340" s="21">
        <f t="shared" si="2495"/>
        <v>0</v>
      </c>
      <c r="PX340" s="21">
        <f t="shared" si="2495"/>
        <v>0</v>
      </c>
      <c r="PY340" s="21">
        <f t="shared" si="2495"/>
        <v>0</v>
      </c>
      <c r="PZ340" s="21">
        <f t="shared" ref="PZ340:QG340" si="2496">IF($F$290, 0, IF($I$298, IF(AND(COLUMN($PZ$340)-COLUMN($NV$335)=$Q$291,ROW($PZ$340)-ROW($NV$335)=$K$291), U$290, PZ340), PZ340))</f>
        <v>0</v>
      </c>
      <c r="QA340" s="21">
        <f t="shared" si="2496"/>
        <v>0</v>
      </c>
      <c r="QB340" s="21">
        <f t="shared" si="2496"/>
        <v>0</v>
      </c>
      <c r="QC340" s="21">
        <f t="shared" si="2496"/>
        <v>0</v>
      </c>
      <c r="QD340" s="21">
        <f t="shared" si="2496"/>
        <v>0</v>
      </c>
      <c r="QE340" s="21">
        <f t="shared" si="2496"/>
        <v>0</v>
      </c>
      <c r="QF340" s="21">
        <f t="shared" si="2496"/>
        <v>0</v>
      </c>
      <c r="QG340" s="21">
        <f t="shared" si="2496"/>
        <v>0</v>
      </c>
      <c r="QH340" s="21">
        <f t="shared" ref="QH340:QO340" si="2497">IF($F$290, 0, IF($J$298, IF(AND(COLUMN($QH$340)-COLUMN($QH$335)=$Q$291,ROW($QH$340)-ROW($QH$335)=$K$291), U$290, QH340), QH340))</f>
        <v>0</v>
      </c>
      <c r="QI340" s="21">
        <f t="shared" si="2497"/>
        <v>0</v>
      </c>
      <c r="QJ340" s="21">
        <f t="shared" si="2497"/>
        <v>0</v>
      </c>
      <c r="QK340" s="21">
        <f t="shared" si="2497"/>
        <v>0</v>
      </c>
      <c r="QL340" s="21">
        <f t="shared" si="2497"/>
        <v>0</v>
      </c>
      <c r="QM340" s="21">
        <f t="shared" si="2497"/>
        <v>0</v>
      </c>
      <c r="QN340" s="21">
        <f t="shared" si="2497"/>
        <v>0</v>
      </c>
      <c r="QO340" s="21">
        <f t="shared" si="2497"/>
        <v>0</v>
      </c>
      <c r="QP340" s="21">
        <f t="shared" ref="QP340:QW340" si="2498">IF($F$290, 0, IF($J$298, IF(AND(COLUMN($QP$340)-COLUMN($QH$335)=$Q$291,ROW($QP$340)-ROW($QH$335)=$K$291), U$290, QP340), QP340))</f>
        <v>0</v>
      </c>
      <c r="QQ340" s="21">
        <f t="shared" si="2498"/>
        <v>0</v>
      </c>
      <c r="QR340" s="21">
        <f t="shared" si="2498"/>
        <v>0</v>
      </c>
      <c r="QS340" s="21">
        <f t="shared" si="2498"/>
        <v>0</v>
      </c>
      <c r="QT340" s="21">
        <f t="shared" si="2498"/>
        <v>0</v>
      </c>
      <c r="QU340" s="21">
        <f t="shared" si="2498"/>
        <v>0</v>
      </c>
      <c r="QV340" s="21">
        <f t="shared" si="2498"/>
        <v>0</v>
      </c>
      <c r="QW340" s="21">
        <f t="shared" si="2498"/>
        <v>0</v>
      </c>
      <c r="QX340" s="21">
        <f t="shared" ref="QX340:RE340" si="2499">IF($F$290, 0, IF($J$298, IF(AND(COLUMN($QX$340)-COLUMN($QH$335)=$Q$291,ROW($QX$340)-ROW($QH$335)=$K$291), U$290, QX340), QX340))</f>
        <v>0</v>
      </c>
      <c r="QY340" s="21">
        <f t="shared" si="2499"/>
        <v>0</v>
      </c>
      <c r="QZ340" s="21">
        <f t="shared" si="2499"/>
        <v>0</v>
      </c>
      <c r="RA340" s="21">
        <f t="shared" si="2499"/>
        <v>0</v>
      </c>
      <c r="RB340" s="21">
        <f t="shared" si="2499"/>
        <v>0</v>
      </c>
      <c r="RC340" s="21">
        <f t="shared" si="2499"/>
        <v>0</v>
      </c>
      <c r="RD340" s="21">
        <f t="shared" si="2499"/>
        <v>0</v>
      </c>
      <c r="RE340" s="21">
        <f t="shared" si="2499"/>
        <v>0</v>
      </c>
      <c r="RF340" s="21">
        <f t="shared" ref="RF340:RM340" si="2500">IF($F$290, 0, IF($J$298, IF(AND(COLUMN($RF$340)-COLUMN($QH$335)=$Q$291,ROW($RF$340)-ROW($QH$335)=$K$291), U$290, RF340), RF340))</f>
        <v>0</v>
      </c>
      <c r="RG340" s="21">
        <f t="shared" si="2500"/>
        <v>0</v>
      </c>
      <c r="RH340" s="21">
        <f t="shared" si="2500"/>
        <v>0</v>
      </c>
      <c r="RI340" s="21">
        <f t="shared" si="2500"/>
        <v>0</v>
      </c>
      <c r="RJ340" s="21">
        <f t="shared" si="2500"/>
        <v>0</v>
      </c>
      <c r="RK340" s="21">
        <f t="shared" si="2500"/>
        <v>0</v>
      </c>
      <c r="RL340" s="21">
        <f t="shared" si="2500"/>
        <v>0</v>
      </c>
      <c r="RM340" s="21">
        <f t="shared" si="2500"/>
        <v>0</v>
      </c>
      <c r="RN340" s="21">
        <f t="shared" ref="RN340:RU340" si="2501">IF($F$290, 0, IF($J$298, IF(AND(COLUMN($RN$340)-COLUMN($QH$335)=$Q$291,ROW($RN$340)-ROW($QH$335)=$K$291), U$290, RN340), RN340))</f>
        <v>0</v>
      </c>
      <c r="RO340" s="21">
        <f t="shared" si="2501"/>
        <v>0</v>
      </c>
      <c r="RP340" s="21">
        <f t="shared" si="2501"/>
        <v>0</v>
      </c>
      <c r="RQ340" s="21">
        <f t="shared" si="2501"/>
        <v>0</v>
      </c>
      <c r="RR340" s="21">
        <f t="shared" si="2501"/>
        <v>0</v>
      </c>
      <c r="RS340" s="21">
        <f t="shared" si="2501"/>
        <v>0</v>
      </c>
      <c r="RT340" s="21">
        <f t="shared" si="2501"/>
        <v>0</v>
      </c>
      <c r="RU340" s="21">
        <f t="shared" si="2501"/>
        <v>0</v>
      </c>
      <c r="RV340" s="21">
        <f t="shared" ref="RV340:SC340" si="2502">IF($F$290, 0, IF($J$298, IF(AND(COLUMN($RV$340)-COLUMN($QH$335)=$Q$291,ROW($RV$340)-ROW($QH$335)=$K$291), U$290, RV340), RV340))</f>
        <v>0</v>
      </c>
      <c r="RW340" s="21">
        <f t="shared" si="2502"/>
        <v>0</v>
      </c>
      <c r="RX340" s="21">
        <f t="shared" si="2502"/>
        <v>0</v>
      </c>
      <c r="RY340" s="21">
        <f t="shared" si="2502"/>
        <v>0</v>
      </c>
      <c r="RZ340" s="21">
        <f t="shared" si="2502"/>
        <v>0</v>
      </c>
      <c r="SA340" s="21">
        <f t="shared" si="2502"/>
        <v>0</v>
      </c>
      <c r="SB340" s="21">
        <f t="shared" si="2502"/>
        <v>0</v>
      </c>
      <c r="SC340" s="21">
        <f t="shared" si="2502"/>
        <v>0</v>
      </c>
      <c r="SD340" s="21">
        <f t="shared" ref="SD340:SK340" si="2503">IF($F$290, 0, IF($J$298, IF(AND(COLUMN($SD$340)-COLUMN($QH$335)=$Q$291,ROW($SD$340)-ROW($QH$335)=$K$291), U$290, SD340), SD340))</f>
        <v>0</v>
      </c>
      <c r="SE340" s="21">
        <f t="shared" si="2503"/>
        <v>0</v>
      </c>
      <c r="SF340" s="21">
        <f t="shared" si="2503"/>
        <v>0</v>
      </c>
      <c r="SG340" s="21">
        <f t="shared" si="2503"/>
        <v>0</v>
      </c>
      <c r="SH340" s="21">
        <f t="shared" si="2503"/>
        <v>0</v>
      </c>
      <c r="SI340" s="21">
        <f t="shared" si="2503"/>
        <v>0</v>
      </c>
      <c r="SJ340" s="21">
        <f t="shared" si="2503"/>
        <v>0</v>
      </c>
      <c r="SK340" s="21">
        <f t="shared" si="2503"/>
        <v>0</v>
      </c>
      <c r="SL340" s="21">
        <f t="shared" ref="SL340:SS340" si="2504">IF($F$290, 0, IF($J$298, IF(AND(COLUMN($SL$340)-COLUMN($QH$335)=$Q$291,ROW($SL$340)-ROW($QH$335)=$K$291), U$290, SL340), SL340))</f>
        <v>0</v>
      </c>
      <c r="SM340" s="21">
        <f t="shared" si="2504"/>
        <v>0</v>
      </c>
      <c r="SN340" s="21">
        <f t="shared" si="2504"/>
        <v>0</v>
      </c>
      <c r="SO340" s="21">
        <f t="shared" si="2504"/>
        <v>0</v>
      </c>
      <c r="SP340" s="21">
        <f t="shared" si="2504"/>
        <v>0</v>
      </c>
      <c r="SQ340" s="21">
        <f t="shared" si="2504"/>
        <v>0</v>
      </c>
      <c r="SR340" s="21">
        <f t="shared" si="2504"/>
        <v>0</v>
      </c>
      <c r="SS340" s="21">
        <f t="shared" si="2504"/>
        <v>0</v>
      </c>
    </row>
    <row r="341" spans="2:513" ht="15" customHeight="1" x14ac:dyDescent="0.25">
      <c r="B341" s="21">
        <f t="shared" ref="B341:I341" si="2505">IF($F$290, 0, IF($C$298, IF(AND(COLUMN($B$341)-COLUMN($B$335)=$Q$291,ROW($B$341)-ROW($B$335)=$K$291), U$290, B341), B341))</f>
        <v>0</v>
      </c>
      <c r="C341" s="21">
        <f t="shared" si="2505"/>
        <v>0</v>
      </c>
      <c r="D341" s="21">
        <f t="shared" si="2505"/>
        <v>0</v>
      </c>
      <c r="E341" s="21">
        <f t="shared" si="2505"/>
        <v>0</v>
      </c>
      <c r="F341" s="21">
        <f t="shared" si="2505"/>
        <v>0</v>
      </c>
      <c r="G341" s="21">
        <f t="shared" si="2505"/>
        <v>0</v>
      </c>
      <c r="H341" s="21">
        <f t="shared" si="2505"/>
        <v>0</v>
      </c>
      <c r="I341" s="21">
        <f t="shared" si="2505"/>
        <v>0</v>
      </c>
      <c r="J341" s="21">
        <f t="shared" ref="J341:Q341" si="2506">IF($F$290, 0, IF($C$298, IF(AND(COLUMN($J$341)-COLUMN($B$335)=$Q$291,ROW($J$341)-ROW($B$335)=$K$291), U$290, J341), J341))</f>
        <v>0</v>
      </c>
      <c r="K341" s="21">
        <f t="shared" si="2506"/>
        <v>0</v>
      </c>
      <c r="L341" s="21">
        <f t="shared" si="2506"/>
        <v>0</v>
      </c>
      <c r="M341" s="21">
        <f t="shared" si="2506"/>
        <v>0</v>
      </c>
      <c r="N341" s="21">
        <f t="shared" si="2506"/>
        <v>0</v>
      </c>
      <c r="O341" s="21">
        <f t="shared" si="2506"/>
        <v>0</v>
      </c>
      <c r="P341" s="21">
        <f t="shared" si="2506"/>
        <v>0</v>
      </c>
      <c r="Q341" s="21">
        <f t="shared" si="2506"/>
        <v>0</v>
      </c>
      <c r="R341" s="21">
        <f>IF($F$290, 0, IF($C$298, IF(AND(COLUMN($R$341)-COLUMN($B$335)=$Q$291,ROW($R$341)-ROW($B$335)=$K$291), U$290, R341), R341))</f>
        <v>0</v>
      </c>
      <c r="S341" s="21">
        <f t="shared" ref="S341:Y341" si="2507">IF($F$290, 0, IF($C$298, IF(AND(COLUMN($R$341)-COLUMN($B$335)=$Q$291,ROW($R$341)-ROW($B$335)=$K$291), V$290, S341), S341))</f>
        <v>0</v>
      </c>
      <c r="T341" s="21">
        <f t="shared" si="2507"/>
        <v>0</v>
      </c>
      <c r="U341" s="21">
        <f t="shared" si="2507"/>
        <v>0</v>
      </c>
      <c r="V341" s="21">
        <f t="shared" si="2507"/>
        <v>0</v>
      </c>
      <c r="W341" s="21">
        <f t="shared" si="2507"/>
        <v>0</v>
      </c>
      <c r="X341" s="21">
        <f t="shared" si="2507"/>
        <v>0</v>
      </c>
      <c r="Y341" s="21">
        <f t="shared" si="2507"/>
        <v>0</v>
      </c>
      <c r="Z341" s="21">
        <f t="shared" ref="Z341:AG341" si="2508">IF($F$290, 0, IF($C$298, IF(AND(COLUMN($Z$341)-COLUMN($B$335)=$Q$291,ROW($Z$341)-ROW($B$335)=$K$291), U$290, Z341), Z341))</f>
        <v>0</v>
      </c>
      <c r="AA341" s="21">
        <f t="shared" si="2508"/>
        <v>0</v>
      </c>
      <c r="AB341" s="21">
        <f t="shared" si="2508"/>
        <v>0</v>
      </c>
      <c r="AC341" s="21">
        <f t="shared" si="2508"/>
        <v>0</v>
      </c>
      <c r="AD341" s="21">
        <f t="shared" si="2508"/>
        <v>0</v>
      </c>
      <c r="AE341" s="21">
        <f t="shared" si="2508"/>
        <v>0</v>
      </c>
      <c r="AF341" s="21">
        <f t="shared" si="2508"/>
        <v>0</v>
      </c>
      <c r="AG341" s="21">
        <f t="shared" si="2508"/>
        <v>0</v>
      </c>
      <c r="AH341" s="21">
        <f t="shared" ref="AH341:AO341" si="2509">IF($F$290, 0, IF($C$298, IF(AND(COLUMN($AH$341)-COLUMN($B$335)=$Q$291,ROW($AH$341)-ROW($B$335)=$K$291), U$290, AH341), AH341))</f>
        <v>0</v>
      </c>
      <c r="AI341" s="21">
        <f t="shared" si="2509"/>
        <v>0</v>
      </c>
      <c r="AJ341" s="21">
        <f t="shared" si="2509"/>
        <v>0</v>
      </c>
      <c r="AK341" s="21">
        <f t="shared" si="2509"/>
        <v>0</v>
      </c>
      <c r="AL341" s="21">
        <f t="shared" si="2509"/>
        <v>0</v>
      </c>
      <c r="AM341" s="21">
        <f t="shared" si="2509"/>
        <v>0</v>
      </c>
      <c r="AN341" s="21">
        <f t="shared" si="2509"/>
        <v>0</v>
      </c>
      <c r="AO341" s="21">
        <f t="shared" si="2509"/>
        <v>0</v>
      </c>
      <c r="AP341" s="21">
        <f t="shared" ref="AP341:AW341" si="2510">IF($F$290, 0, IF($C$298, IF(AND(COLUMN($AP$341)-COLUMN($B$335)=$Q$291,ROW($AP$341)-ROW($B$335)=$K$291), U$290, AP341), AP341))</f>
        <v>0</v>
      </c>
      <c r="AQ341" s="21">
        <f t="shared" si="2510"/>
        <v>0</v>
      </c>
      <c r="AR341" s="21">
        <f t="shared" si="2510"/>
        <v>0</v>
      </c>
      <c r="AS341" s="21">
        <f t="shared" si="2510"/>
        <v>0</v>
      </c>
      <c r="AT341" s="21">
        <f t="shared" si="2510"/>
        <v>0</v>
      </c>
      <c r="AU341" s="21">
        <f t="shared" si="2510"/>
        <v>0</v>
      </c>
      <c r="AV341" s="21">
        <f t="shared" si="2510"/>
        <v>0</v>
      </c>
      <c r="AW341" s="21">
        <f t="shared" si="2510"/>
        <v>0</v>
      </c>
      <c r="AX341" s="21">
        <f t="shared" ref="AX341:BE341" si="2511">IF($F$290, 0, IF($C$298, IF(AND(COLUMN($AX$341)-COLUMN($B$335)=$Q$291,ROW($AX$341)-ROW($B$335)=$K$291), U$290, AX341), AX341))</f>
        <v>0</v>
      </c>
      <c r="AY341" s="21">
        <f t="shared" si="2511"/>
        <v>0</v>
      </c>
      <c r="AZ341" s="21">
        <f t="shared" si="2511"/>
        <v>0</v>
      </c>
      <c r="BA341" s="21">
        <f t="shared" si="2511"/>
        <v>0</v>
      </c>
      <c r="BB341" s="21">
        <f t="shared" si="2511"/>
        <v>0</v>
      </c>
      <c r="BC341" s="21">
        <f t="shared" si="2511"/>
        <v>0</v>
      </c>
      <c r="BD341" s="21">
        <f t="shared" si="2511"/>
        <v>0</v>
      </c>
      <c r="BE341" s="21">
        <f t="shared" si="2511"/>
        <v>0</v>
      </c>
      <c r="BF341" s="21">
        <f t="shared" ref="BF341:BM341" si="2512">IF($F$290, 0, IF($C$298, IF(AND(COLUMN($BF$341)-COLUMN($B$335)=$Q$291,ROW($BF$341)-ROW($B$335)=$K$291), U$290, BF341), BF341))</f>
        <v>0</v>
      </c>
      <c r="BG341" s="21">
        <f t="shared" si="2512"/>
        <v>0</v>
      </c>
      <c r="BH341" s="21">
        <f t="shared" si="2512"/>
        <v>0</v>
      </c>
      <c r="BI341" s="21">
        <f t="shared" si="2512"/>
        <v>0</v>
      </c>
      <c r="BJ341" s="21">
        <f t="shared" si="2512"/>
        <v>0</v>
      </c>
      <c r="BK341" s="21">
        <f t="shared" si="2512"/>
        <v>0</v>
      </c>
      <c r="BL341" s="21">
        <f t="shared" si="2512"/>
        <v>0</v>
      </c>
      <c r="BM341" s="21">
        <f t="shared" si="2512"/>
        <v>0</v>
      </c>
      <c r="BN341" s="21">
        <f t="shared" ref="BN341:BU341" si="2513">IF($F$290, 0, IF($D$298, IF(AND(COLUMN($BN$341)-COLUMN($BN$335)=$Q$291,ROW($BN$341)-ROW($BN$335)=$K$291), U$290, BN341), BN341))</f>
        <v>0</v>
      </c>
      <c r="BO341" s="21">
        <f t="shared" si="2513"/>
        <v>0</v>
      </c>
      <c r="BP341" s="21">
        <f t="shared" si="2513"/>
        <v>0</v>
      </c>
      <c r="BQ341" s="21">
        <f t="shared" si="2513"/>
        <v>0</v>
      </c>
      <c r="BR341" s="21">
        <f t="shared" si="2513"/>
        <v>0</v>
      </c>
      <c r="BS341" s="21">
        <f t="shared" si="2513"/>
        <v>0</v>
      </c>
      <c r="BT341" s="21">
        <f t="shared" si="2513"/>
        <v>0</v>
      </c>
      <c r="BU341" s="21">
        <f t="shared" si="2513"/>
        <v>0</v>
      </c>
      <c r="BV341" s="21">
        <f t="shared" ref="BV341:CC341" si="2514">IF($F$290, 0, IF($D$298, IF(AND(COLUMN($BV$341)-COLUMN($BN$335)=$Q$291,ROW($BV$341)-ROW($BN$335)=$K$291), U$290, BV341), BV341))</f>
        <v>0</v>
      </c>
      <c r="BW341" s="21">
        <f t="shared" si="2514"/>
        <v>0</v>
      </c>
      <c r="BX341" s="21">
        <f t="shared" si="2514"/>
        <v>0</v>
      </c>
      <c r="BY341" s="21">
        <f t="shared" si="2514"/>
        <v>0</v>
      </c>
      <c r="BZ341" s="21">
        <f t="shared" si="2514"/>
        <v>0</v>
      </c>
      <c r="CA341" s="21">
        <f t="shared" si="2514"/>
        <v>0</v>
      </c>
      <c r="CB341" s="21">
        <f t="shared" si="2514"/>
        <v>0</v>
      </c>
      <c r="CC341" s="21">
        <f t="shared" si="2514"/>
        <v>0</v>
      </c>
      <c r="CD341" s="21">
        <f t="shared" ref="CD341:CK341" si="2515">IF($F$290, 0, IF($D$298, IF(AND(COLUMN($CD$341)-COLUMN($BN$335)=$Q$291,ROW($CD$341)-ROW($BN$335)=$K$291), U$290, CD341), CD341))</f>
        <v>0</v>
      </c>
      <c r="CE341" s="21">
        <f t="shared" si="2515"/>
        <v>0</v>
      </c>
      <c r="CF341" s="21">
        <f t="shared" si="2515"/>
        <v>0</v>
      </c>
      <c r="CG341" s="21">
        <f t="shared" si="2515"/>
        <v>0</v>
      </c>
      <c r="CH341" s="21">
        <f t="shared" si="2515"/>
        <v>0</v>
      </c>
      <c r="CI341" s="21">
        <f t="shared" si="2515"/>
        <v>0</v>
      </c>
      <c r="CJ341" s="21">
        <f t="shared" si="2515"/>
        <v>0</v>
      </c>
      <c r="CK341" s="21">
        <f t="shared" si="2515"/>
        <v>0</v>
      </c>
      <c r="CL341" s="21">
        <f t="shared" ref="CL341:CS341" si="2516">IF($F$290, 0, IF($D$298, IF(AND(COLUMN($CL$341)-COLUMN($BN$335)=$Q$291,ROW($CL$341)-ROW($BN$335)=$K$291), U$290, CL341), CL341))</f>
        <v>0</v>
      </c>
      <c r="CM341" s="21">
        <f t="shared" si="2516"/>
        <v>0</v>
      </c>
      <c r="CN341" s="21">
        <f t="shared" si="2516"/>
        <v>0</v>
      </c>
      <c r="CO341" s="21">
        <f t="shared" si="2516"/>
        <v>0</v>
      </c>
      <c r="CP341" s="21">
        <f t="shared" si="2516"/>
        <v>0</v>
      </c>
      <c r="CQ341" s="21">
        <f t="shared" si="2516"/>
        <v>0</v>
      </c>
      <c r="CR341" s="21">
        <f t="shared" si="2516"/>
        <v>0</v>
      </c>
      <c r="CS341" s="21">
        <f t="shared" si="2516"/>
        <v>0</v>
      </c>
      <c r="CT341" s="21">
        <f t="shared" ref="CT341:DA341" si="2517">IF($F$290, 0, IF($D$298, IF(AND(COLUMN($CT$341)-COLUMN($BN$335)=$Q$291,ROW($CT$341)-ROW($BN$335)=$K$291), U$290, CT341), CT341))</f>
        <v>0</v>
      </c>
      <c r="CU341" s="21">
        <f t="shared" si="2517"/>
        <v>0</v>
      </c>
      <c r="CV341" s="21">
        <f t="shared" si="2517"/>
        <v>0</v>
      </c>
      <c r="CW341" s="21">
        <f t="shared" si="2517"/>
        <v>0</v>
      </c>
      <c r="CX341" s="21">
        <f t="shared" si="2517"/>
        <v>0</v>
      </c>
      <c r="CY341" s="21">
        <f t="shared" si="2517"/>
        <v>0</v>
      </c>
      <c r="CZ341" s="21">
        <f t="shared" si="2517"/>
        <v>0</v>
      </c>
      <c r="DA341" s="21">
        <f t="shared" si="2517"/>
        <v>0</v>
      </c>
      <c r="DB341" s="21">
        <f t="shared" ref="DB341:DI341" si="2518">IF($F$290, 0, IF($D$298, IF(AND(COLUMN($DB$341)-COLUMN($BN$335)=$Q$291,ROW($DB$341)-ROW($BN$335)=$K$291), U$290, DB341), DB341))</f>
        <v>0</v>
      </c>
      <c r="DC341" s="21">
        <f t="shared" si="2518"/>
        <v>0</v>
      </c>
      <c r="DD341" s="21">
        <f t="shared" si="2518"/>
        <v>0</v>
      </c>
      <c r="DE341" s="21">
        <f t="shared" si="2518"/>
        <v>0</v>
      </c>
      <c r="DF341" s="21">
        <f t="shared" si="2518"/>
        <v>0</v>
      </c>
      <c r="DG341" s="21">
        <f t="shared" si="2518"/>
        <v>0</v>
      </c>
      <c r="DH341" s="21">
        <f t="shared" si="2518"/>
        <v>0</v>
      </c>
      <c r="DI341" s="21">
        <f t="shared" si="2518"/>
        <v>0</v>
      </c>
      <c r="DJ341" s="21">
        <f t="shared" ref="DJ341:DQ341" si="2519">IF($F$290, 0, IF($D$298, IF(AND(COLUMN($DJ$341)-COLUMN($BN$335)=$Q$291,ROW($DJ$341)-ROW($BN$335)=$K$291), U$290, DJ341), DJ341))</f>
        <v>0</v>
      </c>
      <c r="DK341" s="21">
        <f t="shared" si="2519"/>
        <v>0</v>
      </c>
      <c r="DL341" s="21">
        <f t="shared" si="2519"/>
        <v>0</v>
      </c>
      <c r="DM341" s="21">
        <f t="shared" si="2519"/>
        <v>0</v>
      </c>
      <c r="DN341" s="21">
        <f t="shared" si="2519"/>
        <v>0</v>
      </c>
      <c r="DO341" s="21">
        <f t="shared" si="2519"/>
        <v>0</v>
      </c>
      <c r="DP341" s="21">
        <f t="shared" si="2519"/>
        <v>0</v>
      </c>
      <c r="DQ341" s="21">
        <f t="shared" si="2519"/>
        <v>0</v>
      </c>
      <c r="DR341" s="21">
        <f t="shared" ref="DR341:DY341" si="2520">IF($F$290, 0, IF($D$298, IF(AND(COLUMN($DR$341)-COLUMN($BN$335)=$Q$291,ROW($DR$341)-ROW($BN$335)=$K$291), U$290, DR341), DR341))</f>
        <v>0</v>
      </c>
      <c r="DS341" s="21">
        <f t="shared" si="2520"/>
        <v>0</v>
      </c>
      <c r="DT341" s="21">
        <f t="shared" si="2520"/>
        <v>0</v>
      </c>
      <c r="DU341" s="21">
        <f t="shared" si="2520"/>
        <v>0</v>
      </c>
      <c r="DV341" s="21">
        <f t="shared" si="2520"/>
        <v>0</v>
      </c>
      <c r="DW341" s="21">
        <f t="shared" si="2520"/>
        <v>0</v>
      </c>
      <c r="DX341" s="21">
        <f t="shared" si="2520"/>
        <v>0</v>
      </c>
      <c r="DY341" s="21">
        <f t="shared" si="2520"/>
        <v>0</v>
      </c>
      <c r="DZ341" s="21">
        <f t="shared" ref="DZ341:EG341" si="2521">IF($F$290, 0, IF($E$298, IF(AND(COLUMN($DZ$341)-COLUMN($DZ$335)=$Q$291,ROW($DZ$341)-ROW($DZ$335)=$K$291), U$290, DZ341), DZ341))</f>
        <v>0</v>
      </c>
      <c r="EA341" s="21">
        <f t="shared" si="2521"/>
        <v>0</v>
      </c>
      <c r="EB341" s="21">
        <f t="shared" si="2521"/>
        <v>0</v>
      </c>
      <c r="EC341" s="21">
        <f t="shared" si="2521"/>
        <v>0</v>
      </c>
      <c r="ED341" s="21">
        <f t="shared" si="2521"/>
        <v>0</v>
      </c>
      <c r="EE341" s="21">
        <f t="shared" si="2521"/>
        <v>0</v>
      </c>
      <c r="EF341" s="21">
        <f t="shared" si="2521"/>
        <v>0</v>
      </c>
      <c r="EG341" s="21">
        <f t="shared" si="2521"/>
        <v>0</v>
      </c>
      <c r="EH341" s="21">
        <f t="shared" ref="EH341:EO341" si="2522">IF($F$290, 0, IF($E$298, IF(AND(COLUMN($EH$341)-COLUMN($DZ$335)=$Q$291,ROW($EH$341)-ROW($DZ$335)=$K$291), U$290, EH341), EH341))</f>
        <v>0</v>
      </c>
      <c r="EI341" s="21">
        <f t="shared" si="2522"/>
        <v>0</v>
      </c>
      <c r="EJ341" s="21">
        <f t="shared" si="2522"/>
        <v>0</v>
      </c>
      <c r="EK341" s="21">
        <f t="shared" si="2522"/>
        <v>0</v>
      </c>
      <c r="EL341" s="21">
        <f t="shared" si="2522"/>
        <v>0</v>
      </c>
      <c r="EM341" s="21">
        <f t="shared" si="2522"/>
        <v>0</v>
      </c>
      <c r="EN341" s="21">
        <f t="shared" si="2522"/>
        <v>0</v>
      </c>
      <c r="EO341" s="21">
        <f t="shared" si="2522"/>
        <v>0</v>
      </c>
      <c r="EP341" s="21">
        <f t="shared" ref="EP341:EW341" si="2523">IF($F$290, 0, IF($E$298, IF(AND(COLUMN($EP$341)-COLUMN($DZ$335)=$Q$291,ROW($EP$341)-ROW($DZ$335)=$K$291), U$290, EP341), EP341))</f>
        <v>0</v>
      </c>
      <c r="EQ341" s="21">
        <f t="shared" si="2523"/>
        <v>0</v>
      </c>
      <c r="ER341" s="21">
        <f t="shared" si="2523"/>
        <v>0</v>
      </c>
      <c r="ES341" s="21">
        <f t="shared" si="2523"/>
        <v>0</v>
      </c>
      <c r="ET341" s="21">
        <f t="shared" si="2523"/>
        <v>0</v>
      </c>
      <c r="EU341" s="21">
        <f t="shared" si="2523"/>
        <v>0</v>
      </c>
      <c r="EV341" s="21">
        <f t="shared" si="2523"/>
        <v>0</v>
      </c>
      <c r="EW341" s="21">
        <f t="shared" si="2523"/>
        <v>0</v>
      </c>
      <c r="EX341" s="21">
        <f t="shared" ref="EX341:FE341" si="2524">IF($F$290, 0, IF($E$298, IF(AND(COLUMN($EX$341)-COLUMN($DZ$335)=$Q$291,ROW($EX$341)-ROW($DZ$335)=$K$291), U$290, EX341), EX341))</f>
        <v>0</v>
      </c>
      <c r="EY341" s="21">
        <f t="shared" si="2524"/>
        <v>0</v>
      </c>
      <c r="EZ341" s="21">
        <f t="shared" si="2524"/>
        <v>0</v>
      </c>
      <c r="FA341" s="21">
        <f t="shared" si="2524"/>
        <v>0</v>
      </c>
      <c r="FB341" s="21">
        <f t="shared" si="2524"/>
        <v>0</v>
      </c>
      <c r="FC341" s="21">
        <f t="shared" si="2524"/>
        <v>0</v>
      </c>
      <c r="FD341" s="21">
        <f t="shared" si="2524"/>
        <v>0</v>
      </c>
      <c r="FE341" s="21">
        <f t="shared" si="2524"/>
        <v>0</v>
      </c>
      <c r="FF341" s="21">
        <f t="shared" ref="FF341:FM341" si="2525">IF($F$290, 0, IF($E$298, IF(AND(COLUMN($FF$341)-COLUMN($DZ$335)=$Q$291,ROW($FF$341)-ROW($DZ$335)=$K$291), U$290, FF341), FF341))</f>
        <v>0</v>
      </c>
      <c r="FG341" s="21">
        <f t="shared" si="2525"/>
        <v>0</v>
      </c>
      <c r="FH341" s="21">
        <f t="shared" si="2525"/>
        <v>0</v>
      </c>
      <c r="FI341" s="21">
        <f t="shared" si="2525"/>
        <v>0</v>
      </c>
      <c r="FJ341" s="21">
        <f t="shared" si="2525"/>
        <v>0</v>
      </c>
      <c r="FK341" s="21">
        <f t="shared" si="2525"/>
        <v>0</v>
      </c>
      <c r="FL341" s="21">
        <f t="shared" si="2525"/>
        <v>0</v>
      </c>
      <c r="FM341" s="21">
        <f t="shared" si="2525"/>
        <v>0</v>
      </c>
      <c r="FN341" s="21">
        <f t="shared" ref="FN341:FU341" si="2526">IF($F$290, 0, IF($E$298, IF(AND(COLUMN($FN$341)-COLUMN($DZ$335)=$Q$291,ROW($FN$341)-ROW($DZ$335)=$K$291), U$290, FN341), FN341))</f>
        <v>0</v>
      </c>
      <c r="FO341" s="21">
        <f t="shared" si="2526"/>
        <v>0</v>
      </c>
      <c r="FP341" s="21">
        <f t="shared" si="2526"/>
        <v>0</v>
      </c>
      <c r="FQ341" s="21">
        <f t="shared" si="2526"/>
        <v>0</v>
      </c>
      <c r="FR341" s="21">
        <f t="shared" si="2526"/>
        <v>0</v>
      </c>
      <c r="FS341" s="21">
        <f t="shared" si="2526"/>
        <v>0</v>
      </c>
      <c r="FT341" s="21">
        <f t="shared" si="2526"/>
        <v>0</v>
      </c>
      <c r="FU341" s="21">
        <f t="shared" si="2526"/>
        <v>0</v>
      </c>
      <c r="FV341" s="21">
        <f t="shared" ref="FV341:GC341" si="2527">IF($F$290, 0, IF($E$298, IF(AND(COLUMN($FV$341)-COLUMN($DZ$335)=$Q$291,ROW($FV$341)-ROW($DZ$335)=$K$291), U$290, FV341), FV341))</f>
        <v>0</v>
      </c>
      <c r="FW341" s="21">
        <f t="shared" si="2527"/>
        <v>0</v>
      </c>
      <c r="FX341" s="21">
        <f t="shared" si="2527"/>
        <v>0</v>
      </c>
      <c r="FY341" s="21">
        <f t="shared" si="2527"/>
        <v>0</v>
      </c>
      <c r="FZ341" s="21">
        <f t="shared" si="2527"/>
        <v>0</v>
      </c>
      <c r="GA341" s="21">
        <f t="shared" si="2527"/>
        <v>0</v>
      </c>
      <c r="GB341" s="21">
        <f t="shared" si="2527"/>
        <v>0</v>
      </c>
      <c r="GC341" s="21">
        <f t="shared" si="2527"/>
        <v>0</v>
      </c>
      <c r="GD341" s="21">
        <f t="shared" ref="GD341:GK341" si="2528">IF($F$290, 0, IF($E$298, IF(AND(COLUMN($GD$341)-COLUMN($DZ$335)=$Q$291,ROW($GD$341)-ROW($DZ$335)=$K$291), U$290, GD341), GD341))</f>
        <v>0</v>
      </c>
      <c r="GE341" s="21">
        <f t="shared" si="2528"/>
        <v>0</v>
      </c>
      <c r="GF341" s="21">
        <f t="shared" si="2528"/>
        <v>0</v>
      </c>
      <c r="GG341" s="21">
        <f t="shared" si="2528"/>
        <v>0</v>
      </c>
      <c r="GH341" s="21">
        <f t="shared" si="2528"/>
        <v>0</v>
      </c>
      <c r="GI341" s="21">
        <f t="shared" si="2528"/>
        <v>0</v>
      </c>
      <c r="GJ341" s="21">
        <f t="shared" si="2528"/>
        <v>0</v>
      </c>
      <c r="GK341" s="21">
        <f t="shared" si="2528"/>
        <v>0</v>
      </c>
      <c r="GL341" s="21">
        <f t="shared" ref="GL341:GS341" si="2529">IF($F$290, 0, IF($F$298, IF(AND(COLUMN($GL$341)-COLUMN($GL$335)=$Q$291,ROW($GL$341)-ROW($GL$335)=$K$291), U$290, GL341), GL341))</f>
        <v>0</v>
      </c>
      <c r="GM341" s="21">
        <f t="shared" si="2529"/>
        <v>0</v>
      </c>
      <c r="GN341" s="21">
        <f t="shared" si="2529"/>
        <v>0</v>
      </c>
      <c r="GO341" s="21">
        <f t="shared" si="2529"/>
        <v>0</v>
      </c>
      <c r="GP341" s="21">
        <f t="shared" si="2529"/>
        <v>0</v>
      </c>
      <c r="GQ341" s="21">
        <f t="shared" si="2529"/>
        <v>0</v>
      </c>
      <c r="GR341" s="21">
        <f t="shared" si="2529"/>
        <v>0</v>
      </c>
      <c r="GS341" s="21">
        <f t="shared" si="2529"/>
        <v>0</v>
      </c>
      <c r="GT341" s="21">
        <f t="shared" ref="GT341:HA341" si="2530">IF($F$290, 0, IF($F$298, IF(AND(COLUMN($GT$341)-COLUMN($GL$335)=$Q$291,ROW($GT$341)-ROW($GL$335)=$K$291), U$290, GT341), GT341))</f>
        <v>0</v>
      </c>
      <c r="GU341" s="21">
        <f t="shared" si="2530"/>
        <v>0</v>
      </c>
      <c r="GV341" s="21">
        <f t="shared" si="2530"/>
        <v>0</v>
      </c>
      <c r="GW341" s="21">
        <f t="shared" si="2530"/>
        <v>0</v>
      </c>
      <c r="GX341" s="21">
        <f t="shared" si="2530"/>
        <v>0</v>
      </c>
      <c r="GY341" s="21">
        <f t="shared" si="2530"/>
        <v>0</v>
      </c>
      <c r="GZ341" s="21">
        <f t="shared" si="2530"/>
        <v>0</v>
      </c>
      <c r="HA341" s="21">
        <f t="shared" si="2530"/>
        <v>0</v>
      </c>
      <c r="HB341" s="21">
        <f t="shared" ref="HB341:HI341" si="2531">IF($F$290, 0, IF($F$298, IF(AND(COLUMN($HB$341)-COLUMN($GL$335)=$Q$291,ROW($HB$341)-ROW($GL$335)=$K$291), U$290, HB341), HB341))</f>
        <v>0</v>
      </c>
      <c r="HC341" s="21">
        <f t="shared" si="2531"/>
        <v>0</v>
      </c>
      <c r="HD341" s="21">
        <f t="shared" si="2531"/>
        <v>0</v>
      </c>
      <c r="HE341" s="21">
        <f t="shared" si="2531"/>
        <v>0</v>
      </c>
      <c r="HF341" s="21">
        <f t="shared" si="2531"/>
        <v>0</v>
      </c>
      <c r="HG341" s="21">
        <f t="shared" si="2531"/>
        <v>0</v>
      </c>
      <c r="HH341" s="21">
        <f t="shared" si="2531"/>
        <v>0</v>
      </c>
      <c r="HI341" s="21">
        <f t="shared" si="2531"/>
        <v>0</v>
      </c>
      <c r="HJ341" s="21">
        <f t="shared" ref="HJ341:HQ341" si="2532">IF($F$290, 0, IF($F$298, IF(AND(COLUMN($HJ$341)-COLUMN($GL$335)=$Q$291,ROW($HJ$341)-ROW($GL$335)=$K$291), U$290, HJ341), HJ341))</f>
        <v>0</v>
      </c>
      <c r="HK341" s="21">
        <f t="shared" si="2532"/>
        <v>0</v>
      </c>
      <c r="HL341" s="21">
        <f t="shared" si="2532"/>
        <v>0</v>
      </c>
      <c r="HM341" s="21">
        <f t="shared" si="2532"/>
        <v>0</v>
      </c>
      <c r="HN341" s="21">
        <f t="shared" si="2532"/>
        <v>0</v>
      </c>
      <c r="HO341" s="21">
        <f t="shared" si="2532"/>
        <v>0</v>
      </c>
      <c r="HP341" s="21">
        <f t="shared" si="2532"/>
        <v>0</v>
      </c>
      <c r="HQ341" s="21">
        <f t="shared" si="2532"/>
        <v>0</v>
      </c>
      <c r="HR341" s="21">
        <f t="shared" ref="HR341:HY341" si="2533">IF($F$290, 0, IF($F$298, IF(AND(COLUMN($HR$341)-COLUMN($GL$335)=$Q$291,ROW($HR$341)-ROW($GL$335)=$K$291), U$290, HR341), HR341))</f>
        <v>0</v>
      </c>
      <c r="HS341" s="21">
        <f t="shared" si="2533"/>
        <v>0</v>
      </c>
      <c r="HT341" s="21">
        <f t="shared" si="2533"/>
        <v>0</v>
      </c>
      <c r="HU341" s="21">
        <f t="shared" si="2533"/>
        <v>0</v>
      </c>
      <c r="HV341" s="21">
        <f t="shared" si="2533"/>
        <v>0</v>
      </c>
      <c r="HW341" s="21">
        <f t="shared" si="2533"/>
        <v>0</v>
      </c>
      <c r="HX341" s="21">
        <f t="shared" si="2533"/>
        <v>0</v>
      </c>
      <c r="HY341" s="21">
        <f t="shared" si="2533"/>
        <v>0</v>
      </c>
      <c r="HZ341" s="21">
        <f t="shared" ref="HZ341:IG341" si="2534">IF($F$290, 0, IF($F$298, IF(AND(COLUMN($HZ$341)-COLUMN($GL$335)=$Q$291,ROW($HZ$341)-ROW($GL$335)=$K$291), U$290, HZ341), HZ341))</f>
        <v>0</v>
      </c>
      <c r="IA341" s="21">
        <f t="shared" si="2534"/>
        <v>0</v>
      </c>
      <c r="IB341" s="21">
        <f t="shared" si="2534"/>
        <v>0</v>
      </c>
      <c r="IC341" s="21">
        <f t="shared" si="2534"/>
        <v>0</v>
      </c>
      <c r="ID341" s="21">
        <f t="shared" si="2534"/>
        <v>0</v>
      </c>
      <c r="IE341" s="21">
        <f t="shared" si="2534"/>
        <v>0</v>
      </c>
      <c r="IF341" s="21">
        <f t="shared" si="2534"/>
        <v>0</v>
      </c>
      <c r="IG341" s="21">
        <f t="shared" si="2534"/>
        <v>0</v>
      </c>
      <c r="IH341" s="21">
        <f t="shared" ref="IH341:IO341" si="2535">IF($F$290, 0, IF($F$298, IF(AND(COLUMN($IH$341)-COLUMN($GL$335)=$Q$291,ROW($IH$341)-ROW($GL$335)=$K$291), U$290, IH341), IH341))</f>
        <v>0</v>
      </c>
      <c r="II341" s="21">
        <f t="shared" si="2535"/>
        <v>0</v>
      </c>
      <c r="IJ341" s="21">
        <f t="shared" si="2535"/>
        <v>0</v>
      </c>
      <c r="IK341" s="21">
        <f t="shared" si="2535"/>
        <v>0</v>
      </c>
      <c r="IL341" s="21">
        <f t="shared" si="2535"/>
        <v>0</v>
      </c>
      <c r="IM341" s="21">
        <f t="shared" si="2535"/>
        <v>0</v>
      </c>
      <c r="IN341" s="21">
        <f t="shared" si="2535"/>
        <v>0</v>
      </c>
      <c r="IO341" s="21">
        <f t="shared" si="2535"/>
        <v>0</v>
      </c>
      <c r="IP341" s="21">
        <f t="shared" ref="IP341:IW341" si="2536">IF($F$290, 0, IF($F$298, IF(AND(COLUMN($IP$341)-COLUMN($GL$335)=$Q$291,ROW($IP$341)-ROW($GL$335)=$K$291), U$290, IP341), IP341))</f>
        <v>0</v>
      </c>
      <c r="IQ341" s="21">
        <f t="shared" si="2536"/>
        <v>0</v>
      </c>
      <c r="IR341" s="21">
        <f t="shared" si="2536"/>
        <v>0</v>
      </c>
      <c r="IS341" s="21">
        <f t="shared" si="2536"/>
        <v>0</v>
      </c>
      <c r="IT341" s="21">
        <f t="shared" si="2536"/>
        <v>0</v>
      </c>
      <c r="IU341" s="21">
        <f t="shared" si="2536"/>
        <v>0</v>
      </c>
      <c r="IV341" s="21">
        <f t="shared" si="2536"/>
        <v>0</v>
      </c>
      <c r="IW341" s="21">
        <f t="shared" si="2536"/>
        <v>0</v>
      </c>
      <c r="IX341" s="21">
        <f t="shared" ref="IX341:JE341" si="2537">IF($F$290, 0, IF($G$298, IF(AND(COLUMN($IX$341)-COLUMN($IX$335)=$Q$291,ROW($IX$341)-ROW($IX$335)=$K$291), U$290, IX341), IX341))</f>
        <v>0</v>
      </c>
      <c r="IY341" s="21">
        <f t="shared" si="2537"/>
        <v>0</v>
      </c>
      <c r="IZ341" s="21">
        <f t="shared" si="2537"/>
        <v>0</v>
      </c>
      <c r="JA341" s="21">
        <f t="shared" si="2537"/>
        <v>0</v>
      </c>
      <c r="JB341" s="21">
        <f t="shared" si="2537"/>
        <v>0</v>
      </c>
      <c r="JC341" s="21">
        <f t="shared" si="2537"/>
        <v>0</v>
      </c>
      <c r="JD341" s="21">
        <f t="shared" si="2537"/>
        <v>0</v>
      </c>
      <c r="JE341" s="21">
        <f t="shared" si="2537"/>
        <v>0</v>
      </c>
      <c r="JF341" s="21">
        <f t="shared" ref="JF341:JM341" si="2538">IF($F$290, 0, IF($G$298, IF(AND(COLUMN($JF$341)-COLUMN($IX$335)=$Q$291,ROW($JF$341)-ROW($IX$335)=$K$291), U$290, JF341), JF341))</f>
        <v>0</v>
      </c>
      <c r="JG341" s="21">
        <f t="shared" si="2538"/>
        <v>0</v>
      </c>
      <c r="JH341" s="21">
        <f t="shared" si="2538"/>
        <v>0</v>
      </c>
      <c r="JI341" s="21">
        <f t="shared" si="2538"/>
        <v>0</v>
      </c>
      <c r="JJ341" s="21">
        <f t="shared" si="2538"/>
        <v>0</v>
      </c>
      <c r="JK341" s="21">
        <f t="shared" si="2538"/>
        <v>0</v>
      </c>
      <c r="JL341" s="21">
        <f t="shared" si="2538"/>
        <v>0</v>
      </c>
      <c r="JM341" s="21">
        <f t="shared" si="2538"/>
        <v>0</v>
      </c>
      <c r="JN341" s="21">
        <f t="shared" ref="JN341:JU341" si="2539">IF($F$290, 0, IF($G$298, IF(AND(COLUMN($JN$341)-COLUMN($IX$335)=$Q$291,ROW($JN$341)-ROW($IX$335)=$K$291), U$290, JN341), JN341))</f>
        <v>0</v>
      </c>
      <c r="JO341" s="21">
        <f t="shared" si="2539"/>
        <v>0</v>
      </c>
      <c r="JP341" s="21">
        <f t="shared" si="2539"/>
        <v>0</v>
      </c>
      <c r="JQ341" s="21">
        <f t="shared" si="2539"/>
        <v>0</v>
      </c>
      <c r="JR341" s="21">
        <f t="shared" si="2539"/>
        <v>0</v>
      </c>
      <c r="JS341" s="21">
        <f t="shared" si="2539"/>
        <v>0</v>
      </c>
      <c r="JT341" s="21">
        <f t="shared" si="2539"/>
        <v>0</v>
      </c>
      <c r="JU341" s="21">
        <f t="shared" si="2539"/>
        <v>0</v>
      </c>
      <c r="JV341" s="21">
        <f t="shared" ref="JV341:KC341" si="2540">IF($F$290, 0, IF($G$298, IF(AND(COLUMN($JV$341)-COLUMN($IX$335)=$Q$291,ROW($JV$341)-ROW($IX$335)=$K$291), U$290, JV341), JV341))</f>
        <v>0</v>
      </c>
      <c r="JW341" s="21">
        <f t="shared" si="2540"/>
        <v>0</v>
      </c>
      <c r="JX341" s="21">
        <f t="shared" si="2540"/>
        <v>0</v>
      </c>
      <c r="JY341" s="21">
        <f t="shared" si="2540"/>
        <v>0</v>
      </c>
      <c r="JZ341" s="21">
        <f t="shared" si="2540"/>
        <v>0</v>
      </c>
      <c r="KA341" s="21">
        <f t="shared" si="2540"/>
        <v>0</v>
      </c>
      <c r="KB341" s="21">
        <f t="shared" si="2540"/>
        <v>0</v>
      </c>
      <c r="KC341" s="21">
        <f t="shared" si="2540"/>
        <v>0</v>
      </c>
      <c r="KD341" s="21">
        <f t="shared" ref="KD341:KK341" si="2541">IF($F$290, 0, IF($G$298, IF(AND(COLUMN($KD$341)-COLUMN($IX$335)=$Q$291,ROW($KD$341)-ROW($IX$335)=$K$291), U$290, KD341), KD341))</f>
        <v>0</v>
      </c>
      <c r="KE341" s="21">
        <f t="shared" si="2541"/>
        <v>0</v>
      </c>
      <c r="KF341" s="21">
        <f t="shared" si="2541"/>
        <v>0</v>
      </c>
      <c r="KG341" s="21">
        <f t="shared" si="2541"/>
        <v>0</v>
      </c>
      <c r="KH341" s="21">
        <f t="shared" si="2541"/>
        <v>0</v>
      </c>
      <c r="KI341" s="21">
        <f t="shared" si="2541"/>
        <v>0</v>
      </c>
      <c r="KJ341" s="21">
        <f t="shared" si="2541"/>
        <v>0</v>
      </c>
      <c r="KK341" s="21">
        <f t="shared" si="2541"/>
        <v>0</v>
      </c>
      <c r="KL341" s="21">
        <f t="shared" ref="KL341:KS341" si="2542">IF($F$290, 0, IF($G$298, IF(AND(COLUMN($KL$341)-COLUMN($IX$335)=$Q$291,ROW($KL$341)-ROW($IX$335)=$K$291), U$290, KL341), KL341))</f>
        <v>0</v>
      </c>
      <c r="KM341" s="21">
        <f t="shared" si="2542"/>
        <v>0</v>
      </c>
      <c r="KN341" s="21">
        <f t="shared" si="2542"/>
        <v>0</v>
      </c>
      <c r="KO341" s="21">
        <f t="shared" si="2542"/>
        <v>0</v>
      </c>
      <c r="KP341" s="21">
        <f t="shared" si="2542"/>
        <v>0</v>
      </c>
      <c r="KQ341" s="21">
        <f t="shared" si="2542"/>
        <v>0</v>
      </c>
      <c r="KR341" s="21">
        <f t="shared" si="2542"/>
        <v>0</v>
      </c>
      <c r="KS341" s="21">
        <f t="shared" si="2542"/>
        <v>0</v>
      </c>
      <c r="KT341" s="21">
        <f t="shared" ref="KT341:LA341" si="2543">IF($F$290, 0, IF($G$298, IF(AND(COLUMN($KT$341)-COLUMN($IX$335)=$Q$291,ROW($KT$341)-ROW($IX$335)=$K$291), U$290, KT341), KT341))</f>
        <v>0</v>
      </c>
      <c r="KU341" s="21">
        <f t="shared" si="2543"/>
        <v>0</v>
      </c>
      <c r="KV341" s="21">
        <f t="shared" si="2543"/>
        <v>0</v>
      </c>
      <c r="KW341" s="21">
        <f t="shared" si="2543"/>
        <v>0</v>
      </c>
      <c r="KX341" s="21">
        <f t="shared" si="2543"/>
        <v>0</v>
      </c>
      <c r="KY341" s="21">
        <f t="shared" si="2543"/>
        <v>0</v>
      </c>
      <c r="KZ341" s="21">
        <f t="shared" si="2543"/>
        <v>0</v>
      </c>
      <c r="LA341" s="21">
        <f t="shared" si="2543"/>
        <v>0</v>
      </c>
      <c r="LB341" s="21">
        <f t="shared" ref="LB341:LI341" si="2544">IF($F$290, 0, IF($G$298, IF(AND(COLUMN($LB$341)-COLUMN($IX$335)=$Q$291,ROW($LB$341)-ROW($IX$335)=$K$291), U$290, LB341), LB341))</f>
        <v>0</v>
      </c>
      <c r="LC341" s="21">
        <f t="shared" si="2544"/>
        <v>0</v>
      </c>
      <c r="LD341" s="21">
        <f t="shared" si="2544"/>
        <v>0</v>
      </c>
      <c r="LE341" s="21">
        <f t="shared" si="2544"/>
        <v>0</v>
      </c>
      <c r="LF341" s="21">
        <f t="shared" si="2544"/>
        <v>0</v>
      </c>
      <c r="LG341" s="21">
        <f t="shared" si="2544"/>
        <v>0</v>
      </c>
      <c r="LH341" s="21">
        <f t="shared" si="2544"/>
        <v>0</v>
      </c>
      <c r="LI341" s="21">
        <f t="shared" si="2544"/>
        <v>0</v>
      </c>
      <c r="LJ341" s="21">
        <f t="shared" ref="LJ341:LQ341" si="2545">IF($F$290, 0, IF($H$298, IF(AND(COLUMN($LJ$341)-COLUMN($LJ$335)=$Q$291,ROW($LJ$341)-ROW($LJ$335)=$K$291), U$290, LJ341), LJ341))</f>
        <v>0</v>
      </c>
      <c r="LK341" s="21">
        <f t="shared" si="2545"/>
        <v>0</v>
      </c>
      <c r="LL341" s="21">
        <f t="shared" si="2545"/>
        <v>0</v>
      </c>
      <c r="LM341" s="21">
        <f t="shared" si="2545"/>
        <v>0</v>
      </c>
      <c r="LN341" s="21">
        <f t="shared" si="2545"/>
        <v>0</v>
      </c>
      <c r="LO341" s="21">
        <f t="shared" si="2545"/>
        <v>0</v>
      </c>
      <c r="LP341" s="21">
        <f t="shared" si="2545"/>
        <v>0</v>
      </c>
      <c r="LQ341" s="21">
        <f t="shared" si="2545"/>
        <v>0</v>
      </c>
      <c r="LR341" s="21">
        <f t="shared" ref="LR341:LY341" si="2546">IF($F$290, 0, IF($H$298, IF(AND(COLUMN($LR$341)-COLUMN($LJ$335)=$Q$291,ROW($LR$341)-ROW($LJ$335)=$K$291), U$290, LR341), LR341))</f>
        <v>0</v>
      </c>
      <c r="LS341" s="21">
        <f t="shared" si="2546"/>
        <v>0</v>
      </c>
      <c r="LT341" s="21">
        <f t="shared" si="2546"/>
        <v>0</v>
      </c>
      <c r="LU341" s="21">
        <f t="shared" si="2546"/>
        <v>0</v>
      </c>
      <c r="LV341" s="21">
        <f t="shared" si="2546"/>
        <v>0</v>
      </c>
      <c r="LW341" s="21">
        <f t="shared" si="2546"/>
        <v>0</v>
      </c>
      <c r="LX341" s="21">
        <f t="shared" si="2546"/>
        <v>0</v>
      </c>
      <c r="LY341" s="21">
        <f t="shared" si="2546"/>
        <v>0</v>
      </c>
      <c r="LZ341" s="21">
        <f t="shared" ref="LZ341:MG341" si="2547">IF($F$290, 0, IF($H$298, IF(AND(COLUMN($LZ$341)-COLUMN($LJ$335)=$Q$291,ROW($LZ$341)-ROW($LJ$335)=$K$291), U$290, LZ341), LZ341))</f>
        <v>0</v>
      </c>
      <c r="MA341" s="21">
        <f t="shared" si="2547"/>
        <v>0</v>
      </c>
      <c r="MB341" s="21">
        <f t="shared" si="2547"/>
        <v>0</v>
      </c>
      <c r="MC341" s="21">
        <f t="shared" si="2547"/>
        <v>0</v>
      </c>
      <c r="MD341" s="21">
        <f t="shared" si="2547"/>
        <v>0</v>
      </c>
      <c r="ME341" s="21">
        <f t="shared" si="2547"/>
        <v>0</v>
      </c>
      <c r="MF341" s="21">
        <f t="shared" si="2547"/>
        <v>0</v>
      </c>
      <c r="MG341" s="21">
        <f t="shared" si="2547"/>
        <v>0</v>
      </c>
      <c r="MH341" s="21">
        <f t="shared" ref="MH341:MO341" si="2548">IF($F$290, 0, IF($H$298, IF(AND(COLUMN($MH$341)-COLUMN($LJ$335)=$Q$291,ROW($MH$341)-ROW($LJ$335)=$K$291), U$290, MH341), MH341))</f>
        <v>0</v>
      </c>
      <c r="MI341" s="21">
        <f t="shared" si="2548"/>
        <v>0</v>
      </c>
      <c r="MJ341" s="21">
        <f t="shared" si="2548"/>
        <v>0</v>
      </c>
      <c r="MK341" s="21">
        <f t="shared" si="2548"/>
        <v>0</v>
      </c>
      <c r="ML341" s="21">
        <f t="shared" si="2548"/>
        <v>0</v>
      </c>
      <c r="MM341" s="21">
        <f t="shared" si="2548"/>
        <v>0</v>
      </c>
      <c r="MN341" s="21">
        <f t="shared" si="2548"/>
        <v>0</v>
      </c>
      <c r="MO341" s="21">
        <f t="shared" si="2548"/>
        <v>0</v>
      </c>
      <c r="MP341" s="21">
        <f t="shared" ref="MP341:MW341" si="2549">IF($F$290, 0, IF($H$298, IF(AND(COLUMN($MP$341)-COLUMN($LJ$335)=$Q$291,ROW($MP$341)-ROW($LJ$335)=$K$291), U$290, MP341), MP341))</f>
        <v>0</v>
      </c>
      <c r="MQ341" s="21">
        <f t="shared" si="2549"/>
        <v>0</v>
      </c>
      <c r="MR341" s="21">
        <f t="shared" si="2549"/>
        <v>0</v>
      </c>
      <c r="MS341" s="21">
        <f t="shared" si="2549"/>
        <v>0</v>
      </c>
      <c r="MT341" s="21">
        <f t="shared" si="2549"/>
        <v>0</v>
      </c>
      <c r="MU341" s="21">
        <f t="shared" si="2549"/>
        <v>0</v>
      </c>
      <c r="MV341" s="21">
        <f t="shared" si="2549"/>
        <v>0</v>
      </c>
      <c r="MW341" s="21">
        <f t="shared" si="2549"/>
        <v>0</v>
      </c>
      <c r="MX341" s="21">
        <f t="shared" ref="MX341:NE341" si="2550">IF($F$290, 0, IF($H$298, IF(AND(COLUMN($MX$341)-COLUMN($LJ$335)=$Q$291,ROW($MX$341)-ROW($LJ$335)=$K$291), U$290, MX341), MX341))</f>
        <v>0</v>
      </c>
      <c r="MY341" s="21">
        <f t="shared" si="2550"/>
        <v>0</v>
      </c>
      <c r="MZ341" s="21">
        <f t="shared" si="2550"/>
        <v>0</v>
      </c>
      <c r="NA341" s="21">
        <f t="shared" si="2550"/>
        <v>0</v>
      </c>
      <c r="NB341" s="21">
        <f t="shared" si="2550"/>
        <v>0</v>
      </c>
      <c r="NC341" s="21">
        <f t="shared" si="2550"/>
        <v>0</v>
      </c>
      <c r="ND341" s="21">
        <f t="shared" si="2550"/>
        <v>0</v>
      </c>
      <c r="NE341" s="21">
        <f t="shared" si="2550"/>
        <v>0</v>
      </c>
      <c r="NF341" s="21">
        <f t="shared" ref="NF341:NM341" si="2551">IF($F$290, 0, IF($H$298, IF(AND(COLUMN($NF$341)-COLUMN($LJ$335)=$Q$291,ROW($NF$341)-ROW($LJ$335)=$K$291), U$290, NF341), NF341))</f>
        <v>0</v>
      </c>
      <c r="NG341" s="21">
        <f t="shared" si="2551"/>
        <v>0</v>
      </c>
      <c r="NH341" s="21">
        <f t="shared" si="2551"/>
        <v>0</v>
      </c>
      <c r="NI341" s="21">
        <f t="shared" si="2551"/>
        <v>0</v>
      </c>
      <c r="NJ341" s="21">
        <f t="shared" si="2551"/>
        <v>0</v>
      </c>
      <c r="NK341" s="21">
        <f t="shared" si="2551"/>
        <v>0</v>
      </c>
      <c r="NL341" s="21">
        <f t="shared" si="2551"/>
        <v>0</v>
      </c>
      <c r="NM341" s="21">
        <f t="shared" si="2551"/>
        <v>0</v>
      </c>
      <c r="NN341" s="21">
        <f t="shared" ref="NN341:NU341" si="2552">IF($F$290, 0, IF($H$298, IF(AND(COLUMN($NN$341)-COLUMN($LJ$335)=$Q$291,ROW($NN$341)-ROW($LJ$335)=$K$291), U$290, NN341), NN341))</f>
        <v>0</v>
      </c>
      <c r="NO341" s="21">
        <f t="shared" si="2552"/>
        <v>0</v>
      </c>
      <c r="NP341" s="21">
        <f t="shared" si="2552"/>
        <v>0</v>
      </c>
      <c r="NQ341" s="21">
        <f t="shared" si="2552"/>
        <v>0</v>
      </c>
      <c r="NR341" s="21">
        <f t="shared" si="2552"/>
        <v>0</v>
      </c>
      <c r="NS341" s="21">
        <f t="shared" si="2552"/>
        <v>0</v>
      </c>
      <c r="NT341" s="21">
        <f t="shared" si="2552"/>
        <v>0</v>
      </c>
      <c r="NU341" s="21">
        <f t="shared" si="2552"/>
        <v>0</v>
      </c>
      <c r="NV341" s="21">
        <f t="shared" ref="NV341:OC341" si="2553">IF($F$290, 0, IF($I$298, IF(AND(COLUMN($NV$341)-COLUMN($NV$335)=$Q$291,ROW($NV$341)-ROW($NV$335)=$K$291), U$290, NV341), NV341))</f>
        <v>0</v>
      </c>
      <c r="NW341" s="21">
        <f t="shared" si="2553"/>
        <v>0</v>
      </c>
      <c r="NX341" s="21">
        <f t="shared" si="2553"/>
        <v>0</v>
      </c>
      <c r="NY341" s="21">
        <f t="shared" si="2553"/>
        <v>0</v>
      </c>
      <c r="NZ341" s="21">
        <f t="shared" si="2553"/>
        <v>0</v>
      </c>
      <c r="OA341" s="21">
        <f t="shared" si="2553"/>
        <v>0</v>
      </c>
      <c r="OB341" s="21">
        <f t="shared" si="2553"/>
        <v>0</v>
      </c>
      <c r="OC341" s="21">
        <f t="shared" si="2553"/>
        <v>0</v>
      </c>
      <c r="OD341" s="21">
        <f t="shared" ref="OD341:OK341" si="2554">IF($F$290, 0, IF($I$298, IF(AND(COLUMN($OD$341)-COLUMN($NV$335)=$Q$291,ROW($OD$341)-ROW($NV$335)=$K$291), U$290, OD341), OD341))</f>
        <v>0</v>
      </c>
      <c r="OE341" s="21">
        <f t="shared" si="2554"/>
        <v>0</v>
      </c>
      <c r="OF341" s="21">
        <f t="shared" si="2554"/>
        <v>0</v>
      </c>
      <c r="OG341" s="21">
        <f t="shared" si="2554"/>
        <v>0</v>
      </c>
      <c r="OH341" s="21">
        <f t="shared" si="2554"/>
        <v>0</v>
      </c>
      <c r="OI341" s="21">
        <f t="shared" si="2554"/>
        <v>0</v>
      </c>
      <c r="OJ341" s="21">
        <f t="shared" si="2554"/>
        <v>0</v>
      </c>
      <c r="OK341" s="21">
        <f t="shared" si="2554"/>
        <v>0</v>
      </c>
      <c r="OL341" s="21">
        <f t="shared" ref="OL341:OS341" si="2555">IF($F$290, 0, IF($I$298, IF(AND(COLUMN($OL$341)-COLUMN($NV$335)=$Q$291,ROW($OL$341)-ROW($NV$335)=$K$291), U$290, OL341), OL341))</f>
        <v>0</v>
      </c>
      <c r="OM341" s="21">
        <f t="shared" si="2555"/>
        <v>0</v>
      </c>
      <c r="ON341" s="21">
        <f t="shared" si="2555"/>
        <v>0</v>
      </c>
      <c r="OO341" s="21">
        <f t="shared" si="2555"/>
        <v>0</v>
      </c>
      <c r="OP341" s="21">
        <f t="shared" si="2555"/>
        <v>0</v>
      </c>
      <c r="OQ341" s="21">
        <f t="shared" si="2555"/>
        <v>0</v>
      </c>
      <c r="OR341" s="21">
        <f t="shared" si="2555"/>
        <v>0</v>
      </c>
      <c r="OS341" s="21">
        <f t="shared" si="2555"/>
        <v>0</v>
      </c>
      <c r="OT341" s="21">
        <f t="shared" ref="OT341:PA341" si="2556">IF($F$290, 0, IF($I$298, IF(AND(COLUMN($OT$341)-COLUMN($NV$335)=$Q$291,ROW($OT$341)-ROW($NV$335)=$K$291), U$290, OT341), OT341))</f>
        <v>0</v>
      </c>
      <c r="OU341" s="21">
        <f t="shared" si="2556"/>
        <v>0</v>
      </c>
      <c r="OV341" s="21">
        <f t="shared" si="2556"/>
        <v>0</v>
      </c>
      <c r="OW341" s="21">
        <f t="shared" si="2556"/>
        <v>0</v>
      </c>
      <c r="OX341" s="21">
        <f t="shared" si="2556"/>
        <v>0</v>
      </c>
      <c r="OY341" s="21">
        <f t="shared" si="2556"/>
        <v>0</v>
      </c>
      <c r="OZ341" s="21">
        <f t="shared" si="2556"/>
        <v>0</v>
      </c>
      <c r="PA341" s="21">
        <f t="shared" si="2556"/>
        <v>0</v>
      </c>
      <c r="PB341" s="21">
        <f t="shared" ref="PB341:PI341" si="2557">IF($F$290, 0, IF($I$298, IF(AND(COLUMN($PB$341)-COLUMN($NV$335)=$Q$291,ROW($PB$341)-ROW($NV$335)=$K$291), U$290, PB341), PB341))</f>
        <v>0</v>
      </c>
      <c r="PC341" s="21">
        <f t="shared" si="2557"/>
        <v>0</v>
      </c>
      <c r="PD341" s="21">
        <f t="shared" si="2557"/>
        <v>0</v>
      </c>
      <c r="PE341" s="21">
        <f t="shared" si="2557"/>
        <v>0</v>
      </c>
      <c r="PF341" s="21">
        <f t="shared" si="2557"/>
        <v>0</v>
      </c>
      <c r="PG341" s="21">
        <f t="shared" si="2557"/>
        <v>0</v>
      </c>
      <c r="PH341" s="21">
        <f t="shared" si="2557"/>
        <v>0</v>
      </c>
      <c r="PI341" s="21">
        <f t="shared" si="2557"/>
        <v>0</v>
      </c>
      <c r="PJ341" s="21">
        <f t="shared" ref="PJ341:PQ341" si="2558">IF($F$290, 0, IF($I$298, IF(AND(COLUMN($PJ$341)-COLUMN($NV$335)=$Q$291,ROW($PJ$341)-ROW($NV$335)=$K$291), U$290, PJ341), PJ341))</f>
        <v>0</v>
      </c>
      <c r="PK341" s="21">
        <f t="shared" si="2558"/>
        <v>0</v>
      </c>
      <c r="PL341" s="21">
        <f t="shared" si="2558"/>
        <v>0</v>
      </c>
      <c r="PM341" s="21">
        <f t="shared" si="2558"/>
        <v>0</v>
      </c>
      <c r="PN341" s="21">
        <f t="shared" si="2558"/>
        <v>0</v>
      </c>
      <c r="PO341" s="21">
        <f t="shared" si="2558"/>
        <v>0</v>
      </c>
      <c r="PP341" s="21">
        <f t="shared" si="2558"/>
        <v>0</v>
      </c>
      <c r="PQ341" s="21">
        <f t="shared" si="2558"/>
        <v>0</v>
      </c>
      <c r="PR341" s="21">
        <f t="shared" ref="PR341:PY341" si="2559">IF($F$290, 0, IF($I$298, IF(AND(COLUMN($PR$341)-COLUMN($NV$335)=$Q$291,ROW($PR$341)-ROW($NV$335)=$K$291), U$290, PR341), PR341))</f>
        <v>0</v>
      </c>
      <c r="PS341" s="21">
        <f t="shared" si="2559"/>
        <v>0</v>
      </c>
      <c r="PT341" s="21">
        <f t="shared" si="2559"/>
        <v>0</v>
      </c>
      <c r="PU341" s="21">
        <f t="shared" si="2559"/>
        <v>0</v>
      </c>
      <c r="PV341" s="21">
        <f t="shared" si="2559"/>
        <v>0</v>
      </c>
      <c r="PW341" s="21">
        <f t="shared" si="2559"/>
        <v>0</v>
      </c>
      <c r="PX341" s="21">
        <f t="shared" si="2559"/>
        <v>0</v>
      </c>
      <c r="PY341" s="21">
        <f t="shared" si="2559"/>
        <v>0</v>
      </c>
      <c r="PZ341" s="21">
        <f t="shared" ref="PZ341:QG341" si="2560">IF($F$290, 0, IF($I$298, IF(AND(COLUMN($PZ$341)-COLUMN($NV$335)=$Q$291,ROW($PZ$341)-ROW($NV$335)=$K$291), U$290, PZ341), PZ341))</f>
        <v>0</v>
      </c>
      <c r="QA341" s="21">
        <f t="shared" si="2560"/>
        <v>0</v>
      </c>
      <c r="QB341" s="21">
        <f t="shared" si="2560"/>
        <v>0</v>
      </c>
      <c r="QC341" s="21">
        <f t="shared" si="2560"/>
        <v>0</v>
      </c>
      <c r="QD341" s="21">
        <f t="shared" si="2560"/>
        <v>0</v>
      </c>
      <c r="QE341" s="21">
        <f t="shared" si="2560"/>
        <v>0</v>
      </c>
      <c r="QF341" s="21">
        <f t="shared" si="2560"/>
        <v>0</v>
      </c>
      <c r="QG341" s="21">
        <f t="shared" si="2560"/>
        <v>0</v>
      </c>
      <c r="QH341" s="21">
        <f t="shared" ref="QH341:QO341" si="2561">IF($F$290, 0, IF($J$298, IF(AND(COLUMN($QH$341)-COLUMN($QH$335)=$Q$291,ROW($QH$341)-ROW($QH$335)=$K$291), U$290, QH341), QH341))</f>
        <v>0</v>
      </c>
      <c r="QI341" s="21">
        <f t="shared" si="2561"/>
        <v>0</v>
      </c>
      <c r="QJ341" s="21">
        <f t="shared" si="2561"/>
        <v>0</v>
      </c>
      <c r="QK341" s="21">
        <f t="shared" si="2561"/>
        <v>0</v>
      </c>
      <c r="QL341" s="21">
        <f t="shared" si="2561"/>
        <v>0</v>
      </c>
      <c r="QM341" s="21">
        <f t="shared" si="2561"/>
        <v>0</v>
      </c>
      <c r="QN341" s="21">
        <f t="shared" si="2561"/>
        <v>0</v>
      </c>
      <c r="QO341" s="21">
        <f t="shared" si="2561"/>
        <v>0</v>
      </c>
      <c r="QP341" s="21">
        <f t="shared" ref="QP341:QW341" si="2562">IF($F$290, 0, IF($J$298, IF(AND(COLUMN($QP$341)-COLUMN($QH$335)=$Q$291,ROW($QP$341)-ROW($QH$335)=$K$291), U$290, QP341), QP341))</f>
        <v>0</v>
      </c>
      <c r="QQ341" s="21">
        <f t="shared" si="2562"/>
        <v>0</v>
      </c>
      <c r="QR341" s="21">
        <f t="shared" si="2562"/>
        <v>0</v>
      </c>
      <c r="QS341" s="21">
        <f t="shared" si="2562"/>
        <v>0</v>
      </c>
      <c r="QT341" s="21">
        <f t="shared" si="2562"/>
        <v>0</v>
      </c>
      <c r="QU341" s="21">
        <f t="shared" si="2562"/>
        <v>0</v>
      </c>
      <c r="QV341" s="21">
        <f t="shared" si="2562"/>
        <v>0</v>
      </c>
      <c r="QW341" s="21">
        <f t="shared" si="2562"/>
        <v>0</v>
      </c>
      <c r="QX341" s="21">
        <f t="shared" ref="QX341:RE341" si="2563">IF($F$290, 0, IF($J$298, IF(AND(COLUMN($QX$341)-COLUMN($QH$335)=$Q$291,ROW($QX$341)-ROW($QH$335)=$K$291), U$290, QX341), QX341))</f>
        <v>0</v>
      </c>
      <c r="QY341" s="21">
        <f t="shared" si="2563"/>
        <v>0</v>
      </c>
      <c r="QZ341" s="21">
        <f t="shared" si="2563"/>
        <v>0</v>
      </c>
      <c r="RA341" s="21">
        <f t="shared" si="2563"/>
        <v>0</v>
      </c>
      <c r="RB341" s="21">
        <f t="shared" si="2563"/>
        <v>0</v>
      </c>
      <c r="RC341" s="21">
        <f t="shared" si="2563"/>
        <v>0</v>
      </c>
      <c r="RD341" s="21">
        <f t="shared" si="2563"/>
        <v>0</v>
      </c>
      <c r="RE341" s="21">
        <f t="shared" si="2563"/>
        <v>0</v>
      </c>
      <c r="RF341" s="21">
        <f t="shared" ref="RF341:RM341" si="2564">IF($F$290, 0, IF($J$298, IF(AND(COLUMN($RF$341)-COLUMN($QH$335)=$Q$291,ROW($RF$341)-ROW($QH$335)=$K$291), U$290, RF341), RF341))</f>
        <v>0</v>
      </c>
      <c r="RG341" s="21">
        <f t="shared" si="2564"/>
        <v>0</v>
      </c>
      <c r="RH341" s="21">
        <f t="shared" si="2564"/>
        <v>0</v>
      </c>
      <c r="RI341" s="21">
        <f t="shared" si="2564"/>
        <v>0</v>
      </c>
      <c r="RJ341" s="21">
        <f t="shared" si="2564"/>
        <v>0</v>
      </c>
      <c r="RK341" s="21">
        <f t="shared" si="2564"/>
        <v>0</v>
      </c>
      <c r="RL341" s="21">
        <f t="shared" si="2564"/>
        <v>0</v>
      </c>
      <c r="RM341" s="21">
        <f t="shared" si="2564"/>
        <v>0</v>
      </c>
      <c r="RN341" s="21">
        <f t="shared" ref="RN341:RU341" si="2565">IF($F$290, 0, IF($J$298, IF(AND(COLUMN($RN$341)-COLUMN($QH$335)=$Q$291,ROW($RN$341)-ROW($QH$335)=$K$291), U$290, RN341), RN341))</f>
        <v>0</v>
      </c>
      <c r="RO341" s="21">
        <f t="shared" si="2565"/>
        <v>0</v>
      </c>
      <c r="RP341" s="21">
        <f t="shared" si="2565"/>
        <v>0</v>
      </c>
      <c r="RQ341" s="21">
        <f t="shared" si="2565"/>
        <v>0</v>
      </c>
      <c r="RR341" s="21">
        <f t="shared" si="2565"/>
        <v>0</v>
      </c>
      <c r="RS341" s="21">
        <f t="shared" si="2565"/>
        <v>0</v>
      </c>
      <c r="RT341" s="21">
        <f t="shared" si="2565"/>
        <v>0</v>
      </c>
      <c r="RU341" s="21">
        <f t="shared" si="2565"/>
        <v>0</v>
      </c>
      <c r="RV341" s="21">
        <f t="shared" ref="RV341:SC341" si="2566">IF($F$290, 0, IF($J$298, IF(AND(COLUMN($RV$341)-COLUMN($QH$335)=$Q$291,ROW($RV$341)-ROW($QH$335)=$K$291), U$290, RV341), RV341))</f>
        <v>0</v>
      </c>
      <c r="RW341" s="21">
        <f t="shared" si="2566"/>
        <v>0</v>
      </c>
      <c r="RX341" s="21">
        <f t="shared" si="2566"/>
        <v>0</v>
      </c>
      <c r="RY341" s="21">
        <f t="shared" si="2566"/>
        <v>0</v>
      </c>
      <c r="RZ341" s="21">
        <f t="shared" si="2566"/>
        <v>0</v>
      </c>
      <c r="SA341" s="21">
        <f t="shared" si="2566"/>
        <v>0</v>
      </c>
      <c r="SB341" s="21">
        <f t="shared" si="2566"/>
        <v>0</v>
      </c>
      <c r="SC341" s="21">
        <f t="shared" si="2566"/>
        <v>0</v>
      </c>
      <c r="SD341" s="21">
        <f t="shared" ref="SD341:SK341" si="2567">IF($F$290, 0, IF($J$298, IF(AND(COLUMN($SD$341)-COLUMN($QH$335)=$Q$291,ROW($SD$341)-ROW($QH$335)=$K$291), U$290, SD341), SD341))</f>
        <v>0</v>
      </c>
      <c r="SE341" s="21">
        <f t="shared" si="2567"/>
        <v>0</v>
      </c>
      <c r="SF341" s="21">
        <f t="shared" si="2567"/>
        <v>0</v>
      </c>
      <c r="SG341" s="21">
        <f t="shared" si="2567"/>
        <v>0</v>
      </c>
      <c r="SH341" s="21">
        <f t="shared" si="2567"/>
        <v>0</v>
      </c>
      <c r="SI341" s="21">
        <f t="shared" si="2567"/>
        <v>0</v>
      </c>
      <c r="SJ341" s="21">
        <f t="shared" si="2567"/>
        <v>0</v>
      </c>
      <c r="SK341" s="21">
        <f t="shared" si="2567"/>
        <v>0</v>
      </c>
      <c r="SL341" s="21">
        <f t="shared" ref="SL341:SS341" si="2568">IF($F$290, 0, IF($J$298, IF(AND(COLUMN($SL$341)-COLUMN($QH$335)=$Q$291,ROW($SL$341)-ROW($QH$335)=$K$291), U$290, SL341), SL341))</f>
        <v>0</v>
      </c>
      <c r="SM341" s="21">
        <f t="shared" si="2568"/>
        <v>0</v>
      </c>
      <c r="SN341" s="21">
        <f t="shared" si="2568"/>
        <v>0</v>
      </c>
      <c r="SO341" s="21">
        <f t="shared" si="2568"/>
        <v>0</v>
      </c>
      <c r="SP341" s="21">
        <f t="shared" si="2568"/>
        <v>0</v>
      </c>
      <c r="SQ341" s="21">
        <f t="shared" si="2568"/>
        <v>0</v>
      </c>
      <c r="SR341" s="21">
        <f t="shared" si="2568"/>
        <v>0</v>
      </c>
      <c r="SS341" s="21">
        <f t="shared" si="2568"/>
        <v>0</v>
      </c>
    </row>
    <row r="342" spans="2:513" ht="15" customHeight="1" x14ac:dyDescent="0.25">
      <c r="B342" s="21">
        <f t="shared" ref="B342:I342" si="2569">IF($F$290, 0, IF($C$298, IF(AND(COLUMN($B$342)-COLUMN($B$335)=$Q$291,ROW($B$342)-ROW($B$335)=$K$291), U$290, B342), B342))</f>
        <v>0</v>
      </c>
      <c r="C342" s="21">
        <f t="shared" si="2569"/>
        <v>0</v>
      </c>
      <c r="D342" s="21">
        <f t="shared" si="2569"/>
        <v>0</v>
      </c>
      <c r="E342" s="21">
        <f t="shared" si="2569"/>
        <v>0</v>
      </c>
      <c r="F342" s="21">
        <f t="shared" si="2569"/>
        <v>0</v>
      </c>
      <c r="G342" s="21">
        <f t="shared" si="2569"/>
        <v>0</v>
      </c>
      <c r="H342" s="21">
        <f t="shared" si="2569"/>
        <v>0</v>
      </c>
      <c r="I342" s="21">
        <f t="shared" si="2569"/>
        <v>0</v>
      </c>
      <c r="J342" s="21">
        <f t="shared" ref="J342:Q342" si="2570">IF($F$290, 0, IF($C$298, IF(AND(COLUMN($J$342)-COLUMN($B$335)=$Q$291,ROW($J$342)-ROW($B$335)=$K$291), U$290, J342), J342))</f>
        <v>0</v>
      </c>
      <c r="K342" s="21">
        <f t="shared" si="2570"/>
        <v>0</v>
      </c>
      <c r="L342" s="21">
        <f t="shared" si="2570"/>
        <v>0</v>
      </c>
      <c r="M342" s="21">
        <f t="shared" si="2570"/>
        <v>0</v>
      </c>
      <c r="N342" s="21">
        <f t="shared" si="2570"/>
        <v>0</v>
      </c>
      <c r="O342" s="21">
        <f t="shared" si="2570"/>
        <v>0</v>
      </c>
      <c r="P342" s="21">
        <f t="shared" si="2570"/>
        <v>0</v>
      </c>
      <c r="Q342" s="21">
        <f t="shared" si="2570"/>
        <v>0</v>
      </c>
      <c r="R342" s="21">
        <f>IF($F$290, 0, IF($C$298, IF(AND(COLUMN($R$342)-COLUMN($B$335)=$Q$291,ROW($R$342)-ROW($B$335)=$K$291), U$290, R342), R342))</f>
        <v>0</v>
      </c>
      <c r="S342" s="21">
        <f t="shared" ref="S342:Y342" si="2571">IF($F$290, 0, IF($C$298, IF(AND(COLUMN($R$342)-COLUMN($B$335)=$Q$291,ROW($R$342)-ROW($B$335)=$K$291), V$290, S342), S342))</f>
        <v>0</v>
      </c>
      <c r="T342" s="21">
        <f t="shared" si="2571"/>
        <v>0</v>
      </c>
      <c r="U342" s="21">
        <f t="shared" si="2571"/>
        <v>0</v>
      </c>
      <c r="V342" s="21">
        <f t="shared" si="2571"/>
        <v>0</v>
      </c>
      <c r="W342" s="21">
        <f t="shared" si="2571"/>
        <v>0</v>
      </c>
      <c r="X342" s="21">
        <f t="shared" si="2571"/>
        <v>0</v>
      </c>
      <c r="Y342" s="21">
        <f t="shared" si="2571"/>
        <v>0</v>
      </c>
      <c r="Z342" s="21">
        <f t="shared" ref="Z342:AG342" si="2572">IF($F$290, 0, IF($C$298, IF(AND(COLUMN($Z$342)-COLUMN($B$335)=$Q$291,ROW($Z$342)-ROW($B$335)=$K$291), U$290, Z342), Z342))</f>
        <v>0</v>
      </c>
      <c r="AA342" s="21">
        <f t="shared" si="2572"/>
        <v>0</v>
      </c>
      <c r="AB342" s="21">
        <f t="shared" si="2572"/>
        <v>0</v>
      </c>
      <c r="AC342" s="21">
        <f t="shared" si="2572"/>
        <v>0</v>
      </c>
      <c r="AD342" s="21">
        <f t="shared" si="2572"/>
        <v>0</v>
      </c>
      <c r="AE342" s="21">
        <f t="shared" si="2572"/>
        <v>0</v>
      </c>
      <c r="AF342" s="21">
        <f t="shared" si="2572"/>
        <v>0</v>
      </c>
      <c r="AG342" s="21">
        <f t="shared" si="2572"/>
        <v>0</v>
      </c>
      <c r="AH342" s="21">
        <f t="shared" ref="AH342:AO342" si="2573">IF($F$290, 0, IF($C$298, IF(AND(COLUMN($AH$342)-COLUMN($B$335)=$Q$291,ROW($AH$342)-ROW($B$335)=$K$291), U$290, AH342), AH342))</f>
        <v>0</v>
      </c>
      <c r="AI342" s="21">
        <f t="shared" si="2573"/>
        <v>0</v>
      </c>
      <c r="AJ342" s="21">
        <f t="shared" si="2573"/>
        <v>0</v>
      </c>
      <c r="AK342" s="21">
        <f t="shared" si="2573"/>
        <v>0</v>
      </c>
      <c r="AL342" s="21">
        <f t="shared" si="2573"/>
        <v>0</v>
      </c>
      <c r="AM342" s="21">
        <f t="shared" si="2573"/>
        <v>0</v>
      </c>
      <c r="AN342" s="21">
        <f t="shared" si="2573"/>
        <v>0</v>
      </c>
      <c r="AO342" s="21">
        <f t="shared" si="2573"/>
        <v>0</v>
      </c>
      <c r="AP342" s="21">
        <f t="shared" ref="AP342:AW342" si="2574">IF($F$290, 0, IF($C$298, IF(AND(COLUMN($AP$342)-COLUMN($B$335)=$Q$291,ROW($AP$342)-ROW($B$335)=$K$291), U$290, AP342), AP342))</f>
        <v>0</v>
      </c>
      <c r="AQ342" s="21">
        <f t="shared" si="2574"/>
        <v>0</v>
      </c>
      <c r="AR342" s="21">
        <f t="shared" si="2574"/>
        <v>0</v>
      </c>
      <c r="AS342" s="21">
        <f t="shared" si="2574"/>
        <v>0</v>
      </c>
      <c r="AT342" s="21">
        <f t="shared" si="2574"/>
        <v>0</v>
      </c>
      <c r="AU342" s="21">
        <f t="shared" si="2574"/>
        <v>0</v>
      </c>
      <c r="AV342" s="21">
        <f t="shared" si="2574"/>
        <v>0</v>
      </c>
      <c r="AW342" s="21">
        <f t="shared" si="2574"/>
        <v>0</v>
      </c>
      <c r="AX342" s="21">
        <f t="shared" ref="AX342:BE342" si="2575">IF($F$290, 0, IF($C$298, IF(AND(COLUMN($AX$342)-COLUMN($B$335)=$Q$291,ROW($AX$342)-ROW($B$335)=$K$291), U$290, AX342), AX342))</f>
        <v>0</v>
      </c>
      <c r="AY342" s="21">
        <f t="shared" si="2575"/>
        <v>0</v>
      </c>
      <c r="AZ342" s="21">
        <f t="shared" si="2575"/>
        <v>0</v>
      </c>
      <c r="BA342" s="21">
        <f t="shared" si="2575"/>
        <v>0</v>
      </c>
      <c r="BB342" s="21">
        <f t="shared" si="2575"/>
        <v>0</v>
      </c>
      <c r="BC342" s="21">
        <f t="shared" si="2575"/>
        <v>0</v>
      </c>
      <c r="BD342" s="21">
        <f t="shared" si="2575"/>
        <v>0</v>
      </c>
      <c r="BE342" s="21">
        <f t="shared" si="2575"/>
        <v>0</v>
      </c>
      <c r="BF342" s="21">
        <f t="shared" ref="BF342:BM342" si="2576">IF($F$290, 0, IF($C$298, IF(AND(COLUMN($BF$342)-COLUMN($B$335)=$Q$291,ROW($BF$342)-ROW($B$335)=$K$291), U$290, BF342), BF342))</f>
        <v>0</v>
      </c>
      <c r="BG342" s="21">
        <f t="shared" si="2576"/>
        <v>0</v>
      </c>
      <c r="BH342" s="21">
        <f t="shared" si="2576"/>
        <v>0</v>
      </c>
      <c r="BI342" s="21">
        <f t="shared" si="2576"/>
        <v>0</v>
      </c>
      <c r="BJ342" s="21">
        <f t="shared" si="2576"/>
        <v>0</v>
      </c>
      <c r="BK342" s="21">
        <f t="shared" si="2576"/>
        <v>0</v>
      </c>
      <c r="BL342" s="21">
        <f t="shared" si="2576"/>
        <v>0</v>
      </c>
      <c r="BM342" s="21">
        <f t="shared" si="2576"/>
        <v>0</v>
      </c>
      <c r="BN342" s="21">
        <f t="shared" ref="BN342:BU342" si="2577">IF($F$290, 0, IF($D$298, IF(AND(COLUMN($BN$342)-COLUMN($BN$335)=$Q$291,ROW($BN$342)-ROW($BN$335)=$K$291), U$290, BN342), BN342))</f>
        <v>0</v>
      </c>
      <c r="BO342" s="21">
        <f t="shared" si="2577"/>
        <v>0</v>
      </c>
      <c r="BP342" s="21">
        <f t="shared" si="2577"/>
        <v>0</v>
      </c>
      <c r="BQ342" s="21">
        <f t="shared" si="2577"/>
        <v>0</v>
      </c>
      <c r="BR342" s="21">
        <f t="shared" si="2577"/>
        <v>0</v>
      </c>
      <c r="BS342" s="21">
        <f t="shared" si="2577"/>
        <v>0</v>
      </c>
      <c r="BT342" s="21">
        <f t="shared" si="2577"/>
        <v>0</v>
      </c>
      <c r="BU342" s="21">
        <f t="shared" si="2577"/>
        <v>0</v>
      </c>
      <c r="BV342" s="21">
        <f t="shared" ref="BV342:CC342" si="2578">IF($F$290, 0, IF($D$298, IF(AND(COLUMN($BV$342)-COLUMN($BN$335)=$Q$291,ROW($BV$342)-ROW($BN$335)=$K$291), U$290, BV342), BV342))</f>
        <v>0</v>
      </c>
      <c r="BW342" s="21">
        <f t="shared" si="2578"/>
        <v>0</v>
      </c>
      <c r="BX342" s="21">
        <f t="shared" si="2578"/>
        <v>0</v>
      </c>
      <c r="BY342" s="21">
        <f t="shared" si="2578"/>
        <v>0</v>
      </c>
      <c r="BZ342" s="21">
        <f t="shared" si="2578"/>
        <v>0</v>
      </c>
      <c r="CA342" s="21">
        <f t="shared" si="2578"/>
        <v>0</v>
      </c>
      <c r="CB342" s="21">
        <f t="shared" si="2578"/>
        <v>0</v>
      </c>
      <c r="CC342" s="21">
        <f t="shared" si="2578"/>
        <v>0</v>
      </c>
      <c r="CD342" s="21">
        <f t="shared" ref="CD342:CK342" si="2579">IF($F$290, 0, IF($D$298, IF(AND(COLUMN($CD$342)-COLUMN($BN$335)=$Q$291,ROW($CD$342)-ROW($BN$335)=$K$291), U$290, CD342), CD342))</f>
        <v>0</v>
      </c>
      <c r="CE342" s="21">
        <f t="shared" si="2579"/>
        <v>0</v>
      </c>
      <c r="CF342" s="21">
        <f t="shared" si="2579"/>
        <v>0</v>
      </c>
      <c r="CG342" s="21">
        <f t="shared" si="2579"/>
        <v>0</v>
      </c>
      <c r="CH342" s="21">
        <f t="shared" si="2579"/>
        <v>0</v>
      </c>
      <c r="CI342" s="21">
        <f t="shared" si="2579"/>
        <v>0</v>
      </c>
      <c r="CJ342" s="21">
        <f t="shared" si="2579"/>
        <v>0</v>
      </c>
      <c r="CK342" s="21">
        <f t="shared" si="2579"/>
        <v>0</v>
      </c>
      <c r="CL342" s="21">
        <f t="shared" ref="CL342:CS342" si="2580">IF($F$290, 0, IF($D$298, IF(AND(COLUMN($CL$342)-COLUMN($BN$335)=$Q$291,ROW($CL$342)-ROW($BN$335)=$K$291), U$290, CL342), CL342))</f>
        <v>0</v>
      </c>
      <c r="CM342" s="21">
        <f t="shared" si="2580"/>
        <v>0</v>
      </c>
      <c r="CN342" s="21">
        <f t="shared" si="2580"/>
        <v>0</v>
      </c>
      <c r="CO342" s="21">
        <f t="shared" si="2580"/>
        <v>0</v>
      </c>
      <c r="CP342" s="21">
        <f t="shared" si="2580"/>
        <v>0</v>
      </c>
      <c r="CQ342" s="21">
        <f t="shared" si="2580"/>
        <v>0</v>
      </c>
      <c r="CR342" s="21">
        <f t="shared" si="2580"/>
        <v>0</v>
      </c>
      <c r="CS342" s="21">
        <f t="shared" si="2580"/>
        <v>0</v>
      </c>
      <c r="CT342" s="21">
        <f t="shared" ref="CT342:DA342" si="2581">IF($F$290, 0, IF($D$298, IF(AND(COLUMN($CT$342)-COLUMN($BN$335)=$Q$291,ROW($CT$342)-ROW($BN$335)=$K$291), U$290, CT342), CT342))</f>
        <v>0</v>
      </c>
      <c r="CU342" s="21">
        <f t="shared" si="2581"/>
        <v>0</v>
      </c>
      <c r="CV342" s="21">
        <f t="shared" si="2581"/>
        <v>0</v>
      </c>
      <c r="CW342" s="21">
        <f t="shared" si="2581"/>
        <v>0</v>
      </c>
      <c r="CX342" s="21">
        <f t="shared" si="2581"/>
        <v>0</v>
      </c>
      <c r="CY342" s="21">
        <f t="shared" si="2581"/>
        <v>0</v>
      </c>
      <c r="CZ342" s="21">
        <f t="shared" si="2581"/>
        <v>0</v>
      </c>
      <c r="DA342" s="21">
        <f t="shared" si="2581"/>
        <v>0</v>
      </c>
      <c r="DB342" s="21">
        <f t="shared" ref="DB342:DI342" si="2582">IF($F$290, 0, IF($D$298, IF(AND(COLUMN($DB$342)-COLUMN($BN$335)=$Q$291,ROW($DB$342)-ROW($BN$335)=$K$291), U$290, DB342), DB342))</f>
        <v>0</v>
      </c>
      <c r="DC342" s="21">
        <f t="shared" si="2582"/>
        <v>0</v>
      </c>
      <c r="DD342" s="21">
        <f t="shared" si="2582"/>
        <v>0</v>
      </c>
      <c r="DE342" s="21">
        <f t="shared" si="2582"/>
        <v>0</v>
      </c>
      <c r="DF342" s="21">
        <f t="shared" si="2582"/>
        <v>0</v>
      </c>
      <c r="DG342" s="21">
        <f t="shared" si="2582"/>
        <v>0</v>
      </c>
      <c r="DH342" s="21">
        <f t="shared" si="2582"/>
        <v>0</v>
      </c>
      <c r="DI342" s="21">
        <f t="shared" si="2582"/>
        <v>0</v>
      </c>
      <c r="DJ342" s="21">
        <f t="shared" ref="DJ342:DQ342" si="2583">IF($F$290, 0, IF($D$298, IF(AND(COLUMN($DJ$342)-COLUMN($BN$335)=$Q$291,ROW($DJ$342)-ROW($BN$335)=$K$291), U$290, DJ342), DJ342))</f>
        <v>0</v>
      </c>
      <c r="DK342" s="21">
        <f t="shared" si="2583"/>
        <v>0</v>
      </c>
      <c r="DL342" s="21">
        <f t="shared" si="2583"/>
        <v>0</v>
      </c>
      <c r="DM342" s="21">
        <f t="shared" si="2583"/>
        <v>0</v>
      </c>
      <c r="DN342" s="21">
        <f t="shared" si="2583"/>
        <v>0</v>
      </c>
      <c r="DO342" s="21">
        <f t="shared" si="2583"/>
        <v>0</v>
      </c>
      <c r="DP342" s="21">
        <f t="shared" si="2583"/>
        <v>0</v>
      </c>
      <c r="DQ342" s="21">
        <f t="shared" si="2583"/>
        <v>0</v>
      </c>
      <c r="DR342" s="21">
        <f t="shared" ref="DR342:DY342" si="2584">IF($F$290, 0, IF($D$298, IF(AND(COLUMN($DR$342)-COLUMN($BN$335)=$Q$291,ROW($DR$342)-ROW($BN$335)=$K$291), U$290, DR342), DR342))</f>
        <v>0</v>
      </c>
      <c r="DS342" s="21">
        <f t="shared" si="2584"/>
        <v>0</v>
      </c>
      <c r="DT342" s="21">
        <f t="shared" si="2584"/>
        <v>0</v>
      </c>
      <c r="DU342" s="21">
        <f t="shared" si="2584"/>
        <v>0</v>
      </c>
      <c r="DV342" s="21">
        <f t="shared" si="2584"/>
        <v>0</v>
      </c>
      <c r="DW342" s="21">
        <f t="shared" si="2584"/>
        <v>0</v>
      </c>
      <c r="DX342" s="21">
        <f t="shared" si="2584"/>
        <v>0</v>
      </c>
      <c r="DY342" s="21">
        <f t="shared" si="2584"/>
        <v>0</v>
      </c>
      <c r="DZ342" s="21">
        <f t="shared" ref="DZ342:EG342" si="2585">IF($F$290, 0, IF($E$298, IF(AND(COLUMN($DZ$342)-COLUMN($DZ$335)=$Q$291,ROW($DZ$342)-ROW($DZ$335)=$K$291), U$290, DZ342), DZ342))</f>
        <v>0</v>
      </c>
      <c r="EA342" s="21">
        <f t="shared" si="2585"/>
        <v>0</v>
      </c>
      <c r="EB342" s="21">
        <f t="shared" si="2585"/>
        <v>0</v>
      </c>
      <c r="EC342" s="21">
        <f t="shared" si="2585"/>
        <v>0</v>
      </c>
      <c r="ED342" s="21">
        <f t="shared" si="2585"/>
        <v>0</v>
      </c>
      <c r="EE342" s="21">
        <f t="shared" si="2585"/>
        <v>0</v>
      </c>
      <c r="EF342" s="21">
        <f t="shared" si="2585"/>
        <v>0</v>
      </c>
      <c r="EG342" s="21">
        <f t="shared" si="2585"/>
        <v>0</v>
      </c>
      <c r="EH342" s="21">
        <f t="shared" ref="EH342:EO342" si="2586">IF($F$290, 0, IF($E$298, IF(AND(COLUMN($EH$342)-COLUMN($DZ$335)=$Q$291,ROW($EH$342)-ROW($DZ$335)=$K$291), U$290, EH342), EH342))</f>
        <v>0</v>
      </c>
      <c r="EI342" s="21">
        <f t="shared" si="2586"/>
        <v>0</v>
      </c>
      <c r="EJ342" s="21">
        <f t="shared" si="2586"/>
        <v>0</v>
      </c>
      <c r="EK342" s="21">
        <f t="shared" si="2586"/>
        <v>0</v>
      </c>
      <c r="EL342" s="21">
        <f t="shared" si="2586"/>
        <v>0</v>
      </c>
      <c r="EM342" s="21">
        <f t="shared" si="2586"/>
        <v>0</v>
      </c>
      <c r="EN342" s="21">
        <f t="shared" si="2586"/>
        <v>0</v>
      </c>
      <c r="EO342" s="21">
        <f t="shared" si="2586"/>
        <v>0</v>
      </c>
      <c r="EP342" s="21">
        <f t="shared" ref="EP342:EW342" si="2587">IF($F$290, 0, IF($E$298, IF(AND(COLUMN($EP$342)-COLUMN($DZ$335)=$Q$291,ROW($EP$342)-ROW($DZ$335)=$K$291), U$290, EP342), EP342))</f>
        <v>0</v>
      </c>
      <c r="EQ342" s="21">
        <f t="shared" si="2587"/>
        <v>0</v>
      </c>
      <c r="ER342" s="21">
        <f t="shared" si="2587"/>
        <v>0</v>
      </c>
      <c r="ES342" s="21">
        <f t="shared" si="2587"/>
        <v>0</v>
      </c>
      <c r="ET342" s="21">
        <f t="shared" si="2587"/>
        <v>0</v>
      </c>
      <c r="EU342" s="21">
        <f t="shared" si="2587"/>
        <v>0</v>
      </c>
      <c r="EV342" s="21">
        <f t="shared" si="2587"/>
        <v>0</v>
      </c>
      <c r="EW342" s="21">
        <f t="shared" si="2587"/>
        <v>0</v>
      </c>
      <c r="EX342" s="21">
        <f t="shared" ref="EX342:FE342" si="2588">IF($F$290, 0, IF($E$298, IF(AND(COLUMN($EX$342)-COLUMN($DZ$335)=$Q$291,ROW($EX$342)-ROW($DZ$335)=$K$291), U$290, EX342), EX342))</f>
        <v>0</v>
      </c>
      <c r="EY342" s="21">
        <f t="shared" si="2588"/>
        <v>0</v>
      </c>
      <c r="EZ342" s="21">
        <f t="shared" si="2588"/>
        <v>0</v>
      </c>
      <c r="FA342" s="21">
        <f t="shared" si="2588"/>
        <v>0</v>
      </c>
      <c r="FB342" s="21">
        <f t="shared" si="2588"/>
        <v>0</v>
      </c>
      <c r="FC342" s="21">
        <f t="shared" si="2588"/>
        <v>0</v>
      </c>
      <c r="FD342" s="21">
        <f t="shared" si="2588"/>
        <v>0</v>
      </c>
      <c r="FE342" s="21">
        <f t="shared" si="2588"/>
        <v>0</v>
      </c>
      <c r="FF342" s="21">
        <f t="shared" ref="FF342:FM342" si="2589">IF($F$290, 0, IF($E$298, IF(AND(COLUMN($FF$342)-COLUMN($DZ$335)=$Q$291,ROW($FF$342)-ROW($DZ$335)=$K$291), U$290, FF342), FF342))</f>
        <v>0</v>
      </c>
      <c r="FG342" s="21">
        <f t="shared" si="2589"/>
        <v>0</v>
      </c>
      <c r="FH342" s="21">
        <f t="shared" si="2589"/>
        <v>0</v>
      </c>
      <c r="FI342" s="21">
        <f t="shared" si="2589"/>
        <v>0</v>
      </c>
      <c r="FJ342" s="21">
        <f t="shared" si="2589"/>
        <v>0</v>
      </c>
      <c r="FK342" s="21">
        <f t="shared" si="2589"/>
        <v>0</v>
      </c>
      <c r="FL342" s="21">
        <f t="shared" si="2589"/>
        <v>0</v>
      </c>
      <c r="FM342" s="21">
        <f t="shared" si="2589"/>
        <v>0</v>
      </c>
      <c r="FN342" s="21">
        <f t="shared" ref="FN342:FU342" si="2590">IF($F$290, 0, IF($E$298, IF(AND(COLUMN($FN$342)-COLUMN($DZ$335)=$Q$291,ROW($FN$342)-ROW($DZ$335)=$K$291), U$290, FN342), FN342))</f>
        <v>0</v>
      </c>
      <c r="FO342" s="21">
        <f t="shared" si="2590"/>
        <v>0</v>
      </c>
      <c r="FP342" s="21">
        <f t="shared" si="2590"/>
        <v>0</v>
      </c>
      <c r="FQ342" s="21">
        <f t="shared" si="2590"/>
        <v>0</v>
      </c>
      <c r="FR342" s="21">
        <f t="shared" si="2590"/>
        <v>0</v>
      </c>
      <c r="FS342" s="21">
        <f t="shared" si="2590"/>
        <v>0</v>
      </c>
      <c r="FT342" s="21">
        <f t="shared" si="2590"/>
        <v>0</v>
      </c>
      <c r="FU342" s="21">
        <f t="shared" si="2590"/>
        <v>0</v>
      </c>
      <c r="FV342" s="21">
        <f t="shared" ref="FV342:GC342" si="2591">IF($F$290, 0, IF($E$298, IF(AND(COLUMN($FV$342)-COLUMN($DZ$335)=$Q$291,ROW($FV$342)-ROW($DZ$335)=$K$291), U$290, FV342), FV342))</f>
        <v>0</v>
      </c>
      <c r="FW342" s="21">
        <f t="shared" si="2591"/>
        <v>0</v>
      </c>
      <c r="FX342" s="21">
        <f t="shared" si="2591"/>
        <v>0</v>
      </c>
      <c r="FY342" s="21">
        <f t="shared" si="2591"/>
        <v>0</v>
      </c>
      <c r="FZ342" s="21">
        <f t="shared" si="2591"/>
        <v>0</v>
      </c>
      <c r="GA342" s="21">
        <f t="shared" si="2591"/>
        <v>0</v>
      </c>
      <c r="GB342" s="21">
        <f t="shared" si="2591"/>
        <v>0</v>
      </c>
      <c r="GC342" s="21">
        <f t="shared" si="2591"/>
        <v>0</v>
      </c>
      <c r="GD342" s="21">
        <f t="shared" ref="GD342:GK342" si="2592">IF($F$290, 0, IF($E$298, IF(AND(COLUMN($GD$342)-COLUMN($DZ$335)=$Q$291,ROW($GD$342)-ROW($DZ$335)=$K$291), U$290, GD342), GD342))</f>
        <v>0</v>
      </c>
      <c r="GE342" s="21">
        <f t="shared" si="2592"/>
        <v>0</v>
      </c>
      <c r="GF342" s="21">
        <f t="shared" si="2592"/>
        <v>0</v>
      </c>
      <c r="GG342" s="21">
        <f t="shared" si="2592"/>
        <v>0</v>
      </c>
      <c r="GH342" s="21">
        <f t="shared" si="2592"/>
        <v>0</v>
      </c>
      <c r="GI342" s="21">
        <f t="shared" si="2592"/>
        <v>0</v>
      </c>
      <c r="GJ342" s="21">
        <f t="shared" si="2592"/>
        <v>0</v>
      </c>
      <c r="GK342" s="21">
        <f t="shared" si="2592"/>
        <v>0</v>
      </c>
      <c r="GL342" s="21">
        <f t="shared" ref="GL342:GS342" si="2593">IF($F$290, 0, IF($F$298, IF(AND(COLUMN($GL$342)-COLUMN($GL$335)=$Q$291,ROW($GL$342)-ROW($GL$335)=$K$291), U$290, GL342), GL342))</f>
        <v>0</v>
      </c>
      <c r="GM342" s="21">
        <f t="shared" si="2593"/>
        <v>0</v>
      </c>
      <c r="GN342" s="21">
        <f t="shared" si="2593"/>
        <v>0</v>
      </c>
      <c r="GO342" s="21">
        <f t="shared" si="2593"/>
        <v>0</v>
      </c>
      <c r="GP342" s="21">
        <f t="shared" si="2593"/>
        <v>0</v>
      </c>
      <c r="GQ342" s="21">
        <f t="shared" si="2593"/>
        <v>0</v>
      </c>
      <c r="GR342" s="21">
        <f t="shared" si="2593"/>
        <v>0</v>
      </c>
      <c r="GS342" s="21">
        <f t="shared" si="2593"/>
        <v>0</v>
      </c>
      <c r="GT342" s="21">
        <f t="shared" ref="GT342:HA342" si="2594">IF($F$290, 0, IF($F$298, IF(AND(COLUMN($GT$342)-COLUMN($GL$335)=$Q$291,ROW($GT$342)-ROW($GL$335)=$K$291), U$290, GT342), GT342))</f>
        <v>0</v>
      </c>
      <c r="GU342" s="21">
        <f t="shared" si="2594"/>
        <v>0</v>
      </c>
      <c r="GV342" s="21">
        <f t="shared" si="2594"/>
        <v>0</v>
      </c>
      <c r="GW342" s="21">
        <f t="shared" si="2594"/>
        <v>0</v>
      </c>
      <c r="GX342" s="21">
        <f t="shared" si="2594"/>
        <v>0</v>
      </c>
      <c r="GY342" s="21">
        <f t="shared" si="2594"/>
        <v>0</v>
      </c>
      <c r="GZ342" s="21">
        <f t="shared" si="2594"/>
        <v>0</v>
      </c>
      <c r="HA342" s="21">
        <f t="shared" si="2594"/>
        <v>0</v>
      </c>
      <c r="HB342" s="21">
        <f t="shared" ref="HB342:HI342" si="2595">IF($F$290, 0, IF($F$298, IF(AND(COLUMN($HB$342)-COLUMN($GL$335)=$Q$291,ROW($HB$342)-ROW($GL$335)=$K$291), U$290, HB342), HB342))</f>
        <v>0</v>
      </c>
      <c r="HC342" s="21">
        <f t="shared" si="2595"/>
        <v>0</v>
      </c>
      <c r="HD342" s="21">
        <f t="shared" si="2595"/>
        <v>0</v>
      </c>
      <c r="HE342" s="21">
        <f t="shared" si="2595"/>
        <v>0</v>
      </c>
      <c r="HF342" s="21">
        <f t="shared" si="2595"/>
        <v>0</v>
      </c>
      <c r="HG342" s="21">
        <f t="shared" si="2595"/>
        <v>0</v>
      </c>
      <c r="HH342" s="21">
        <f t="shared" si="2595"/>
        <v>0</v>
      </c>
      <c r="HI342" s="21">
        <f t="shared" si="2595"/>
        <v>0</v>
      </c>
      <c r="HJ342" s="21">
        <f t="shared" ref="HJ342:HQ342" si="2596">IF($F$290, 0, IF($F$298, IF(AND(COLUMN($HJ$342)-COLUMN($GL$335)=$Q$291,ROW($HJ$342)-ROW($GL$335)=$K$291), U$290, HJ342), HJ342))</f>
        <v>0</v>
      </c>
      <c r="HK342" s="21">
        <f t="shared" si="2596"/>
        <v>0</v>
      </c>
      <c r="HL342" s="21">
        <f t="shared" si="2596"/>
        <v>0</v>
      </c>
      <c r="HM342" s="21">
        <f t="shared" si="2596"/>
        <v>0</v>
      </c>
      <c r="HN342" s="21">
        <f t="shared" si="2596"/>
        <v>0</v>
      </c>
      <c r="HO342" s="21">
        <f t="shared" si="2596"/>
        <v>0</v>
      </c>
      <c r="HP342" s="21">
        <f t="shared" si="2596"/>
        <v>0</v>
      </c>
      <c r="HQ342" s="21">
        <f t="shared" si="2596"/>
        <v>0</v>
      </c>
      <c r="HR342" s="21">
        <f t="shared" ref="HR342:HY342" si="2597">IF($F$290, 0, IF($F$298, IF(AND(COLUMN($HR$342)-COLUMN($GL$335)=$Q$291,ROW($HR$342)-ROW($GL$335)=$K$291), U$290, HR342), HR342))</f>
        <v>0</v>
      </c>
      <c r="HS342" s="21">
        <f t="shared" si="2597"/>
        <v>0</v>
      </c>
      <c r="HT342" s="21">
        <f t="shared" si="2597"/>
        <v>0</v>
      </c>
      <c r="HU342" s="21">
        <f t="shared" si="2597"/>
        <v>0</v>
      </c>
      <c r="HV342" s="21">
        <f t="shared" si="2597"/>
        <v>0</v>
      </c>
      <c r="HW342" s="21">
        <f t="shared" si="2597"/>
        <v>0</v>
      </c>
      <c r="HX342" s="21">
        <f t="shared" si="2597"/>
        <v>0</v>
      </c>
      <c r="HY342" s="21">
        <f t="shared" si="2597"/>
        <v>0</v>
      </c>
      <c r="HZ342" s="21">
        <f t="shared" ref="HZ342:IG342" si="2598">IF($F$290, 0, IF($F$298, IF(AND(COLUMN($HZ$342)-COLUMN($GL$335)=$Q$291,ROW($HZ$342)-ROW($GL$335)=$K$291), U$290, HZ342), HZ342))</f>
        <v>0</v>
      </c>
      <c r="IA342" s="21">
        <f t="shared" si="2598"/>
        <v>0</v>
      </c>
      <c r="IB342" s="21">
        <f t="shared" si="2598"/>
        <v>0</v>
      </c>
      <c r="IC342" s="21">
        <f t="shared" si="2598"/>
        <v>0</v>
      </c>
      <c r="ID342" s="21">
        <f t="shared" si="2598"/>
        <v>0</v>
      </c>
      <c r="IE342" s="21">
        <f t="shared" si="2598"/>
        <v>0</v>
      </c>
      <c r="IF342" s="21">
        <f t="shared" si="2598"/>
        <v>0</v>
      </c>
      <c r="IG342" s="21">
        <f t="shared" si="2598"/>
        <v>0</v>
      </c>
      <c r="IH342" s="21">
        <f t="shared" ref="IH342:IO342" si="2599">IF($F$290, 0, IF($F$298, IF(AND(COLUMN($IH$342)-COLUMN($GL$335)=$Q$291,ROW($IH$342)-ROW($GL$335)=$K$291), U$290, IH342), IH342))</f>
        <v>0</v>
      </c>
      <c r="II342" s="21">
        <f t="shared" si="2599"/>
        <v>0</v>
      </c>
      <c r="IJ342" s="21">
        <f t="shared" si="2599"/>
        <v>0</v>
      </c>
      <c r="IK342" s="21">
        <f t="shared" si="2599"/>
        <v>0</v>
      </c>
      <c r="IL342" s="21">
        <f t="shared" si="2599"/>
        <v>0</v>
      </c>
      <c r="IM342" s="21">
        <f t="shared" si="2599"/>
        <v>0</v>
      </c>
      <c r="IN342" s="21">
        <f t="shared" si="2599"/>
        <v>0</v>
      </c>
      <c r="IO342" s="21">
        <f t="shared" si="2599"/>
        <v>0</v>
      </c>
      <c r="IP342" s="21">
        <f t="shared" ref="IP342:IW342" si="2600">IF($F$290, 0, IF($F$298, IF(AND(COLUMN($IP$342)-COLUMN($GL$335)=$Q$291,ROW($IP$342)-ROW($GL$335)=$K$291), U$290, IP342), IP342))</f>
        <v>0</v>
      </c>
      <c r="IQ342" s="21">
        <f t="shared" si="2600"/>
        <v>0</v>
      </c>
      <c r="IR342" s="21">
        <f t="shared" si="2600"/>
        <v>0</v>
      </c>
      <c r="IS342" s="21">
        <f t="shared" si="2600"/>
        <v>0</v>
      </c>
      <c r="IT342" s="21">
        <f t="shared" si="2600"/>
        <v>0</v>
      </c>
      <c r="IU342" s="21">
        <f t="shared" si="2600"/>
        <v>0</v>
      </c>
      <c r="IV342" s="21">
        <f t="shared" si="2600"/>
        <v>0</v>
      </c>
      <c r="IW342" s="21">
        <f t="shared" si="2600"/>
        <v>0</v>
      </c>
      <c r="IX342" s="21">
        <f t="shared" ref="IX342:JE342" si="2601">IF($F$290, 0, IF($G$298, IF(AND(COLUMN($IX$342)-COLUMN($IX$335)=$Q$291,ROW($IX$342)-ROW($IX$335)=$K$291), U$290, IX342), IX342))</f>
        <v>0</v>
      </c>
      <c r="IY342" s="21">
        <f t="shared" si="2601"/>
        <v>0</v>
      </c>
      <c r="IZ342" s="21">
        <f t="shared" si="2601"/>
        <v>0</v>
      </c>
      <c r="JA342" s="21">
        <f t="shared" si="2601"/>
        <v>0</v>
      </c>
      <c r="JB342" s="21">
        <f t="shared" si="2601"/>
        <v>0</v>
      </c>
      <c r="JC342" s="21">
        <f t="shared" si="2601"/>
        <v>0</v>
      </c>
      <c r="JD342" s="21">
        <f t="shared" si="2601"/>
        <v>0</v>
      </c>
      <c r="JE342" s="21">
        <f t="shared" si="2601"/>
        <v>0</v>
      </c>
      <c r="JF342" s="21">
        <f t="shared" ref="JF342:JM342" si="2602">IF($F$290, 0, IF($G$298, IF(AND(COLUMN($JF$342)-COLUMN($IX$335)=$Q$291,ROW($JF$342)-ROW($IX$335)=$K$291), U$290, JF342), JF342))</f>
        <v>0</v>
      </c>
      <c r="JG342" s="21">
        <f t="shared" si="2602"/>
        <v>0</v>
      </c>
      <c r="JH342" s="21">
        <f t="shared" si="2602"/>
        <v>0</v>
      </c>
      <c r="JI342" s="21">
        <f t="shared" si="2602"/>
        <v>0</v>
      </c>
      <c r="JJ342" s="21">
        <f t="shared" si="2602"/>
        <v>0</v>
      </c>
      <c r="JK342" s="21">
        <f t="shared" si="2602"/>
        <v>0</v>
      </c>
      <c r="JL342" s="21">
        <f t="shared" si="2602"/>
        <v>0</v>
      </c>
      <c r="JM342" s="21">
        <f t="shared" si="2602"/>
        <v>0</v>
      </c>
      <c r="JN342" s="21">
        <f t="shared" ref="JN342:JU342" si="2603">IF($F$290, 0, IF($G$298, IF(AND(COLUMN($JN$342)-COLUMN($IX$335)=$Q$291,ROW($JN$342)-ROW($IX$335)=$K$291), U$290, JN342), JN342))</f>
        <v>0</v>
      </c>
      <c r="JO342" s="21">
        <f t="shared" si="2603"/>
        <v>0</v>
      </c>
      <c r="JP342" s="21">
        <f t="shared" si="2603"/>
        <v>0</v>
      </c>
      <c r="JQ342" s="21">
        <f t="shared" si="2603"/>
        <v>0</v>
      </c>
      <c r="JR342" s="21">
        <f t="shared" si="2603"/>
        <v>0</v>
      </c>
      <c r="JS342" s="21">
        <f t="shared" si="2603"/>
        <v>0</v>
      </c>
      <c r="JT342" s="21">
        <f t="shared" si="2603"/>
        <v>0</v>
      </c>
      <c r="JU342" s="21">
        <f t="shared" si="2603"/>
        <v>0</v>
      </c>
      <c r="JV342" s="21">
        <f t="shared" ref="JV342:KC342" si="2604">IF($F$290, 0, IF($G$298, IF(AND(COLUMN($JV$342)-COLUMN($IX$335)=$Q$291,ROW($JV$342)-ROW($IX$335)=$K$291), U$290, JV342), JV342))</f>
        <v>0</v>
      </c>
      <c r="JW342" s="21">
        <f t="shared" si="2604"/>
        <v>0</v>
      </c>
      <c r="JX342" s="21">
        <f t="shared" si="2604"/>
        <v>0</v>
      </c>
      <c r="JY342" s="21">
        <f t="shared" si="2604"/>
        <v>0</v>
      </c>
      <c r="JZ342" s="21">
        <f t="shared" si="2604"/>
        <v>0</v>
      </c>
      <c r="KA342" s="21">
        <f t="shared" si="2604"/>
        <v>0</v>
      </c>
      <c r="KB342" s="21">
        <f t="shared" si="2604"/>
        <v>0</v>
      </c>
      <c r="KC342" s="21">
        <f t="shared" si="2604"/>
        <v>0</v>
      </c>
      <c r="KD342" s="21">
        <f t="shared" ref="KD342:KK342" si="2605">IF($F$290, 0, IF($G$298, IF(AND(COLUMN($KD$342)-COLUMN($IX$335)=$Q$291,ROW($KD$342)-ROW($IX$335)=$K$291), U$290, KD342), KD342))</f>
        <v>0</v>
      </c>
      <c r="KE342" s="21">
        <f t="shared" si="2605"/>
        <v>0</v>
      </c>
      <c r="KF342" s="21">
        <f t="shared" si="2605"/>
        <v>0</v>
      </c>
      <c r="KG342" s="21">
        <f t="shared" si="2605"/>
        <v>0</v>
      </c>
      <c r="KH342" s="21">
        <f t="shared" si="2605"/>
        <v>0</v>
      </c>
      <c r="KI342" s="21">
        <f t="shared" si="2605"/>
        <v>0</v>
      </c>
      <c r="KJ342" s="21">
        <f t="shared" si="2605"/>
        <v>0</v>
      </c>
      <c r="KK342" s="21">
        <f t="shared" si="2605"/>
        <v>0</v>
      </c>
      <c r="KL342" s="21">
        <f t="shared" ref="KL342:KS342" si="2606">IF($F$290, 0, IF($G$298, IF(AND(COLUMN($KL$342)-COLUMN($IX$335)=$Q$291,ROW($KL$342)-ROW($IX$335)=$K$291), U$290, KL342), KL342))</f>
        <v>0</v>
      </c>
      <c r="KM342" s="21">
        <f t="shared" si="2606"/>
        <v>0</v>
      </c>
      <c r="KN342" s="21">
        <f t="shared" si="2606"/>
        <v>0</v>
      </c>
      <c r="KO342" s="21">
        <f t="shared" si="2606"/>
        <v>0</v>
      </c>
      <c r="KP342" s="21">
        <f t="shared" si="2606"/>
        <v>0</v>
      </c>
      <c r="KQ342" s="21">
        <f t="shared" si="2606"/>
        <v>0</v>
      </c>
      <c r="KR342" s="21">
        <f t="shared" si="2606"/>
        <v>0</v>
      </c>
      <c r="KS342" s="21">
        <f t="shared" si="2606"/>
        <v>0</v>
      </c>
      <c r="KT342" s="21">
        <f t="shared" ref="KT342:LA342" si="2607">IF($F$290, 0, IF($G$298, IF(AND(COLUMN($KT$342)-COLUMN($IX$335)=$Q$291,ROW($KT$342)-ROW($IX$335)=$K$291), U$290, KT342), KT342))</f>
        <v>0</v>
      </c>
      <c r="KU342" s="21">
        <f t="shared" si="2607"/>
        <v>0</v>
      </c>
      <c r="KV342" s="21">
        <f t="shared" si="2607"/>
        <v>0</v>
      </c>
      <c r="KW342" s="21">
        <f t="shared" si="2607"/>
        <v>0</v>
      </c>
      <c r="KX342" s="21">
        <f t="shared" si="2607"/>
        <v>0</v>
      </c>
      <c r="KY342" s="21">
        <f t="shared" si="2607"/>
        <v>0</v>
      </c>
      <c r="KZ342" s="21">
        <f t="shared" si="2607"/>
        <v>0</v>
      </c>
      <c r="LA342" s="21">
        <f t="shared" si="2607"/>
        <v>0</v>
      </c>
      <c r="LB342" s="21">
        <f t="shared" ref="LB342:LI342" si="2608">IF($F$290, 0, IF($G$298, IF(AND(COLUMN($LB$342)-COLUMN($IX$335)=$Q$291,ROW($LB$342)-ROW($IX$335)=$K$291), U$290, LB342), LB342))</f>
        <v>0</v>
      </c>
      <c r="LC342" s="21">
        <f t="shared" si="2608"/>
        <v>0</v>
      </c>
      <c r="LD342" s="21">
        <f t="shared" si="2608"/>
        <v>0</v>
      </c>
      <c r="LE342" s="21">
        <f t="shared" si="2608"/>
        <v>0</v>
      </c>
      <c r="LF342" s="21">
        <f t="shared" si="2608"/>
        <v>0</v>
      </c>
      <c r="LG342" s="21">
        <f t="shared" si="2608"/>
        <v>0</v>
      </c>
      <c r="LH342" s="21">
        <f t="shared" si="2608"/>
        <v>0</v>
      </c>
      <c r="LI342" s="21">
        <f t="shared" si="2608"/>
        <v>0</v>
      </c>
      <c r="LJ342" s="21">
        <f t="shared" ref="LJ342:LQ342" si="2609">IF($F$290, 0, IF($H$298, IF(AND(COLUMN($LJ$342)-COLUMN($LJ$335)=$Q$291,ROW($LJ$342)-ROW($LJ$335)=$K$291), U$290, LJ342), LJ342))</f>
        <v>0</v>
      </c>
      <c r="LK342" s="21">
        <f t="shared" si="2609"/>
        <v>0</v>
      </c>
      <c r="LL342" s="21">
        <f t="shared" si="2609"/>
        <v>0</v>
      </c>
      <c r="LM342" s="21">
        <f t="shared" si="2609"/>
        <v>0</v>
      </c>
      <c r="LN342" s="21">
        <f t="shared" si="2609"/>
        <v>0</v>
      </c>
      <c r="LO342" s="21">
        <f t="shared" si="2609"/>
        <v>0</v>
      </c>
      <c r="LP342" s="21">
        <f t="shared" si="2609"/>
        <v>0</v>
      </c>
      <c r="LQ342" s="21">
        <f t="shared" si="2609"/>
        <v>0</v>
      </c>
      <c r="LR342" s="21">
        <f t="shared" ref="LR342:LY342" si="2610">IF($F$290, 0, IF($H$298, IF(AND(COLUMN($LR$342)-COLUMN($LJ$335)=$Q$291,ROW($LR$342)-ROW($LJ$335)=$K$291), U$290, LR342), LR342))</f>
        <v>0</v>
      </c>
      <c r="LS342" s="21">
        <f t="shared" si="2610"/>
        <v>0</v>
      </c>
      <c r="LT342" s="21">
        <f t="shared" si="2610"/>
        <v>0</v>
      </c>
      <c r="LU342" s="21">
        <f t="shared" si="2610"/>
        <v>0</v>
      </c>
      <c r="LV342" s="21">
        <f t="shared" si="2610"/>
        <v>0</v>
      </c>
      <c r="LW342" s="21">
        <f t="shared" si="2610"/>
        <v>0</v>
      </c>
      <c r="LX342" s="21">
        <f t="shared" si="2610"/>
        <v>0</v>
      </c>
      <c r="LY342" s="21">
        <f t="shared" si="2610"/>
        <v>0</v>
      </c>
      <c r="LZ342" s="21">
        <f t="shared" ref="LZ342:MG342" si="2611">IF($F$290, 0, IF($H$298, IF(AND(COLUMN($LZ$342)-COLUMN($LJ$335)=$Q$291,ROW($LZ$342)-ROW($LJ$335)=$K$291), U$290, LZ342), LZ342))</f>
        <v>0</v>
      </c>
      <c r="MA342" s="21">
        <f t="shared" si="2611"/>
        <v>0</v>
      </c>
      <c r="MB342" s="21">
        <f t="shared" si="2611"/>
        <v>0</v>
      </c>
      <c r="MC342" s="21">
        <f t="shared" si="2611"/>
        <v>0</v>
      </c>
      <c r="MD342" s="21">
        <f t="shared" si="2611"/>
        <v>0</v>
      </c>
      <c r="ME342" s="21">
        <f t="shared" si="2611"/>
        <v>0</v>
      </c>
      <c r="MF342" s="21">
        <f t="shared" si="2611"/>
        <v>0</v>
      </c>
      <c r="MG342" s="21">
        <f t="shared" si="2611"/>
        <v>0</v>
      </c>
      <c r="MH342" s="21">
        <f t="shared" ref="MH342:MO342" si="2612">IF($F$290, 0, IF($H$298, IF(AND(COLUMN($MH$342)-COLUMN($LJ$335)=$Q$291,ROW($MH$342)-ROW($LJ$335)=$K$291), U$290, MH342), MH342))</f>
        <v>0</v>
      </c>
      <c r="MI342" s="21">
        <f t="shared" si="2612"/>
        <v>0</v>
      </c>
      <c r="MJ342" s="21">
        <f t="shared" si="2612"/>
        <v>0</v>
      </c>
      <c r="MK342" s="21">
        <f t="shared" si="2612"/>
        <v>0</v>
      </c>
      <c r="ML342" s="21">
        <f t="shared" si="2612"/>
        <v>0</v>
      </c>
      <c r="MM342" s="21">
        <f t="shared" si="2612"/>
        <v>0</v>
      </c>
      <c r="MN342" s="21">
        <f t="shared" si="2612"/>
        <v>0</v>
      </c>
      <c r="MO342" s="21">
        <f t="shared" si="2612"/>
        <v>0</v>
      </c>
      <c r="MP342" s="21">
        <f t="shared" ref="MP342:MW342" si="2613">IF($F$290, 0, IF($H$298, IF(AND(COLUMN($MP$342)-COLUMN($LJ$335)=$Q$291,ROW($MP$342)-ROW($LJ$335)=$K$291), U$290, MP342), MP342))</f>
        <v>0</v>
      </c>
      <c r="MQ342" s="21">
        <f t="shared" si="2613"/>
        <v>0</v>
      </c>
      <c r="MR342" s="21">
        <f t="shared" si="2613"/>
        <v>0</v>
      </c>
      <c r="MS342" s="21">
        <f t="shared" si="2613"/>
        <v>0</v>
      </c>
      <c r="MT342" s="21">
        <f t="shared" si="2613"/>
        <v>0</v>
      </c>
      <c r="MU342" s="21">
        <f t="shared" si="2613"/>
        <v>0</v>
      </c>
      <c r="MV342" s="21">
        <f t="shared" si="2613"/>
        <v>0</v>
      </c>
      <c r="MW342" s="21">
        <f t="shared" si="2613"/>
        <v>0</v>
      </c>
      <c r="MX342" s="21">
        <f t="shared" ref="MX342:NE342" si="2614">IF($F$290, 0, IF($H$298, IF(AND(COLUMN($MX$342)-COLUMN($LJ$335)=$Q$291,ROW($MX$342)-ROW($LJ$335)=$K$291), U$290, MX342), MX342))</f>
        <v>0</v>
      </c>
      <c r="MY342" s="21">
        <f t="shared" si="2614"/>
        <v>0</v>
      </c>
      <c r="MZ342" s="21">
        <f t="shared" si="2614"/>
        <v>0</v>
      </c>
      <c r="NA342" s="21">
        <f t="shared" si="2614"/>
        <v>0</v>
      </c>
      <c r="NB342" s="21">
        <f t="shared" si="2614"/>
        <v>0</v>
      </c>
      <c r="NC342" s="21">
        <f t="shared" si="2614"/>
        <v>0</v>
      </c>
      <c r="ND342" s="21">
        <f t="shared" si="2614"/>
        <v>0</v>
      </c>
      <c r="NE342" s="21">
        <f t="shared" si="2614"/>
        <v>0</v>
      </c>
      <c r="NF342" s="21">
        <f t="shared" ref="NF342:NM342" si="2615">IF($F$290, 0, IF($H$298, IF(AND(COLUMN($NF$342)-COLUMN($LJ$335)=$Q$291,ROW($NF$342)-ROW($LJ$335)=$K$291), U$290, NF342), NF342))</f>
        <v>0</v>
      </c>
      <c r="NG342" s="21">
        <f t="shared" si="2615"/>
        <v>0</v>
      </c>
      <c r="NH342" s="21">
        <f t="shared" si="2615"/>
        <v>0</v>
      </c>
      <c r="NI342" s="21">
        <f t="shared" si="2615"/>
        <v>0</v>
      </c>
      <c r="NJ342" s="21">
        <f t="shared" si="2615"/>
        <v>0</v>
      </c>
      <c r="NK342" s="21">
        <f t="shared" si="2615"/>
        <v>0</v>
      </c>
      <c r="NL342" s="21">
        <f t="shared" si="2615"/>
        <v>0</v>
      </c>
      <c r="NM342" s="21">
        <f t="shared" si="2615"/>
        <v>0</v>
      </c>
      <c r="NN342" s="21">
        <f t="shared" ref="NN342:NU342" si="2616">IF($F$290, 0, IF($H$298, IF(AND(COLUMN($NN$342)-COLUMN($LJ$335)=$Q$291,ROW($NN$342)-ROW($LJ$335)=$K$291), U$290, NN342), NN342))</f>
        <v>0</v>
      </c>
      <c r="NO342" s="21">
        <f t="shared" si="2616"/>
        <v>0</v>
      </c>
      <c r="NP342" s="21">
        <f t="shared" si="2616"/>
        <v>0</v>
      </c>
      <c r="NQ342" s="21">
        <f t="shared" si="2616"/>
        <v>0</v>
      </c>
      <c r="NR342" s="21">
        <f t="shared" si="2616"/>
        <v>0</v>
      </c>
      <c r="NS342" s="21">
        <f t="shared" si="2616"/>
        <v>0</v>
      </c>
      <c r="NT342" s="21">
        <f t="shared" si="2616"/>
        <v>0</v>
      </c>
      <c r="NU342" s="21">
        <f t="shared" si="2616"/>
        <v>0</v>
      </c>
      <c r="NV342" s="21">
        <f t="shared" ref="NV342:OC342" si="2617">IF($F$290, 0, IF($I$298, IF(AND(COLUMN($NV$342)-COLUMN($NV$335)=$Q$291,ROW($NV$342)-ROW($NV$335)=$K$291), U$290, NV342), NV342))</f>
        <v>0</v>
      </c>
      <c r="NW342" s="21">
        <f t="shared" si="2617"/>
        <v>0</v>
      </c>
      <c r="NX342" s="21">
        <f t="shared" si="2617"/>
        <v>0</v>
      </c>
      <c r="NY342" s="21">
        <f t="shared" si="2617"/>
        <v>0</v>
      </c>
      <c r="NZ342" s="21">
        <f t="shared" si="2617"/>
        <v>0</v>
      </c>
      <c r="OA342" s="21">
        <f t="shared" si="2617"/>
        <v>0</v>
      </c>
      <c r="OB342" s="21">
        <f t="shared" si="2617"/>
        <v>0</v>
      </c>
      <c r="OC342" s="21">
        <f t="shared" si="2617"/>
        <v>0</v>
      </c>
      <c r="OD342" s="21">
        <f t="shared" ref="OD342:OK342" si="2618">IF($F$290, 0, IF($I$298, IF(AND(COLUMN($OD$342)-COLUMN($NV$335)=$Q$291,ROW($OD$342)-ROW($NV$335)=$K$291), U$290, OD342), OD342))</f>
        <v>0</v>
      </c>
      <c r="OE342" s="21">
        <f t="shared" si="2618"/>
        <v>0</v>
      </c>
      <c r="OF342" s="21">
        <f t="shared" si="2618"/>
        <v>0</v>
      </c>
      <c r="OG342" s="21">
        <f t="shared" si="2618"/>
        <v>0</v>
      </c>
      <c r="OH342" s="21">
        <f t="shared" si="2618"/>
        <v>0</v>
      </c>
      <c r="OI342" s="21">
        <f t="shared" si="2618"/>
        <v>0</v>
      </c>
      <c r="OJ342" s="21">
        <f t="shared" si="2618"/>
        <v>0</v>
      </c>
      <c r="OK342" s="21">
        <f t="shared" si="2618"/>
        <v>0</v>
      </c>
      <c r="OL342" s="21">
        <f t="shared" ref="OL342:OS342" si="2619">IF($F$290, 0, IF($I$298, IF(AND(COLUMN($OL$342)-COLUMN($NV$335)=$Q$291,ROW($OL$342)-ROW($NV$335)=$K$291), U$290, OL342), OL342))</f>
        <v>0</v>
      </c>
      <c r="OM342" s="21">
        <f t="shared" si="2619"/>
        <v>0</v>
      </c>
      <c r="ON342" s="21">
        <f t="shared" si="2619"/>
        <v>0</v>
      </c>
      <c r="OO342" s="21">
        <f t="shared" si="2619"/>
        <v>0</v>
      </c>
      <c r="OP342" s="21">
        <f t="shared" si="2619"/>
        <v>0</v>
      </c>
      <c r="OQ342" s="21">
        <f t="shared" si="2619"/>
        <v>0</v>
      </c>
      <c r="OR342" s="21">
        <f t="shared" si="2619"/>
        <v>0</v>
      </c>
      <c r="OS342" s="21">
        <f t="shared" si="2619"/>
        <v>0</v>
      </c>
      <c r="OT342" s="21">
        <f t="shared" ref="OT342:PA342" si="2620">IF($F$290, 0, IF($I$298, IF(AND(COLUMN($OT$342)-COLUMN($NV$335)=$Q$291,ROW($OT$342)-ROW($NV$335)=$K$291), U$290, OT342), OT342))</f>
        <v>0</v>
      </c>
      <c r="OU342" s="21">
        <f t="shared" si="2620"/>
        <v>0</v>
      </c>
      <c r="OV342" s="21">
        <f t="shared" si="2620"/>
        <v>0</v>
      </c>
      <c r="OW342" s="21">
        <f t="shared" si="2620"/>
        <v>0</v>
      </c>
      <c r="OX342" s="21">
        <f t="shared" si="2620"/>
        <v>0</v>
      </c>
      <c r="OY342" s="21">
        <f t="shared" si="2620"/>
        <v>0</v>
      </c>
      <c r="OZ342" s="21">
        <f t="shared" si="2620"/>
        <v>0</v>
      </c>
      <c r="PA342" s="21">
        <f t="shared" si="2620"/>
        <v>0</v>
      </c>
      <c r="PB342" s="21">
        <f t="shared" ref="PB342:PI342" si="2621">IF($F$290, 0, IF($I$298, IF(AND(COLUMN($PB$342)-COLUMN($NV$335)=$Q$291,ROW($PB$342)-ROW($NV$335)=$K$291), U$290, PB342), PB342))</f>
        <v>0</v>
      </c>
      <c r="PC342" s="21">
        <f t="shared" si="2621"/>
        <v>0</v>
      </c>
      <c r="PD342" s="21">
        <f t="shared" si="2621"/>
        <v>0</v>
      </c>
      <c r="PE342" s="21">
        <f t="shared" si="2621"/>
        <v>0</v>
      </c>
      <c r="PF342" s="21">
        <f t="shared" si="2621"/>
        <v>0</v>
      </c>
      <c r="PG342" s="21">
        <f t="shared" si="2621"/>
        <v>0</v>
      </c>
      <c r="PH342" s="21">
        <f t="shared" si="2621"/>
        <v>0</v>
      </c>
      <c r="PI342" s="21">
        <f t="shared" si="2621"/>
        <v>0</v>
      </c>
      <c r="PJ342" s="21">
        <f t="shared" ref="PJ342:PQ342" si="2622">IF($F$290, 0, IF($I$298, IF(AND(COLUMN($PJ$342)-COLUMN($NV$335)=$Q$291,ROW($PJ$342)-ROW($NV$335)=$K$291), U$290, PJ342), PJ342))</f>
        <v>0</v>
      </c>
      <c r="PK342" s="21">
        <f t="shared" si="2622"/>
        <v>0</v>
      </c>
      <c r="PL342" s="21">
        <f t="shared" si="2622"/>
        <v>0</v>
      </c>
      <c r="PM342" s="21">
        <f t="shared" si="2622"/>
        <v>0</v>
      </c>
      <c r="PN342" s="21">
        <f t="shared" si="2622"/>
        <v>0</v>
      </c>
      <c r="PO342" s="21">
        <f t="shared" si="2622"/>
        <v>0</v>
      </c>
      <c r="PP342" s="21">
        <f t="shared" si="2622"/>
        <v>0</v>
      </c>
      <c r="PQ342" s="21">
        <f t="shared" si="2622"/>
        <v>0</v>
      </c>
      <c r="PR342" s="21">
        <f t="shared" ref="PR342:PY342" si="2623">IF($F$290, 0, IF($I$298, IF(AND(COLUMN($PR$342)-COLUMN($NV$335)=$Q$291,ROW($PR$342)-ROW($NV$335)=$K$291), U$290, PR342), PR342))</f>
        <v>0</v>
      </c>
      <c r="PS342" s="21">
        <f t="shared" si="2623"/>
        <v>0</v>
      </c>
      <c r="PT342" s="21">
        <f t="shared" si="2623"/>
        <v>0</v>
      </c>
      <c r="PU342" s="21">
        <f t="shared" si="2623"/>
        <v>0</v>
      </c>
      <c r="PV342" s="21">
        <f t="shared" si="2623"/>
        <v>0</v>
      </c>
      <c r="PW342" s="21">
        <f t="shared" si="2623"/>
        <v>0</v>
      </c>
      <c r="PX342" s="21">
        <f t="shared" si="2623"/>
        <v>0</v>
      </c>
      <c r="PY342" s="21">
        <f t="shared" si="2623"/>
        <v>0</v>
      </c>
      <c r="PZ342" s="21">
        <f t="shared" ref="PZ342:QG342" si="2624">IF($F$290, 0, IF($I$298, IF(AND(COLUMN($PZ$342)-COLUMN($NV$335)=$Q$291,ROW($PZ$342)-ROW($NV$335)=$K$291), U$290, PZ342), PZ342))</f>
        <v>0</v>
      </c>
      <c r="QA342" s="21">
        <f t="shared" si="2624"/>
        <v>0</v>
      </c>
      <c r="QB342" s="21">
        <f t="shared" si="2624"/>
        <v>0</v>
      </c>
      <c r="QC342" s="21">
        <f t="shared" si="2624"/>
        <v>0</v>
      </c>
      <c r="QD342" s="21">
        <f t="shared" si="2624"/>
        <v>0</v>
      </c>
      <c r="QE342" s="21">
        <f t="shared" si="2624"/>
        <v>0</v>
      </c>
      <c r="QF342" s="21">
        <f t="shared" si="2624"/>
        <v>0</v>
      </c>
      <c r="QG342" s="21">
        <f t="shared" si="2624"/>
        <v>0</v>
      </c>
      <c r="QH342" s="21">
        <f t="shared" ref="QH342:QO342" si="2625">IF($F$290, 0, IF($J$298, IF(AND(COLUMN($QH$342)-COLUMN($QH$335)=$Q$291,ROW($QH$342)-ROW($QH$335)=$K$291), U$290, QH342), QH342))</f>
        <v>0</v>
      </c>
      <c r="QI342" s="21">
        <f t="shared" si="2625"/>
        <v>0</v>
      </c>
      <c r="QJ342" s="21">
        <f t="shared" si="2625"/>
        <v>0</v>
      </c>
      <c r="QK342" s="21">
        <f t="shared" si="2625"/>
        <v>0</v>
      </c>
      <c r="QL342" s="21">
        <f t="shared" si="2625"/>
        <v>0</v>
      </c>
      <c r="QM342" s="21">
        <f t="shared" si="2625"/>
        <v>0</v>
      </c>
      <c r="QN342" s="21">
        <f t="shared" si="2625"/>
        <v>0</v>
      </c>
      <c r="QO342" s="21">
        <f t="shared" si="2625"/>
        <v>0</v>
      </c>
      <c r="QP342" s="21">
        <f t="shared" ref="QP342:QW342" si="2626">IF($F$290, 0, IF($J$298, IF(AND(COLUMN($QP$342)-COLUMN($QH$335)=$Q$291,ROW($QP$342)-ROW($QH$335)=$K$291), U$290, QP342), QP342))</f>
        <v>0</v>
      </c>
      <c r="QQ342" s="21">
        <f t="shared" si="2626"/>
        <v>0</v>
      </c>
      <c r="QR342" s="21">
        <f t="shared" si="2626"/>
        <v>0</v>
      </c>
      <c r="QS342" s="21">
        <f t="shared" si="2626"/>
        <v>0</v>
      </c>
      <c r="QT342" s="21">
        <f t="shared" si="2626"/>
        <v>0</v>
      </c>
      <c r="QU342" s="21">
        <f t="shared" si="2626"/>
        <v>0</v>
      </c>
      <c r="QV342" s="21">
        <f t="shared" si="2626"/>
        <v>0</v>
      </c>
      <c r="QW342" s="21">
        <f t="shared" si="2626"/>
        <v>0</v>
      </c>
      <c r="QX342" s="21">
        <f t="shared" ref="QX342:RE342" si="2627">IF($F$290, 0, IF($J$298, IF(AND(COLUMN($QX$342)-COLUMN($QH$335)=$Q$291,ROW($QX$342)-ROW($QH$335)=$K$291), U$290, QX342), QX342))</f>
        <v>0</v>
      </c>
      <c r="QY342" s="21">
        <f t="shared" si="2627"/>
        <v>0</v>
      </c>
      <c r="QZ342" s="21">
        <f t="shared" si="2627"/>
        <v>0</v>
      </c>
      <c r="RA342" s="21">
        <f t="shared" si="2627"/>
        <v>0</v>
      </c>
      <c r="RB342" s="21">
        <f t="shared" si="2627"/>
        <v>0</v>
      </c>
      <c r="RC342" s="21">
        <f t="shared" si="2627"/>
        <v>0</v>
      </c>
      <c r="RD342" s="21">
        <f t="shared" si="2627"/>
        <v>0</v>
      </c>
      <c r="RE342" s="21">
        <f t="shared" si="2627"/>
        <v>0</v>
      </c>
      <c r="RF342" s="21">
        <f t="shared" ref="RF342:RM342" si="2628">IF($F$290, 0, IF($J$298, IF(AND(COLUMN($RF$342)-COLUMN($QH$335)=$Q$291,ROW($RF$342)-ROW($QH$335)=$K$291), U$290, RF342), RF342))</f>
        <v>0</v>
      </c>
      <c r="RG342" s="21">
        <f t="shared" si="2628"/>
        <v>0</v>
      </c>
      <c r="RH342" s="21">
        <f t="shared" si="2628"/>
        <v>0</v>
      </c>
      <c r="RI342" s="21">
        <f t="shared" si="2628"/>
        <v>0</v>
      </c>
      <c r="RJ342" s="21">
        <f t="shared" si="2628"/>
        <v>0</v>
      </c>
      <c r="RK342" s="21">
        <f t="shared" si="2628"/>
        <v>0</v>
      </c>
      <c r="RL342" s="21">
        <f t="shared" si="2628"/>
        <v>0</v>
      </c>
      <c r="RM342" s="21">
        <f t="shared" si="2628"/>
        <v>0</v>
      </c>
      <c r="RN342" s="21">
        <f t="shared" ref="RN342:RU342" si="2629">IF($F$290, 0, IF($J$298, IF(AND(COLUMN($RN$342)-COLUMN($QH$335)=$Q$291,ROW($RN$342)-ROW($QH$335)=$K$291), U$290, RN342), RN342))</f>
        <v>0</v>
      </c>
      <c r="RO342" s="21">
        <f t="shared" si="2629"/>
        <v>0</v>
      </c>
      <c r="RP342" s="21">
        <f t="shared" si="2629"/>
        <v>0</v>
      </c>
      <c r="RQ342" s="21">
        <f t="shared" si="2629"/>
        <v>0</v>
      </c>
      <c r="RR342" s="21">
        <f t="shared" si="2629"/>
        <v>0</v>
      </c>
      <c r="RS342" s="21">
        <f t="shared" si="2629"/>
        <v>0</v>
      </c>
      <c r="RT342" s="21">
        <f t="shared" si="2629"/>
        <v>0</v>
      </c>
      <c r="RU342" s="21">
        <f t="shared" si="2629"/>
        <v>0</v>
      </c>
      <c r="RV342" s="21">
        <f t="shared" ref="RV342:SC342" si="2630">IF($F$290, 0, IF($J$298, IF(AND(COLUMN($RV$342)-COLUMN($QH$335)=$Q$291,ROW($RV$342)-ROW($QH$335)=$K$291), U$290, RV342), RV342))</f>
        <v>0</v>
      </c>
      <c r="RW342" s="21">
        <f t="shared" si="2630"/>
        <v>0</v>
      </c>
      <c r="RX342" s="21">
        <f t="shared" si="2630"/>
        <v>0</v>
      </c>
      <c r="RY342" s="21">
        <f t="shared" si="2630"/>
        <v>0</v>
      </c>
      <c r="RZ342" s="21">
        <f t="shared" si="2630"/>
        <v>0</v>
      </c>
      <c r="SA342" s="21">
        <f t="shared" si="2630"/>
        <v>0</v>
      </c>
      <c r="SB342" s="21">
        <f t="shared" si="2630"/>
        <v>0</v>
      </c>
      <c r="SC342" s="21">
        <f t="shared" si="2630"/>
        <v>0</v>
      </c>
      <c r="SD342" s="21">
        <f t="shared" ref="SD342:SK342" si="2631">IF($F$290, 0, IF($J$298, IF(AND(COLUMN($SD$342)-COLUMN($QH$335)=$Q$291,ROW($SD$342)-ROW($QH$335)=$K$291), U$290, SD342), SD342))</f>
        <v>0</v>
      </c>
      <c r="SE342" s="21">
        <f t="shared" si="2631"/>
        <v>0</v>
      </c>
      <c r="SF342" s="21">
        <f t="shared" si="2631"/>
        <v>0</v>
      </c>
      <c r="SG342" s="21">
        <f t="shared" si="2631"/>
        <v>0</v>
      </c>
      <c r="SH342" s="21">
        <f t="shared" si="2631"/>
        <v>0</v>
      </c>
      <c r="SI342" s="21">
        <f t="shared" si="2631"/>
        <v>0</v>
      </c>
      <c r="SJ342" s="21">
        <f t="shared" si="2631"/>
        <v>0</v>
      </c>
      <c r="SK342" s="21">
        <f t="shared" si="2631"/>
        <v>0</v>
      </c>
      <c r="SL342" s="21">
        <f t="shared" ref="SL342:SS342" si="2632">IF($F$290, 0, IF($J$298, IF(AND(COLUMN($SL$342)-COLUMN($QH$335)=$Q$291,ROW($SL$342)-ROW($QH$335)=$K$291), U$290, SL342), SL342))</f>
        <v>0</v>
      </c>
      <c r="SM342" s="21">
        <f t="shared" si="2632"/>
        <v>0</v>
      </c>
      <c r="SN342" s="21">
        <f t="shared" si="2632"/>
        <v>0</v>
      </c>
      <c r="SO342" s="21">
        <f t="shared" si="2632"/>
        <v>0</v>
      </c>
      <c r="SP342" s="21">
        <f t="shared" si="2632"/>
        <v>0</v>
      </c>
      <c r="SQ342" s="21">
        <f t="shared" si="2632"/>
        <v>0</v>
      </c>
      <c r="SR342" s="21">
        <f t="shared" si="2632"/>
        <v>0</v>
      </c>
      <c r="SS342" s="21">
        <f t="shared" si="2632"/>
        <v>0</v>
      </c>
    </row>
    <row r="343" spans="2:513" ht="15" customHeight="1" x14ac:dyDescent="0.25">
      <c r="B343" s="21">
        <f t="shared" ref="B343:I343" si="2633">IF($F$290, 0, IF($C$299, IF(AND(COLUMN($B$343)-COLUMN($B$343)=$Q$291,ROW($B$343)-ROW($B$343)=$K$291), U$290, B343), B343))</f>
        <v>0</v>
      </c>
      <c r="C343" s="21">
        <f t="shared" si="2633"/>
        <v>0</v>
      </c>
      <c r="D343" s="21">
        <f t="shared" si="2633"/>
        <v>0</v>
      </c>
      <c r="E343" s="21">
        <f t="shared" si="2633"/>
        <v>0</v>
      </c>
      <c r="F343" s="21">
        <f t="shared" si="2633"/>
        <v>0</v>
      </c>
      <c r="G343" s="21">
        <f t="shared" si="2633"/>
        <v>0</v>
      </c>
      <c r="H343" s="21">
        <f t="shared" si="2633"/>
        <v>0</v>
      </c>
      <c r="I343" s="21">
        <f t="shared" si="2633"/>
        <v>0</v>
      </c>
      <c r="J343" s="21">
        <f t="shared" ref="J343:Q343" si="2634">IF($F$290, 0, IF($C$299, IF(AND(COLUMN($J$343)-COLUMN($B$343)=$Q$291,ROW($J$343)-ROW($B$343)=$K$291), U$290, J343), J343))</f>
        <v>0</v>
      </c>
      <c r="K343" s="21">
        <f t="shared" si="2634"/>
        <v>0</v>
      </c>
      <c r="L343" s="21">
        <f t="shared" si="2634"/>
        <v>0</v>
      </c>
      <c r="M343" s="21">
        <f t="shared" si="2634"/>
        <v>0</v>
      </c>
      <c r="N343" s="21">
        <f t="shared" si="2634"/>
        <v>0</v>
      </c>
      <c r="O343" s="21">
        <f t="shared" si="2634"/>
        <v>0</v>
      </c>
      <c r="P343" s="21">
        <f t="shared" si="2634"/>
        <v>0</v>
      </c>
      <c r="Q343" s="21">
        <f t="shared" si="2634"/>
        <v>0</v>
      </c>
      <c r="R343" s="21">
        <f>IF($F$290, 0, IF($C$299, IF(AND(COLUMN($R$343)-COLUMN($B$343)=$Q$291,ROW($R$343)-ROW($B$343)=$K$291), U$290, R343), R343))</f>
        <v>0</v>
      </c>
      <c r="S343" s="21">
        <f t="shared" ref="S343:Y343" si="2635">IF($F$290, 0, IF($C$299, IF(AND(COLUMN($R$343)-COLUMN($B$343)=$Q$291,ROW($R$343)-ROW($B$343)=$K$291), V$290, S343), S343))</f>
        <v>0</v>
      </c>
      <c r="T343" s="21">
        <f t="shared" si="2635"/>
        <v>0</v>
      </c>
      <c r="U343" s="21">
        <f t="shared" si="2635"/>
        <v>0</v>
      </c>
      <c r="V343" s="21">
        <f t="shared" si="2635"/>
        <v>0</v>
      </c>
      <c r="W343" s="21">
        <f t="shared" si="2635"/>
        <v>0</v>
      </c>
      <c r="X343" s="21">
        <f t="shared" si="2635"/>
        <v>0</v>
      </c>
      <c r="Y343" s="21">
        <f t="shared" si="2635"/>
        <v>0</v>
      </c>
      <c r="Z343" s="21">
        <f t="shared" ref="Z343:AG343" si="2636">IF($F$290, 0, IF($C$299, IF(AND(COLUMN($Z$343)-COLUMN($B$343)=$Q$291,ROW($Z$343)-ROW($B$343)=$K$291), U$290, Z343), Z343))</f>
        <v>0</v>
      </c>
      <c r="AA343" s="21">
        <f t="shared" si="2636"/>
        <v>0</v>
      </c>
      <c r="AB343" s="21">
        <f t="shared" si="2636"/>
        <v>0</v>
      </c>
      <c r="AC343" s="21">
        <f t="shared" si="2636"/>
        <v>0</v>
      </c>
      <c r="AD343" s="21">
        <f t="shared" si="2636"/>
        <v>0</v>
      </c>
      <c r="AE343" s="21">
        <f t="shared" si="2636"/>
        <v>0</v>
      </c>
      <c r="AF343" s="21">
        <f t="shared" si="2636"/>
        <v>0</v>
      </c>
      <c r="AG343" s="21">
        <f t="shared" si="2636"/>
        <v>0</v>
      </c>
      <c r="AH343" s="21">
        <f t="shared" ref="AH343:AO343" si="2637">IF($F$290, 0, IF($C$299, IF(AND(COLUMN($AH$343)-COLUMN($B$343)=$Q$291,ROW($AH$343)-ROW($B$343)=$K$291), U$290, AH343), AH343))</f>
        <v>0</v>
      </c>
      <c r="AI343" s="21">
        <f t="shared" si="2637"/>
        <v>0</v>
      </c>
      <c r="AJ343" s="21">
        <f t="shared" si="2637"/>
        <v>0</v>
      </c>
      <c r="AK343" s="21">
        <f t="shared" si="2637"/>
        <v>0</v>
      </c>
      <c r="AL343" s="21">
        <f t="shared" si="2637"/>
        <v>0</v>
      </c>
      <c r="AM343" s="21">
        <f t="shared" si="2637"/>
        <v>0</v>
      </c>
      <c r="AN343" s="21">
        <f t="shared" si="2637"/>
        <v>0</v>
      </c>
      <c r="AO343" s="21">
        <f t="shared" si="2637"/>
        <v>0</v>
      </c>
      <c r="AP343" s="21">
        <f t="shared" ref="AP343:AW343" si="2638">IF($F$290, 0, IF($C$299, IF(AND(COLUMN($AP$343)-COLUMN($B$343)=$Q$291,ROW($AP$343)-ROW($B$343)=$K$291), U$290, AP343), AP343))</f>
        <v>0</v>
      </c>
      <c r="AQ343" s="21">
        <f t="shared" si="2638"/>
        <v>0</v>
      </c>
      <c r="AR343" s="21">
        <f t="shared" si="2638"/>
        <v>0</v>
      </c>
      <c r="AS343" s="21">
        <f t="shared" si="2638"/>
        <v>0</v>
      </c>
      <c r="AT343" s="21">
        <f t="shared" si="2638"/>
        <v>0</v>
      </c>
      <c r="AU343" s="21">
        <f t="shared" si="2638"/>
        <v>0</v>
      </c>
      <c r="AV343" s="21">
        <f t="shared" si="2638"/>
        <v>0</v>
      </c>
      <c r="AW343" s="21">
        <f t="shared" si="2638"/>
        <v>0</v>
      </c>
      <c r="AX343" s="21">
        <f t="shared" ref="AX343:BE343" si="2639">IF($F$290, 0, IF($C$299, IF(AND(COLUMN($AX$343)-COLUMN($B$343)=$Q$291,ROW($AX$343)-ROW($B$343)=$K$291), U$290, AX343), AX343))</f>
        <v>0</v>
      </c>
      <c r="AY343" s="21">
        <f t="shared" si="2639"/>
        <v>0</v>
      </c>
      <c r="AZ343" s="21">
        <f t="shared" si="2639"/>
        <v>0</v>
      </c>
      <c r="BA343" s="21">
        <f t="shared" si="2639"/>
        <v>0</v>
      </c>
      <c r="BB343" s="21">
        <f t="shared" si="2639"/>
        <v>0</v>
      </c>
      <c r="BC343" s="21">
        <f t="shared" si="2639"/>
        <v>0</v>
      </c>
      <c r="BD343" s="21">
        <f t="shared" si="2639"/>
        <v>0</v>
      </c>
      <c r="BE343" s="21">
        <f t="shared" si="2639"/>
        <v>0</v>
      </c>
      <c r="BF343" s="21">
        <f t="shared" ref="BF343:BM343" si="2640">IF($F$290, 0, IF($C$299, IF(AND(COLUMN($BF$343)-COLUMN($B$343)=$Q$291,ROW($BF$343)-ROW($B$343)=$K$291), U$290, BF343), BF343))</f>
        <v>0</v>
      </c>
      <c r="BG343" s="21">
        <f t="shared" si="2640"/>
        <v>0</v>
      </c>
      <c r="BH343" s="21">
        <f t="shared" si="2640"/>
        <v>0</v>
      </c>
      <c r="BI343" s="21">
        <f t="shared" si="2640"/>
        <v>0</v>
      </c>
      <c r="BJ343" s="21">
        <f t="shared" si="2640"/>
        <v>0</v>
      </c>
      <c r="BK343" s="21">
        <f t="shared" si="2640"/>
        <v>0</v>
      </c>
      <c r="BL343" s="21">
        <f t="shared" si="2640"/>
        <v>0</v>
      </c>
      <c r="BM343" s="21">
        <f t="shared" si="2640"/>
        <v>0</v>
      </c>
      <c r="BN343" s="21">
        <f t="shared" ref="BN343:BU343" si="2641">IF($F$290, 0, IF($D$299, IF(AND(COLUMN($BN$343)-COLUMN($BN$343)=$Q$291,ROW($BN$343)-ROW($BN$343)=$K$291), U$290, BN343), BN343))</f>
        <v>0</v>
      </c>
      <c r="BO343" s="21">
        <f t="shared" si="2641"/>
        <v>0</v>
      </c>
      <c r="BP343" s="21">
        <f t="shared" si="2641"/>
        <v>0</v>
      </c>
      <c r="BQ343" s="21">
        <f t="shared" si="2641"/>
        <v>0</v>
      </c>
      <c r="BR343" s="21">
        <f t="shared" si="2641"/>
        <v>0</v>
      </c>
      <c r="BS343" s="21">
        <f t="shared" si="2641"/>
        <v>0</v>
      </c>
      <c r="BT343" s="21">
        <f t="shared" si="2641"/>
        <v>0</v>
      </c>
      <c r="BU343" s="21">
        <f t="shared" si="2641"/>
        <v>0</v>
      </c>
      <c r="BV343" s="21">
        <f t="shared" ref="BV343:CC343" si="2642">IF($F$290, 0, IF($D$299, IF(AND(COLUMN($BV$343)-COLUMN($BN$343)=$Q$291,ROW($BV$343)-ROW($BN$343)=$K$291), U$290, BV343), BV343))</f>
        <v>0</v>
      </c>
      <c r="BW343" s="21">
        <f t="shared" si="2642"/>
        <v>0</v>
      </c>
      <c r="BX343" s="21">
        <f t="shared" si="2642"/>
        <v>0</v>
      </c>
      <c r="BY343" s="21">
        <f t="shared" si="2642"/>
        <v>0</v>
      </c>
      <c r="BZ343" s="21">
        <f t="shared" si="2642"/>
        <v>0</v>
      </c>
      <c r="CA343" s="21">
        <f t="shared" si="2642"/>
        <v>0</v>
      </c>
      <c r="CB343" s="21">
        <f t="shared" si="2642"/>
        <v>0</v>
      </c>
      <c r="CC343" s="21">
        <f t="shared" si="2642"/>
        <v>0</v>
      </c>
      <c r="CD343" s="21">
        <f t="shared" ref="CD343:CK343" si="2643">IF($F$290, 0, IF($D$299, IF(AND(COLUMN($CD$343)-COLUMN($BN$343)=$Q$291,ROW($CD$343)-ROW($BN$343)=$K$291), U$290, CD343), CD343))</f>
        <v>0</v>
      </c>
      <c r="CE343" s="21">
        <f t="shared" si="2643"/>
        <v>0</v>
      </c>
      <c r="CF343" s="21">
        <f t="shared" si="2643"/>
        <v>0</v>
      </c>
      <c r="CG343" s="21">
        <f t="shared" si="2643"/>
        <v>0</v>
      </c>
      <c r="CH343" s="21">
        <f t="shared" si="2643"/>
        <v>0</v>
      </c>
      <c r="CI343" s="21">
        <f t="shared" si="2643"/>
        <v>0</v>
      </c>
      <c r="CJ343" s="21">
        <f t="shared" si="2643"/>
        <v>0</v>
      </c>
      <c r="CK343" s="21">
        <f t="shared" si="2643"/>
        <v>0</v>
      </c>
      <c r="CL343" s="21">
        <f t="shared" ref="CL343:CS343" si="2644">IF($F$290, 0, IF($D$299, IF(AND(COLUMN($CL$343)-COLUMN($BN$343)=$Q$291,ROW($CL$343)-ROW($BN$343)=$K$291), U$290, CL343), CL343))</f>
        <v>0</v>
      </c>
      <c r="CM343" s="21">
        <f t="shared" si="2644"/>
        <v>0</v>
      </c>
      <c r="CN343" s="21">
        <f t="shared" si="2644"/>
        <v>0</v>
      </c>
      <c r="CO343" s="21">
        <f t="shared" si="2644"/>
        <v>0</v>
      </c>
      <c r="CP343" s="21">
        <f t="shared" si="2644"/>
        <v>0</v>
      </c>
      <c r="CQ343" s="21">
        <f t="shared" si="2644"/>
        <v>0</v>
      </c>
      <c r="CR343" s="21">
        <f t="shared" si="2644"/>
        <v>0</v>
      </c>
      <c r="CS343" s="21">
        <f t="shared" si="2644"/>
        <v>0</v>
      </c>
      <c r="CT343" s="21">
        <f t="shared" ref="CT343:DA343" si="2645">IF($F$290, 0, IF($D$299, IF(AND(COLUMN($CT$343)-COLUMN($BN$343)=$Q$291,ROW($CT$343)-ROW($BN$343)=$K$291), U$290, CT343), CT343))</f>
        <v>0</v>
      </c>
      <c r="CU343" s="21">
        <f t="shared" si="2645"/>
        <v>0</v>
      </c>
      <c r="CV343" s="21">
        <f t="shared" si="2645"/>
        <v>0</v>
      </c>
      <c r="CW343" s="21">
        <f t="shared" si="2645"/>
        <v>0</v>
      </c>
      <c r="CX343" s="21">
        <f t="shared" si="2645"/>
        <v>0</v>
      </c>
      <c r="CY343" s="21">
        <f t="shared" si="2645"/>
        <v>0</v>
      </c>
      <c r="CZ343" s="21">
        <f t="shared" si="2645"/>
        <v>0</v>
      </c>
      <c r="DA343" s="21">
        <f t="shared" si="2645"/>
        <v>0</v>
      </c>
      <c r="DB343" s="21">
        <f t="shared" ref="DB343:DI343" si="2646">IF($F$290, 0, IF($D$299, IF(AND(COLUMN($DB$343)-COLUMN($BN$343)=$Q$291,ROW($DB$343)-ROW($BN$343)=$K$291), U$290, DB343), DB343))</f>
        <v>0</v>
      </c>
      <c r="DC343" s="21">
        <f t="shared" si="2646"/>
        <v>0</v>
      </c>
      <c r="DD343" s="21">
        <f t="shared" si="2646"/>
        <v>0</v>
      </c>
      <c r="DE343" s="21">
        <f t="shared" si="2646"/>
        <v>0</v>
      </c>
      <c r="DF343" s="21">
        <f t="shared" si="2646"/>
        <v>0</v>
      </c>
      <c r="DG343" s="21">
        <f t="shared" si="2646"/>
        <v>0</v>
      </c>
      <c r="DH343" s="21">
        <f t="shared" si="2646"/>
        <v>0</v>
      </c>
      <c r="DI343" s="21">
        <f t="shared" si="2646"/>
        <v>0</v>
      </c>
      <c r="DJ343" s="21">
        <f t="shared" ref="DJ343:DQ343" si="2647">IF($F$290, 0, IF($D$299, IF(AND(COLUMN($DJ$343)-COLUMN($BN$343)=$Q$291,ROW($DJ$343)-ROW($BN$343)=$K$291), U$290, DJ343), DJ343))</f>
        <v>0</v>
      </c>
      <c r="DK343" s="21">
        <f t="shared" si="2647"/>
        <v>0</v>
      </c>
      <c r="DL343" s="21">
        <f t="shared" si="2647"/>
        <v>0</v>
      </c>
      <c r="DM343" s="21">
        <f t="shared" si="2647"/>
        <v>0</v>
      </c>
      <c r="DN343" s="21">
        <f t="shared" si="2647"/>
        <v>0</v>
      </c>
      <c r="DO343" s="21">
        <f t="shared" si="2647"/>
        <v>0</v>
      </c>
      <c r="DP343" s="21">
        <f t="shared" si="2647"/>
        <v>0</v>
      </c>
      <c r="DQ343" s="21">
        <f t="shared" si="2647"/>
        <v>0</v>
      </c>
      <c r="DR343" s="21">
        <f t="shared" ref="DR343:DY343" si="2648">IF($F$290, 0, IF($D$299, IF(AND(COLUMN($DR$343)-COLUMN($BN$343)=$Q$291,ROW($DR$343)-ROW($BN$343)=$K$291), U$290, DR343), DR343))</f>
        <v>0</v>
      </c>
      <c r="DS343" s="21">
        <f t="shared" si="2648"/>
        <v>0</v>
      </c>
      <c r="DT343" s="21">
        <f t="shared" si="2648"/>
        <v>0</v>
      </c>
      <c r="DU343" s="21">
        <f t="shared" si="2648"/>
        <v>0</v>
      </c>
      <c r="DV343" s="21">
        <f t="shared" si="2648"/>
        <v>0</v>
      </c>
      <c r="DW343" s="21">
        <f t="shared" si="2648"/>
        <v>0</v>
      </c>
      <c r="DX343" s="21">
        <f t="shared" si="2648"/>
        <v>0</v>
      </c>
      <c r="DY343" s="21">
        <f t="shared" si="2648"/>
        <v>0</v>
      </c>
      <c r="DZ343" s="21">
        <f t="shared" ref="DZ343:EG343" si="2649">IF($F$290, 0, IF($E$299, IF(AND(COLUMN($DZ$343)-COLUMN($DZ$343)=$Q$291,ROW($DZ$343)-ROW($DZ$343)=$K$291), U$290, DZ343), DZ343))</f>
        <v>0</v>
      </c>
      <c r="EA343" s="21">
        <f t="shared" si="2649"/>
        <v>0</v>
      </c>
      <c r="EB343" s="21">
        <f t="shared" si="2649"/>
        <v>0</v>
      </c>
      <c r="EC343" s="21">
        <f t="shared" si="2649"/>
        <v>0</v>
      </c>
      <c r="ED343" s="21">
        <f t="shared" si="2649"/>
        <v>0</v>
      </c>
      <c r="EE343" s="21">
        <f t="shared" si="2649"/>
        <v>0</v>
      </c>
      <c r="EF343" s="21">
        <f t="shared" si="2649"/>
        <v>0</v>
      </c>
      <c r="EG343" s="21">
        <f t="shared" si="2649"/>
        <v>0</v>
      </c>
      <c r="EH343" s="21">
        <f t="shared" ref="EH343:EO343" si="2650">IF($F$290, 0, IF($E$299, IF(AND(COLUMN($EH$343)-COLUMN($DZ$343)=$Q$291,ROW($EH$343)-ROW($DZ$343)=$K$291), U$290, EH343), EH343))</f>
        <v>0</v>
      </c>
      <c r="EI343" s="21">
        <f t="shared" si="2650"/>
        <v>0</v>
      </c>
      <c r="EJ343" s="21">
        <f t="shared" si="2650"/>
        <v>0</v>
      </c>
      <c r="EK343" s="21">
        <f t="shared" si="2650"/>
        <v>0</v>
      </c>
      <c r="EL343" s="21">
        <f t="shared" si="2650"/>
        <v>0</v>
      </c>
      <c r="EM343" s="21">
        <f t="shared" si="2650"/>
        <v>0</v>
      </c>
      <c r="EN343" s="21">
        <f t="shared" si="2650"/>
        <v>0</v>
      </c>
      <c r="EO343" s="21">
        <f t="shared" si="2650"/>
        <v>0</v>
      </c>
      <c r="EP343" s="21">
        <f t="shared" ref="EP343:EW343" si="2651">IF($F$290, 0, IF($E$299, IF(AND(COLUMN($EP$343)-COLUMN($DZ$343)=$Q$291,ROW($EP$343)-ROW($DZ$343)=$K$291), U$290, EP343), EP343))</f>
        <v>0</v>
      </c>
      <c r="EQ343" s="21">
        <f t="shared" si="2651"/>
        <v>0</v>
      </c>
      <c r="ER343" s="21">
        <f t="shared" si="2651"/>
        <v>0</v>
      </c>
      <c r="ES343" s="21">
        <f t="shared" si="2651"/>
        <v>0</v>
      </c>
      <c r="ET343" s="21">
        <f t="shared" si="2651"/>
        <v>0</v>
      </c>
      <c r="EU343" s="21">
        <f t="shared" si="2651"/>
        <v>0</v>
      </c>
      <c r="EV343" s="21">
        <f t="shared" si="2651"/>
        <v>0</v>
      </c>
      <c r="EW343" s="21">
        <f t="shared" si="2651"/>
        <v>0</v>
      </c>
      <c r="EX343" s="21">
        <f t="shared" ref="EX343:FE343" si="2652">IF($F$290, 0, IF($E$299, IF(AND(COLUMN($EX$343)-COLUMN($DZ$343)=$Q$291,ROW($EX$343)-ROW($DZ$343)=$K$291), U$290, EX343), EX343))</f>
        <v>0</v>
      </c>
      <c r="EY343" s="21">
        <f t="shared" si="2652"/>
        <v>0</v>
      </c>
      <c r="EZ343" s="21">
        <f t="shared" si="2652"/>
        <v>0</v>
      </c>
      <c r="FA343" s="21">
        <f t="shared" si="2652"/>
        <v>0</v>
      </c>
      <c r="FB343" s="21">
        <f t="shared" si="2652"/>
        <v>0</v>
      </c>
      <c r="FC343" s="21">
        <f t="shared" si="2652"/>
        <v>0</v>
      </c>
      <c r="FD343" s="21">
        <f t="shared" si="2652"/>
        <v>0</v>
      </c>
      <c r="FE343" s="21">
        <f t="shared" si="2652"/>
        <v>0</v>
      </c>
      <c r="FF343" s="21">
        <f t="shared" ref="FF343:FM343" si="2653">IF($F$290, 0, IF($E$299, IF(AND(COLUMN($FF$343)-COLUMN($DZ$343)=$Q$291,ROW($FF$343)-ROW($DZ$343)=$K$291), U$290, FF343), FF343))</f>
        <v>0</v>
      </c>
      <c r="FG343" s="21">
        <f t="shared" si="2653"/>
        <v>0</v>
      </c>
      <c r="FH343" s="21">
        <f t="shared" si="2653"/>
        <v>0</v>
      </c>
      <c r="FI343" s="21">
        <f t="shared" si="2653"/>
        <v>0</v>
      </c>
      <c r="FJ343" s="21">
        <f t="shared" si="2653"/>
        <v>0</v>
      </c>
      <c r="FK343" s="21">
        <f t="shared" si="2653"/>
        <v>0</v>
      </c>
      <c r="FL343" s="21">
        <f t="shared" si="2653"/>
        <v>0</v>
      </c>
      <c r="FM343" s="21">
        <f t="shared" si="2653"/>
        <v>0</v>
      </c>
      <c r="FN343" s="21">
        <f t="shared" ref="FN343:FU343" si="2654">IF($F$290, 0, IF($E$299, IF(AND(COLUMN($FN$343)-COLUMN($DZ$343)=$Q$291,ROW($FN$343)-ROW($DZ$343)=$K$291), U$290, FN343), FN343))</f>
        <v>0</v>
      </c>
      <c r="FO343" s="21">
        <f t="shared" si="2654"/>
        <v>0</v>
      </c>
      <c r="FP343" s="21">
        <f t="shared" si="2654"/>
        <v>0</v>
      </c>
      <c r="FQ343" s="21">
        <f t="shared" si="2654"/>
        <v>0</v>
      </c>
      <c r="FR343" s="21">
        <f t="shared" si="2654"/>
        <v>0</v>
      </c>
      <c r="FS343" s="21">
        <f t="shared" si="2654"/>
        <v>0</v>
      </c>
      <c r="FT343" s="21">
        <f t="shared" si="2654"/>
        <v>0</v>
      </c>
      <c r="FU343" s="21">
        <f t="shared" si="2654"/>
        <v>0</v>
      </c>
      <c r="FV343" s="21">
        <f t="shared" ref="FV343:GC343" si="2655">IF($F$290, 0, IF($E$299, IF(AND(COLUMN($FV$343)-COLUMN($DZ$343)=$Q$291,ROW($FV$343)-ROW($DZ$343)=$K$291), U$290, FV343), FV343))</f>
        <v>0</v>
      </c>
      <c r="FW343" s="21">
        <f t="shared" si="2655"/>
        <v>0</v>
      </c>
      <c r="FX343" s="21">
        <f t="shared" si="2655"/>
        <v>0</v>
      </c>
      <c r="FY343" s="21">
        <f t="shared" si="2655"/>
        <v>0</v>
      </c>
      <c r="FZ343" s="21">
        <f t="shared" si="2655"/>
        <v>0</v>
      </c>
      <c r="GA343" s="21">
        <f t="shared" si="2655"/>
        <v>0</v>
      </c>
      <c r="GB343" s="21">
        <f t="shared" si="2655"/>
        <v>0</v>
      </c>
      <c r="GC343" s="21">
        <f t="shared" si="2655"/>
        <v>0</v>
      </c>
      <c r="GD343" s="21">
        <f t="shared" ref="GD343:GK343" si="2656">IF($F$290, 0, IF($E$299, IF(AND(COLUMN($GD$343)-COLUMN($DZ$343)=$Q$291,ROW($GD$343)-ROW($DZ$343)=$K$291), U$290, GD343), GD343))</f>
        <v>0</v>
      </c>
      <c r="GE343" s="21">
        <f t="shared" si="2656"/>
        <v>0</v>
      </c>
      <c r="GF343" s="21">
        <f t="shared" si="2656"/>
        <v>0</v>
      </c>
      <c r="GG343" s="21">
        <f t="shared" si="2656"/>
        <v>0</v>
      </c>
      <c r="GH343" s="21">
        <f t="shared" si="2656"/>
        <v>0</v>
      </c>
      <c r="GI343" s="21">
        <f t="shared" si="2656"/>
        <v>0</v>
      </c>
      <c r="GJ343" s="21">
        <f t="shared" si="2656"/>
        <v>0</v>
      </c>
      <c r="GK343" s="21">
        <f t="shared" si="2656"/>
        <v>0</v>
      </c>
      <c r="GL343" s="21">
        <f t="shared" ref="GL343:GS343" si="2657">IF($F$290, 0, IF($F$299, IF(AND(COLUMN($GL$343)-COLUMN($GL$343)=$Q$291,ROW($GL$343)-ROW($GL$343)=$K$291), U$290, GL343), GL343))</f>
        <v>0</v>
      </c>
      <c r="GM343" s="21">
        <f t="shared" si="2657"/>
        <v>0</v>
      </c>
      <c r="GN343" s="21">
        <f t="shared" si="2657"/>
        <v>0</v>
      </c>
      <c r="GO343" s="21">
        <f t="shared" si="2657"/>
        <v>0</v>
      </c>
      <c r="GP343" s="21">
        <f t="shared" si="2657"/>
        <v>0</v>
      </c>
      <c r="GQ343" s="21">
        <f t="shared" si="2657"/>
        <v>0</v>
      </c>
      <c r="GR343" s="21">
        <f t="shared" si="2657"/>
        <v>0</v>
      </c>
      <c r="GS343" s="21">
        <f t="shared" si="2657"/>
        <v>0</v>
      </c>
      <c r="GT343" s="21">
        <f t="shared" ref="GT343:HA343" si="2658">IF($F$290, 0, IF($F$299, IF(AND(COLUMN($GT$343)-COLUMN($GL$343)=$Q$291,ROW($GT$343)-ROW($GL$343)=$K$291), U$290, GT343), GT343))</f>
        <v>0</v>
      </c>
      <c r="GU343" s="21">
        <f t="shared" si="2658"/>
        <v>0</v>
      </c>
      <c r="GV343" s="21">
        <f t="shared" si="2658"/>
        <v>0</v>
      </c>
      <c r="GW343" s="21">
        <f t="shared" si="2658"/>
        <v>0</v>
      </c>
      <c r="GX343" s="21">
        <f t="shared" si="2658"/>
        <v>0</v>
      </c>
      <c r="GY343" s="21">
        <f t="shared" si="2658"/>
        <v>0</v>
      </c>
      <c r="GZ343" s="21">
        <f t="shared" si="2658"/>
        <v>0</v>
      </c>
      <c r="HA343" s="21">
        <f t="shared" si="2658"/>
        <v>0</v>
      </c>
      <c r="HB343" s="21">
        <f t="shared" ref="HB343:HI343" si="2659">IF($F$290, 0, IF($F$299, IF(AND(COLUMN($HB$343)-COLUMN($GL$343)=$Q$291,ROW($HB$343)-ROW($GL$343)=$K$291), U$290, HB343), HB343))</f>
        <v>0</v>
      </c>
      <c r="HC343" s="21">
        <f t="shared" si="2659"/>
        <v>0</v>
      </c>
      <c r="HD343" s="21">
        <f t="shared" si="2659"/>
        <v>0</v>
      </c>
      <c r="HE343" s="21">
        <f t="shared" si="2659"/>
        <v>0</v>
      </c>
      <c r="HF343" s="21">
        <f t="shared" si="2659"/>
        <v>0</v>
      </c>
      <c r="HG343" s="21">
        <f t="shared" si="2659"/>
        <v>0</v>
      </c>
      <c r="HH343" s="21">
        <f t="shared" si="2659"/>
        <v>0</v>
      </c>
      <c r="HI343" s="21">
        <f t="shared" si="2659"/>
        <v>0</v>
      </c>
      <c r="HJ343" s="21">
        <f t="shared" ref="HJ343:HQ343" si="2660">IF($F$290, 0, IF($F$299, IF(AND(COLUMN($HJ$343)-COLUMN($GL$343)=$Q$291,ROW($HJ$343)-ROW($GL$343)=$K$291), U$290, HJ343), HJ343))</f>
        <v>0</v>
      </c>
      <c r="HK343" s="21">
        <f t="shared" si="2660"/>
        <v>0</v>
      </c>
      <c r="HL343" s="21">
        <f t="shared" si="2660"/>
        <v>0</v>
      </c>
      <c r="HM343" s="21">
        <f t="shared" si="2660"/>
        <v>0</v>
      </c>
      <c r="HN343" s="21">
        <f t="shared" si="2660"/>
        <v>0</v>
      </c>
      <c r="HO343" s="21">
        <f t="shared" si="2660"/>
        <v>0</v>
      </c>
      <c r="HP343" s="21">
        <f t="shared" si="2660"/>
        <v>0</v>
      </c>
      <c r="HQ343" s="21">
        <f t="shared" si="2660"/>
        <v>0</v>
      </c>
      <c r="HR343" s="21">
        <f t="shared" ref="HR343:HY343" si="2661">IF($F$290, 0, IF($F$299, IF(AND(COLUMN($HR$343)-COLUMN($GL$343)=$Q$291,ROW($HR$343)-ROW($GL$343)=$K$291), U$290, HR343), HR343))</f>
        <v>0</v>
      </c>
      <c r="HS343" s="21">
        <f t="shared" si="2661"/>
        <v>0</v>
      </c>
      <c r="HT343" s="21">
        <f t="shared" si="2661"/>
        <v>0</v>
      </c>
      <c r="HU343" s="21">
        <f t="shared" si="2661"/>
        <v>0</v>
      </c>
      <c r="HV343" s="21">
        <f t="shared" si="2661"/>
        <v>0</v>
      </c>
      <c r="HW343" s="21">
        <f t="shared" si="2661"/>
        <v>0</v>
      </c>
      <c r="HX343" s="21">
        <f t="shared" si="2661"/>
        <v>0</v>
      </c>
      <c r="HY343" s="21">
        <f t="shared" si="2661"/>
        <v>0</v>
      </c>
      <c r="HZ343" s="21">
        <f t="shared" ref="HZ343:IG343" si="2662">IF($F$290, 0, IF($F$299, IF(AND(COLUMN($HZ$343)-COLUMN($GL$343)=$Q$291,ROW($HZ$343)-ROW($GL$343)=$K$291), U$290, HZ343), HZ343))</f>
        <v>0</v>
      </c>
      <c r="IA343" s="21">
        <f t="shared" si="2662"/>
        <v>0</v>
      </c>
      <c r="IB343" s="21">
        <f t="shared" si="2662"/>
        <v>0</v>
      </c>
      <c r="IC343" s="21">
        <f t="shared" si="2662"/>
        <v>0</v>
      </c>
      <c r="ID343" s="21">
        <f t="shared" si="2662"/>
        <v>0</v>
      </c>
      <c r="IE343" s="21">
        <f t="shared" si="2662"/>
        <v>0</v>
      </c>
      <c r="IF343" s="21">
        <f t="shared" si="2662"/>
        <v>0</v>
      </c>
      <c r="IG343" s="21">
        <f t="shared" si="2662"/>
        <v>0</v>
      </c>
      <c r="IH343" s="21">
        <f t="shared" ref="IH343:IO343" si="2663">IF($F$290, 0, IF($F$299, IF(AND(COLUMN($IH$343)-COLUMN($GL$343)=$Q$291,ROW($IH$343)-ROW($GL$343)=$K$291), U$290, IH343), IH343))</f>
        <v>0</v>
      </c>
      <c r="II343" s="21">
        <f t="shared" si="2663"/>
        <v>0</v>
      </c>
      <c r="IJ343" s="21">
        <f t="shared" si="2663"/>
        <v>0</v>
      </c>
      <c r="IK343" s="21">
        <f t="shared" si="2663"/>
        <v>0</v>
      </c>
      <c r="IL343" s="21">
        <f t="shared" si="2663"/>
        <v>0</v>
      </c>
      <c r="IM343" s="21">
        <f t="shared" si="2663"/>
        <v>0</v>
      </c>
      <c r="IN343" s="21">
        <f t="shared" si="2663"/>
        <v>0</v>
      </c>
      <c r="IO343" s="21">
        <f t="shared" si="2663"/>
        <v>0</v>
      </c>
      <c r="IP343" s="21">
        <f t="shared" ref="IP343:IW343" si="2664">IF($F$290, 0, IF($F$299, IF(AND(COLUMN($IP$343)-COLUMN($GL$343)=$Q$291,ROW($IP$343)-ROW($GL$343)=$K$291), U$290, IP343), IP343))</f>
        <v>0</v>
      </c>
      <c r="IQ343" s="21">
        <f t="shared" si="2664"/>
        <v>0</v>
      </c>
      <c r="IR343" s="21">
        <f t="shared" si="2664"/>
        <v>0</v>
      </c>
      <c r="IS343" s="21">
        <f t="shared" si="2664"/>
        <v>0</v>
      </c>
      <c r="IT343" s="21">
        <f t="shared" si="2664"/>
        <v>0</v>
      </c>
      <c r="IU343" s="21">
        <f t="shared" si="2664"/>
        <v>0</v>
      </c>
      <c r="IV343" s="21">
        <f t="shared" si="2664"/>
        <v>0</v>
      </c>
      <c r="IW343" s="21">
        <f t="shared" si="2664"/>
        <v>0</v>
      </c>
      <c r="IX343" s="21">
        <f t="shared" ref="IX343:JE343" si="2665">IF($F$290, 0, IF($G$299, IF(AND(COLUMN($IX$343)-COLUMN($IX$343)=$Q$291,ROW($IX$343)-ROW($IX$343)=$K$291), U$290, IX343), IX343))</f>
        <v>0</v>
      </c>
      <c r="IY343" s="21">
        <f t="shared" si="2665"/>
        <v>0</v>
      </c>
      <c r="IZ343" s="21">
        <f t="shared" si="2665"/>
        <v>0</v>
      </c>
      <c r="JA343" s="21">
        <f t="shared" si="2665"/>
        <v>0</v>
      </c>
      <c r="JB343" s="21">
        <f t="shared" si="2665"/>
        <v>0</v>
      </c>
      <c r="JC343" s="21">
        <f t="shared" si="2665"/>
        <v>0</v>
      </c>
      <c r="JD343" s="21">
        <f t="shared" si="2665"/>
        <v>0</v>
      </c>
      <c r="JE343" s="21">
        <f t="shared" si="2665"/>
        <v>0</v>
      </c>
      <c r="JF343" s="21">
        <f t="shared" ref="JF343:JM343" si="2666">IF($F$290, 0, IF($G$299, IF(AND(COLUMN($JF$343)-COLUMN($IX$343)=$Q$291,ROW($JF$343)-ROW($IX$343)=$K$291), U$290, JF343), JF343))</f>
        <v>0</v>
      </c>
      <c r="JG343" s="21">
        <f t="shared" si="2666"/>
        <v>0</v>
      </c>
      <c r="JH343" s="21">
        <f t="shared" si="2666"/>
        <v>0</v>
      </c>
      <c r="JI343" s="21">
        <f t="shared" si="2666"/>
        <v>0</v>
      </c>
      <c r="JJ343" s="21">
        <f t="shared" si="2666"/>
        <v>0</v>
      </c>
      <c r="JK343" s="21">
        <f t="shared" si="2666"/>
        <v>0</v>
      </c>
      <c r="JL343" s="21">
        <f t="shared" si="2666"/>
        <v>0</v>
      </c>
      <c r="JM343" s="21">
        <f t="shared" si="2666"/>
        <v>0</v>
      </c>
      <c r="JN343" s="21">
        <f t="shared" ref="JN343:JU343" si="2667">IF($F$290, 0, IF($G$299, IF(AND(COLUMN($JN$343)-COLUMN($IX$343)=$Q$291,ROW($JN$343)-ROW($IX$343)=$K$291), U$290, JN343), JN343))</f>
        <v>0</v>
      </c>
      <c r="JO343" s="21">
        <f t="shared" si="2667"/>
        <v>0</v>
      </c>
      <c r="JP343" s="21">
        <f t="shared" si="2667"/>
        <v>0</v>
      </c>
      <c r="JQ343" s="21">
        <f t="shared" si="2667"/>
        <v>0</v>
      </c>
      <c r="JR343" s="21">
        <f t="shared" si="2667"/>
        <v>0</v>
      </c>
      <c r="JS343" s="21">
        <f t="shared" si="2667"/>
        <v>0</v>
      </c>
      <c r="JT343" s="21">
        <f t="shared" si="2667"/>
        <v>0</v>
      </c>
      <c r="JU343" s="21">
        <f t="shared" si="2667"/>
        <v>0</v>
      </c>
      <c r="JV343" s="21">
        <f t="shared" ref="JV343:KC343" si="2668">IF($F$290, 0, IF($G$299, IF(AND(COLUMN($JV$343)-COLUMN($IX$343)=$Q$291,ROW($JV$343)-ROW($IX$343)=$K$291), U$290, JV343), JV343))</f>
        <v>0</v>
      </c>
      <c r="JW343" s="21">
        <f t="shared" si="2668"/>
        <v>0</v>
      </c>
      <c r="JX343" s="21">
        <f t="shared" si="2668"/>
        <v>0</v>
      </c>
      <c r="JY343" s="21">
        <f t="shared" si="2668"/>
        <v>0</v>
      </c>
      <c r="JZ343" s="21">
        <f t="shared" si="2668"/>
        <v>0</v>
      </c>
      <c r="KA343" s="21">
        <f t="shared" si="2668"/>
        <v>0</v>
      </c>
      <c r="KB343" s="21">
        <f t="shared" si="2668"/>
        <v>0</v>
      </c>
      <c r="KC343" s="21">
        <f t="shared" si="2668"/>
        <v>0</v>
      </c>
      <c r="KD343" s="21">
        <f t="shared" ref="KD343:KK343" si="2669">IF($F$290, 0, IF($G$299, IF(AND(COLUMN($KD$343)-COLUMN($IX$343)=$Q$291,ROW($KD$343)-ROW($IX$343)=$K$291), U$290, KD343), KD343))</f>
        <v>0</v>
      </c>
      <c r="KE343" s="21">
        <f t="shared" si="2669"/>
        <v>0</v>
      </c>
      <c r="KF343" s="21">
        <f t="shared" si="2669"/>
        <v>0</v>
      </c>
      <c r="KG343" s="21">
        <f t="shared" si="2669"/>
        <v>0</v>
      </c>
      <c r="KH343" s="21">
        <f t="shared" si="2669"/>
        <v>0</v>
      </c>
      <c r="KI343" s="21">
        <f t="shared" si="2669"/>
        <v>0</v>
      </c>
      <c r="KJ343" s="21">
        <f t="shared" si="2669"/>
        <v>0</v>
      </c>
      <c r="KK343" s="21">
        <f t="shared" si="2669"/>
        <v>0</v>
      </c>
      <c r="KL343" s="21">
        <f t="shared" ref="KL343:KS343" si="2670">IF($F$290, 0, IF($G$299, IF(AND(COLUMN($KL$343)-COLUMN($IX$343)=$Q$291,ROW($KL$343)-ROW($IX$343)=$K$291), U$290, KL343), KL343))</f>
        <v>0</v>
      </c>
      <c r="KM343" s="21">
        <f t="shared" si="2670"/>
        <v>0</v>
      </c>
      <c r="KN343" s="21">
        <f t="shared" si="2670"/>
        <v>0</v>
      </c>
      <c r="KO343" s="21">
        <f t="shared" si="2670"/>
        <v>0</v>
      </c>
      <c r="KP343" s="21">
        <f t="shared" si="2670"/>
        <v>0</v>
      </c>
      <c r="KQ343" s="21">
        <f t="shared" si="2670"/>
        <v>0</v>
      </c>
      <c r="KR343" s="21">
        <f t="shared" si="2670"/>
        <v>0</v>
      </c>
      <c r="KS343" s="21">
        <f t="shared" si="2670"/>
        <v>0</v>
      </c>
      <c r="KT343" s="21">
        <f t="shared" ref="KT343:LA343" si="2671">IF($F$290, 0, IF($G$299, IF(AND(COLUMN($KT$343)-COLUMN($IX$343)=$Q$291,ROW($KT$343)-ROW($IX$343)=$K$291), U$290, KT343), KT343))</f>
        <v>0</v>
      </c>
      <c r="KU343" s="21">
        <f t="shared" si="2671"/>
        <v>0</v>
      </c>
      <c r="KV343" s="21">
        <f t="shared" si="2671"/>
        <v>0</v>
      </c>
      <c r="KW343" s="21">
        <f t="shared" si="2671"/>
        <v>0</v>
      </c>
      <c r="KX343" s="21">
        <f t="shared" si="2671"/>
        <v>0</v>
      </c>
      <c r="KY343" s="21">
        <f t="shared" si="2671"/>
        <v>0</v>
      </c>
      <c r="KZ343" s="21">
        <f t="shared" si="2671"/>
        <v>0</v>
      </c>
      <c r="LA343" s="21">
        <f t="shared" si="2671"/>
        <v>0</v>
      </c>
      <c r="LB343" s="21">
        <f t="shared" ref="LB343:LI343" si="2672">IF($F$290, 0, IF($G$299, IF(AND(COLUMN($LB$343)-COLUMN($IX$343)=$Q$291,ROW($LB$343)-ROW($IX$343)=$K$291), U$290, LB343), LB343))</f>
        <v>0</v>
      </c>
      <c r="LC343" s="21">
        <f t="shared" si="2672"/>
        <v>0</v>
      </c>
      <c r="LD343" s="21">
        <f t="shared" si="2672"/>
        <v>0</v>
      </c>
      <c r="LE343" s="21">
        <f t="shared" si="2672"/>
        <v>0</v>
      </c>
      <c r="LF343" s="21">
        <f t="shared" si="2672"/>
        <v>0</v>
      </c>
      <c r="LG343" s="21">
        <f t="shared" si="2672"/>
        <v>0</v>
      </c>
      <c r="LH343" s="21">
        <f t="shared" si="2672"/>
        <v>0</v>
      </c>
      <c r="LI343" s="21">
        <f t="shared" si="2672"/>
        <v>0</v>
      </c>
      <c r="LJ343" s="21">
        <f t="shared" ref="LJ343:LQ343" si="2673">IF($F$290, 0, IF($H$299, IF(AND(COLUMN($LJ$343)-COLUMN($LJ$343)=$Q$291,ROW($LJ$343)-ROW($LJ$343)=$K$291), U$290, LJ343), LJ343))</f>
        <v>0</v>
      </c>
      <c r="LK343" s="21">
        <f t="shared" si="2673"/>
        <v>0</v>
      </c>
      <c r="LL343" s="21">
        <f t="shared" si="2673"/>
        <v>0</v>
      </c>
      <c r="LM343" s="21">
        <f t="shared" si="2673"/>
        <v>0</v>
      </c>
      <c r="LN343" s="21">
        <f t="shared" si="2673"/>
        <v>0</v>
      </c>
      <c r="LO343" s="21">
        <f t="shared" si="2673"/>
        <v>0</v>
      </c>
      <c r="LP343" s="21">
        <f t="shared" si="2673"/>
        <v>0</v>
      </c>
      <c r="LQ343" s="21">
        <f t="shared" si="2673"/>
        <v>0</v>
      </c>
      <c r="LR343" s="21">
        <f t="shared" ref="LR343:LY343" si="2674">IF($F$290, 0, IF($H$299, IF(AND(COLUMN($LR$343)-COLUMN($LJ$343)=$Q$291,ROW($LR$343)-ROW($LJ$343)=$K$291), U$290, LR343), LR343))</f>
        <v>0</v>
      </c>
      <c r="LS343" s="21">
        <f t="shared" si="2674"/>
        <v>0</v>
      </c>
      <c r="LT343" s="21">
        <f t="shared" si="2674"/>
        <v>0</v>
      </c>
      <c r="LU343" s="21">
        <f t="shared" si="2674"/>
        <v>0</v>
      </c>
      <c r="LV343" s="21">
        <f t="shared" si="2674"/>
        <v>0</v>
      </c>
      <c r="LW343" s="21">
        <f t="shared" si="2674"/>
        <v>0</v>
      </c>
      <c r="LX343" s="21">
        <f t="shared" si="2674"/>
        <v>0</v>
      </c>
      <c r="LY343" s="21">
        <f t="shared" si="2674"/>
        <v>0</v>
      </c>
      <c r="LZ343" s="21">
        <f t="shared" ref="LZ343:MG343" si="2675">IF($F$290, 0, IF($H$299, IF(AND(COLUMN($LZ$343)-COLUMN($LJ$343)=$Q$291,ROW($LZ$343)-ROW($LJ$343)=$K$291), U$290, LZ343), LZ343))</f>
        <v>0</v>
      </c>
      <c r="MA343" s="21">
        <f t="shared" si="2675"/>
        <v>0</v>
      </c>
      <c r="MB343" s="21">
        <f t="shared" si="2675"/>
        <v>0</v>
      </c>
      <c r="MC343" s="21">
        <f t="shared" si="2675"/>
        <v>0</v>
      </c>
      <c r="MD343" s="21">
        <f t="shared" si="2675"/>
        <v>0</v>
      </c>
      <c r="ME343" s="21">
        <f t="shared" si="2675"/>
        <v>0</v>
      </c>
      <c r="MF343" s="21">
        <f t="shared" si="2675"/>
        <v>0</v>
      </c>
      <c r="MG343" s="21">
        <f t="shared" si="2675"/>
        <v>0</v>
      </c>
      <c r="MH343" s="21">
        <f t="shared" ref="MH343:MO343" si="2676">IF($F$290, 0, IF($H$299, IF(AND(COLUMN($MH$343)-COLUMN($LJ$343)=$Q$291,ROW($MH$343)-ROW($LJ$343)=$K$291), U$290, MH343), MH343))</f>
        <v>0</v>
      </c>
      <c r="MI343" s="21">
        <f t="shared" si="2676"/>
        <v>0</v>
      </c>
      <c r="MJ343" s="21">
        <f t="shared" si="2676"/>
        <v>0</v>
      </c>
      <c r="MK343" s="21">
        <f t="shared" si="2676"/>
        <v>0</v>
      </c>
      <c r="ML343" s="21">
        <f t="shared" si="2676"/>
        <v>0</v>
      </c>
      <c r="MM343" s="21">
        <f t="shared" si="2676"/>
        <v>0</v>
      </c>
      <c r="MN343" s="21">
        <f t="shared" si="2676"/>
        <v>0</v>
      </c>
      <c r="MO343" s="21">
        <f t="shared" si="2676"/>
        <v>0</v>
      </c>
      <c r="MP343" s="21">
        <f t="shared" ref="MP343:MW343" si="2677">IF($F$290, 0, IF($H$299, IF(AND(COLUMN($MP$343)-COLUMN($LJ$343)=$Q$291,ROW($MP$343)-ROW($LJ$343)=$K$291), U$290, MP343), MP343))</f>
        <v>0</v>
      </c>
      <c r="MQ343" s="21">
        <f t="shared" si="2677"/>
        <v>0</v>
      </c>
      <c r="MR343" s="21">
        <f t="shared" si="2677"/>
        <v>0</v>
      </c>
      <c r="MS343" s="21">
        <f t="shared" si="2677"/>
        <v>0</v>
      </c>
      <c r="MT343" s="21">
        <f t="shared" si="2677"/>
        <v>0</v>
      </c>
      <c r="MU343" s="21">
        <f t="shared" si="2677"/>
        <v>0</v>
      </c>
      <c r="MV343" s="21">
        <f t="shared" si="2677"/>
        <v>0</v>
      </c>
      <c r="MW343" s="21">
        <f t="shared" si="2677"/>
        <v>0</v>
      </c>
      <c r="MX343" s="21">
        <f t="shared" ref="MX343:NE343" si="2678">IF($F$290, 0, IF($H$299, IF(AND(COLUMN($MX$343)-COLUMN($LJ$343)=$Q$291,ROW($MX$343)-ROW($LJ$343)=$K$291), U$290, MX343), MX343))</f>
        <v>0</v>
      </c>
      <c r="MY343" s="21">
        <f t="shared" si="2678"/>
        <v>0</v>
      </c>
      <c r="MZ343" s="21">
        <f t="shared" si="2678"/>
        <v>0</v>
      </c>
      <c r="NA343" s="21">
        <f t="shared" si="2678"/>
        <v>0</v>
      </c>
      <c r="NB343" s="21">
        <f t="shared" si="2678"/>
        <v>0</v>
      </c>
      <c r="NC343" s="21">
        <f t="shared" si="2678"/>
        <v>0</v>
      </c>
      <c r="ND343" s="21">
        <f t="shared" si="2678"/>
        <v>0</v>
      </c>
      <c r="NE343" s="21">
        <f t="shared" si="2678"/>
        <v>0</v>
      </c>
      <c r="NF343" s="21">
        <f t="shared" ref="NF343:NM343" si="2679">IF($F$290, 0, IF($H$299, IF(AND(COLUMN($NF$343)-COLUMN($LJ$343)=$Q$291,ROW($NF$343)-ROW($LJ$343)=$K$291), U$290, NF343), NF343))</f>
        <v>0</v>
      </c>
      <c r="NG343" s="21">
        <f t="shared" si="2679"/>
        <v>0</v>
      </c>
      <c r="NH343" s="21">
        <f t="shared" si="2679"/>
        <v>0</v>
      </c>
      <c r="NI343" s="21">
        <f t="shared" si="2679"/>
        <v>0</v>
      </c>
      <c r="NJ343" s="21">
        <f t="shared" si="2679"/>
        <v>0</v>
      </c>
      <c r="NK343" s="21">
        <f t="shared" si="2679"/>
        <v>0</v>
      </c>
      <c r="NL343" s="21">
        <f t="shared" si="2679"/>
        <v>0</v>
      </c>
      <c r="NM343" s="21">
        <f t="shared" si="2679"/>
        <v>0</v>
      </c>
      <c r="NN343" s="21">
        <f t="shared" ref="NN343:NU343" si="2680">IF($F$290, 0, IF($H$299, IF(AND(COLUMN($NN$343)-COLUMN($LJ$343)=$Q$291,ROW($NN$343)-ROW($LJ$343)=$K$291), U$290, NN343), NN343))</f>
        <v>0</v>
      </c>
      <c r="NO343" s="21">
        <f t="shared" si="2680"/>
        <v>0</v>
      </c>
      <c r="NP343" s="21">
        <f t="shared" si="2680"/>
        <v>0</v>
      </c>
      <c r="NQ343" s="21">
        <f t="shared" si="2680"/>
        <v>0</v>
      </c>
      <c r="NR343" s="21">
        <f t="shared" si="2680"/>
        <v>0</v>
      </c>
      <c r="NS343" s="21">
        <f t="shared" si="2680"/>
        <v>0</v>
      </c>
      <c r="NT343" s="21">
        <f t="shared" si="2680"/>
        <v>0</v>
      </c>
      <c r="NU343" s="21">
        <f t="shared" si="2680"/>
        <v>0</v>
      </c>
      <c r="NV343" s="21">
        <f t="shared" ref="NV343:OC343" si="2681">IF($F$290, 0, IF($I$299, IF(AND(COLUMN($NV$343)-COLUMN($NV$343)=$Q$291,ROW($NV$343)-ROW($NV$343)=$K$291), U$290, NV343), NV343))</f>
        <v>0</v>
      </c>
      <c r="NW343" s="21">
        <f t="shared" si="2681"/>
        <v>0</v>
      </c>
      <c r="NX343" s="21">
        <f t="shared" si="2681"/>
        <v>0</v>
      </c>
      <c r="NY343" s="21">
        <f t="shared" si="2681"/>
        <v>0</v>
      </c>
      <c r="NZ343" s="21">
        <f t="shared" si="2681"/>
        <v>0</v>
      </c>
      <c r="OA343" s="21">
        <f t="shared" si="2681"/>
        <v>0</v>
      </c>
      <c r="OB343" s="21">
        <f t="shared" si="2681"/>
        <v>0</v>
      </c>
      <c r="OC343" s="21">
        <f t="shared" si="2681"/>
        <v>0</v>
      </c>
      <c r="OD343" s="21">
        <f t="shared" ref="OD343:OK343" si="2682">IF($F$290, 0, IF($I$299, IF(AND(COLUMN($OD$343)-COLUMN($NV$343)=$Q$291,ROW($OD$343)-ROW($NV$343)=$K$291), U$290, OD343), OD343))</f>
        <v>0</v>
      </c>
      <c r="OE343" s="21">
        <f t="shared" si="2682"/>
        <v>0</v>
      </c>
      <c r="OF343" s="21">
        <f t="shared" si="2682"/>
        <v>0</v>
      </c>
      <c r="OG343" s="21">
        <f t="shared" si="2682"/>
        <v>0</v>
      </c>
      <c r="OH343" s="21">
        <f t="shared" si="2682"/>
        <v>0</v>
      </c>
      <c r="OI343" s="21">
        <f t="shared" si="2682"/>
        <v>0</v>
      </c>
      <c r="OJ343" s="21">
        <f t="shared" si="2682"/>
        <v>0</v>
      </c>
      <c r="OK343" s="21">
        <f t="shared" si="2682"/>
        <v>0</v>
      </c>
      <c r="OL343" s="21">
        <f t="shared" ref="OL343:OS343" si="2683">IF($F$290, 0, IF($I$299, IF(AND(COLUMN($OL$343)-COLUMN($NV$343)=$Q$291,ROW($OL$343)-ROW($NV$343)=$K$291), U$290, OL343), OL343))</f>
        <v>0</v>
      </c>
      <c r="OM343" s="21">
        <f t="shared" si="2683"/>
        <v>0</v>
      </c>
      <c r="ON343" s="21">
        <f t="shared" si="2683"/>
        <v>0</v>
      </c>
      <c r="OO343" s="21">
        <f t="shared" si="2683"/>
        <v>0</v>
      </c>
      <c r="OP343" s="21">
        <f t="shared" si="2683"/>
        <v>0</v>
      </c>
      <c r="OQ343" s="21">
        <f t="shared" si="2683"/>
        <v>0</v>
      </c>
      <c r="OR343" s="21">
        <f t="shared" si="2683"/>
        <v>0</v>
      </c>
      <c r="OS343" s="21">
        <f t="shared" si="2683"/>
        <v>0</v>
      </c>
      <c r="OT343" s="21">
        <f t="shared" ref="OT343:PA343" si="2684">IF($F$290, 0, IF($I$299, IF(AND(COLUMN($OT$343)-COLUMN($NV$343)=$Q$291,ROW($OT$343)-ROW($NV$343)=$K$291), U$290, OT343), OT343))</f>
        <v>0</v>
      </c>
      <c r="OU343" s="21">
        <f t="shared" si="2684"/>
        <v>0</v>
      </c>
      <c r="OV343" s="21">
        <f t="shared" si="2684"/>
        <v>0</v>
      </c>
      <c r="OW343" s="21">
        <f t="shared" si="2684"/>
        <v>0</v>
      </c>
      <c r="OX343" s="21">
        <f t="shared" si="2684"/>
        <v>0</v>
      </c>
      <c r="OY343" s="21">
        <f t="shared" si="2684"/>
        <v>0</v>
      </c>
      <c r="OZ343" s="21">
        <f t="shared" si="2684"/>
        <v>0</v>
      </c>
      <c r="PA343" s="21">
        <f t="shared" si="2684"/>
        <v>0</v>
      </c>
      <c r="PB343" s="21">
        <f t="shared" ref="PB343:PI343" si="2685">IF($F$290, 0, IF($I$299, IF(AND(COLUMN($PB$343)-COLUMN($NV$343)=$Q$291,ROW($PB$343)-ROW($NV$343)=$K$291), U$290, PB343), PB343))</f>
        <v>0</v>
      </c>
      <c r="PC343" s="21">
        <f t="shared" si="2685"/>
        <v>0</v>
      </c>
      <c r="PD343" s="21">
        <f t="shared" si="2685"/>
        <v>0</v>
      </c>
      <c r="PE343" s="21">
        <f t="shared" si="2685"/>
        <v>0</v>
      </c>
      <c r="PF343" s="21">
        <f t="shared" si="2685"/>
        <v>0</v>
      </c>
      <c r="PG343" s="21">
        <f t="shared" si="2685"/>
        <v>0</v>
      </c>
      <c r="PH343" s="21">
        <f t="shared" si="2685"/>
        <v>0</v>
      </c>
      <c r="PI343" s="21">
        <f t="shared" si="2685"/>
        <v>0</v>
      </c>
      <c r="PJ343" s="21">
        <f t="shared" ref="PJ343:PQ343" si="2686">IF($F$290, 0, IF($I$299, IF(AND(COLUMN($PJ$343)-COLUMN($NV$343)=$Q$291,ROW($PJ$343)-ROW($NV$343)=$K$291), U$290, PJ343), PJ343))</f>
        <v>0</v>
      </c>
      <c r="PK343" s="21">
        <f t="shared" si="2686"/>
        <v>0</v>
      </c>
      <c r="PL343" s="21">
        <f t="shared" si="2686"/>
        <v>0</v>
      </c>
      <c r="PM343" s="21">
        <f t="shared" si="2686"/>
        <v>0</v>
      </c>
      <c r="PN343" s="21">
        <f t="shared" si="2686"/>
        <v>0</v>
      </c>
      <c r="PO343" s="21">
        <f t="shared" si="2686"/>
        <v>0</v>
      </c>
      <c r="PP343" s="21">
        <f t="shared" si="2686"/>
        <v>0</v>
      </c>
      <c r="PQ343" s="21">
        <f t="shared" si="2686"/>
        <v>0</v>
      </c>
      <c r="PR343" s="21">
        <f t="shared" ref="PR343:PY343" si="2687">IF($F$290, 0, IF($I$299, IF(AND(COLUMN($PR$343)-COLUMN($NV$343)=$Q$291,ROW($PR$343)-ROW($NV$343)=$K$291), U$290, PR343), PR343))</f>
        <v>0</v>
      </c>
      <c r="PS343" s="21">
        <f t="shared" si="2687"/>
        <v>0</v>
      </c>
      <c r="PT343" s="21">
        <f t="shared" si="2687"/>
        <v>0</v>
      </c>
      <c r="PU343" s="21">
        <f t="shared" si="2687"/>
        <v>0</v>
      </c>
      <c r="PV343" s="21">
        <f t="shared" si="2687"/>
        <v>0</v>
      </c>
      <c r="PW343" s="21">
        <f t="shared" si="2687"/>
        <v>0</v>
      </c>
      <c r="PX343" s="21">
        <f t="shared" si="2687"/>
        <v>0</v>
      </c>
      <c r="PY343" s="21">
        <f t="shared" si="2687"/>
        <v>0</v>
      </c>
      <c r="PZ343" s="21">
        <f t="shared" ref="PZ343:QG343" si="2688">IF($F$290, 0, IF($I$299, IF(AND(COLUMN($PZ$343)-COLUMN($NV$343)=$Q$291,ROW($PZ$343)-ROW($NV$343)=$K$291), U$290, PZ343), PZ343))</f>
        <v>0</v>
      </c>
      <c r="QA343" s="21">
        <f t="shared" si="2688"/>
        <v>0</v>
      </c>
      <c r="QB343" s="21">
        <f t="shared" si="2688"/>
        <v>0</v>
      </c>
      <c r="QC343" s="21">
        <f t="shared" si="2688"/>
        <v>0</v>
      </c>
      <c r="QD343" s="21">
        <f t="shared" si="2688"/>
        <v>0</v>
      </c>
      <c r="QE343" s="21">
        <f t="shared" si="2688"/>
        <v>0</v>
      </c>
      <c r="QF343" s="21">
        <f t="shared" si="2688"/>
        <v>0</v>
      </c>
      <c r="QG343" s="21">
        <f t="shared" si="2688"/>
        <v>0</v>
      </c>
      <c r="QH343" s="21">
        <f t="shared" ref="QH343:QO343" si="2689">IF($F$290, 0, IF($J$299, IF(AND(COLUMN($QH$343)-COLUMN($QH$343)=$Q$291,ROW($QH$343)-ROW($QH$343)=$K$291), U$290, QH343), QH343))</f>
        <v>0</v>
      </c>
      <c r="QI343" s="21">
        <f t="shared" si="2689"/>
        <v>0</v>
      </c>
      <c r="QJ343" s="21">
        <f t="shared" si="2689"/>
        <v>0</v>
      </c>
      <c r="QK343" s="21">
        <f t="shared" si="2689"/>
        <v>0</v>
      </c>
      <c r="QL343" s="21">
        <f t="shared" si="2689"/>
        <v>0</v>
      </c>
      <c r="QM343" s="21">
        <f t="shared" si="2689"/>
        <v>0</v>
      </c>
      <c r="QN343" s="21">
        <f t="shared" si="2689"/>
        <v>0</v>
      </c>
      <c r="QO343" s="21">
        <f t="shared" si="2689"/>
        <v>0</v>
      </c>
      <c r="QP343" s="21">
        <f t="shared" ref="QP343:QW343" si="2690">IF($F$290, 0, IF($J$299, IF(AND(COLUMN($QP$343)-COLUMN($QH$343)=$Q$291,ROW($QP$343)-ROW($QH$343)=$K$291), U$290, QP343), QP343))</f>
        <v>0</v>
      </c>
      <c r="QQ343" s="21">
        <f t="shared" si="2690"/>
        <v>0</v>
      </c>
      <c r="QR343" s="21">
        <f t="shared" si="2690"/>
        <v>0</v>
      </c>
      <c r="QS343" s="21">
        <f t="shared" si="2690"/>
        <v>0</v>
      </c>
      <c r="QT343" s="21">
        <f t="shared" si="2690"/>
        <v>0</v>
      </c>
      <c r="QU343" s="21">
        <f t="shared" si="2690"/>
        <v>0</v>
      </c>
      <c r="QV343" s="21">
        <f t="shared" si="2690"/>
        <v>0</v>
      </c>
      <c r="QW343" s="21">
        <f t="shared" si="2690"/>
        <v>0</v>
      </c>
      <c r="QX343" s="21">
        <f t="shared" ref="QX343:RE343" si="2691">IF($F$290, 0, IF($J$299, IF(AND(COLUMN($QX$343)-COLUMN($QH$343)=$Q$291,ROW($QX$343)-ROW($QH$343)=$K$291), U$290, QX343), QX343))</f>
        <v>0</v>
      </c>
      <c r="QY343" s="21">
        <f t="shared" si="2691"/>
        <v>0</v>
      </c>
      <c r="QZ343" s="21">
        <f t="shared" si="2691"/>
        <v>0</v>
      </c>
      <c r="RA343" s="21">
        <f t="shared" si="2691"/>
        <v>0</v>
      </c>
      <c r="RB343" s="21">
        <f t="shared" si="2691"/>
        <v>0</v>
      </c>
      <c r="RC343" s="21">
        <f t="shared" si="2691"/>
        <v>0</v>
      </c>
      <c r="RD343" s="21">
        <f t="shared" si="2691"/>
        <v>0</v>
      </c>
      <c r="RE343" s="21">
        <f t="shared" si="2691"/>
        <v>0</v>
      </c>
      <c r="RF343" s="21">
        <f t="shared" ref="RF343:RM343" si="2692">IF($F$290, 0, IF($J$299, IF(AND(COLUMN($RF$343)-COLUMN($QH$343)=$Q$291,ROW($RF$343)-ROW($QH$343)=$K$291), U$290, RF343), RF343))</f>
        <v>0</v>
      </c>
      <c r="RG343" s="21">
        <f t="shared" si="2692"/>
        <v>0</v>
      </c>
      <c r="RH343" s="21">
        <f t="shared" si="2692"/>
        <v>0</v>
      </c>
      <c r="RI343" s="21">
        <f t="shared" si="2692"/>
        <v>0</v>
      </c>
      <c r="RJ343" s="21">
        <f t="shared" si="2692"/>
        <v>0</v>
      </c>
      <c r="RK343" s="21">
        <f t="shared" si="2692"/>
        <v>0</v>
      </c>
      <c r="RL343" s="21">
        <f t="shared" si="2692"/>
        <v>0</v>
      </c>
      <c r="RM343" s="21">
        <f t="shared" si="2692"/>
        <v>0</v>
      </c>
      <c r="RN343" s="21">
        <f t="shared" ref="RN343:RU343" si="2693">IF($F$290, 0, IF($J$299, IF(AND(COLUMN($RN$343)-COLUMN($QH$343)=$Q$291,ROW($RN$343)-ROW($QH$343)=$K$291), U$290, RN343), RN343))</f>
        <v>0</v>
      </c>
      <c r="RO343" s="21">
        <f t="shared" si="2693"/>
        <v>0</v>
      </c>
      <c r="RP343" s="21">
        <f t="shared" si="2693"/>
        <v>0</v>
      </c>
      <c r="RQ343" s="21">
        <f t="shared" si="2693"/>
        <v>0</v>
      </c>
      <c r="RR343" s="21">
        <f t="shared" si="2693"/>
        <v>0</v>
      </c>
      <c r="RS343" s="21">
        <f t="shared" si="2693"/>
        <v>0</v>
      </c>
      <c r="RT343" s="21">
        <f t="shared" si="2693"/>
        <v>0</v>
      </c>
      <c r="RU343" s="21">
        <f t="shared" si="2693"/>
        <v>0</v>
      </c>
      <c r="RV343" s="21">
        <f t="shared" ref="RV343:SC343" si="2694">IF($F$290, 0, IF($J$299, IF(AND(COLUMN($RV$343)-COLUMN($QH$343)=$Q$291,ROW($RV$343)-ROW($QH$343)=$K$291), U$290, RV343), RV343))</f>
        <v>0</v>
      </c>
      <c r="RW343" s="21">
        <f t="shared" si="2694"/>
        <v>0</v>
      </c>
      <c r="RX343" s="21">
        <f t="shared" si="2694"/>
        <v>0</v>
      </c>
      <c r="RY343" s="21">
        <f t="shared" si="2694"/>
        <v>0</v>
      </c>
      <c r="RZ343" s="21">
        <f t="shared" si="2694"/>
        <v>0</v>
      </c>
      <c r="SA343" s="21">
        <f t="shared" si="2694"/>
        <v>0</v>
      </c>
      <c r="SB343" s="21">
        <f t="shared" si="2694"/>
        <v>0</v>
      </c>
      <c r="SC343" s="21">
        <f t="shared" si="2694"/>
        <v>0</v>
      </c>
      <c r="SD343" s="21">
        <f t="shared" ref="SD343:SK343" si="2695">IF($F$290, 0, IF($J$299, IF(AND(COLUMN($SD$343)-COLUMN($QH$343)=$Q$291,ROW($SD$343)-ROW($QH$343)=$K$291), U$290, SD343), SD343))</f>
        <v>0</v>
      </c>
      <c r="SE343" s="21">
        <f t="shared" si="2695"/>
        <v>0</v>
      </c>
      <c r="SF343" s="21">
        <f t="shared" si="2695"/>
        <v>0</v>
      </c>
      <c r="SG343" s="21">
        <f t="shared" si="2695"/>
        <v>0</v>
      </c>
      <c r="SH343" s="21">
        <f t="shared" si="2695"/>
        <v>0</v>
      </c>
      <c r="SI343" s="21">
        <f t="shared" si="2695"/>
        <v>0</v>
      </c>
      <c r="SJ343" s="21">
        <f t="shared" si="2695"/>
        <v>0</v>
      </c>
      <c r="SK343" s="21">
        <f t="shared" si="2695"/>
        <v>0</v>
      </c>
      <c r="SL343" s="21">
        <f t="shared" ref="SL343:SS343" si="2696">IF($F$290, 0, IF($J$299, IF(AND(COLUMN($SL$343)-COLUMN($QH$343)=$Q$291,ROW($SL$343)-ROW($QH$343)=$K$291), U$290, SL343), SL343))</f>
        <v>0</v>
      </c>
      <c r="SM343" s="21">
        <f t="shared" si="2696"/>
        <v>0</v>
      </c>
      <c r="SN343" s="21">
        <f t="shared" si="2696"/>
        <v>0</v>
      </c>
      <c r="SO343" s="21">
        <f t="shared" si="2696"/>
        <v>0</v>
      </c>
      <c r="SP343" s="21">
        <f t="shared" si="2696"/>
        <v>0</v>
      </c>
      <c r="SQ343" s="21">
        <f t="shared" si="2696"/>
        <v>0</v>
      </c>
      <c r="SR343" s="21">
        <f t="shared" si="2696"/>
        <v>0</v>
      </c>
      <c r="SS343" s="21">
        <f t="shared" si="2696"/>
        <v>0</v>
      </c>
    </row>
    <row r="344" spans="2:513" ht="15" customHeight="1" x14ac:dyDescent="0.25">
      <c r="B344" s="21">
        <f t="shared" ref="B344:I344" si="2697">IF($F$290, 0, IF($C$299, IF(AND(COLUMN($B$344)-COLUMN($B$343)=$Q$291,ROW($B$344)-ROW($B$343)=$K$291), U$290, B344), B344))</f>
        <v>0</v>
      </c>
      <c r="C344" s="21">
        <f t="shared" si="2697"/>
        <v>0</v>
      </c>
      <c r="D344" s="21">
        <f t="shared" si="2697"/>
        <v>0</v>
      </c>
      <c r="E344" s="21">
        <f t="shared" si="2697"/>
        <v>0</v>
      </c>
      <c r="F344" s="21">
        <f t="shared" si="2697"/>
        <v>0</v>
      </c>
      <c r="G344" s="21">
        <f t="shared" si="2697"/>
        <v>0</v>
      </c>
      <c r="H344" s="21">
        <f t="shared" si="2697"/>
        <v>0</v>
      </c>
      <c r="I344" s="21">
        <f t="shared" si="2697"/>
        <v>0</v>
      </c>
      <c r="J344" s="21">
        <f t="shared" ref="J344:Q344" si="2698">IF($F$290, 0, IF($C$299, IF(AND(COLUMN($J$344)-COLUMN($B$343)=$Q$291,ROW($J$344)-ROW($B$343)=$K$291), U$290, J344), J344))</f>
        <v>0</v>
      </c>
      <c r="K344" s="21">
        <f t="shared" si="2698"/>
        <v>0</v>
      </c>
      <c r="L344" s="21">
        <f t="shared" si="2698"/>
        <v>0</v>
      </c>
      <c r="M344" s="21">
        <f t="shared" si="2698"/>
        <v>0</v>
      </c>
      <c r="N344" s="21">
        <f t="shared" si="2698"/>
        <v>0</v>
      </c>
      <c r="O344" s="21">
        <f t="shared" si="2698"/>
        <v>0</v>
      </c>
      <c r="P344" s="21">
        <f t="shared" si="2698"/>
        <v>0</v>
      </c>
      <c r="Q344" s="21">
        <f t="shared" si="2698"/>
        <v>0</v>
      </c>
      <c r="R344" s="21">
        <f>IF($F$290, 0, IF($C$299, IF(AND(COLUMN($R$344)-COLUMN($B$343)=$Q$291,ROW($R$344)-ROW($B$343)=$K$291), U$290, R344), R344))</f>
        <v>0</v>
      </c>
      <c r="S344" s="21">
        <f t="shared" ref="S344:Y344" si="2699">IF($F$290, 0, IF($C$299, IF(AND(COLUMN($R$344)-COLUMN($B$343)=$Q$291,ROW($R$344)-ROW($B$343)=$K$291), V$290, S344), S344))</f>
        <v>0</v>
      </c>
      <c r="T344" s="21">
        <f t="shared" si="2699"/>
        <v>0</v>
      </c>
      <c r="U344" s="21">
        <f t="shared" si="2699"/>
        <v>0</v>
      </c>
      <c r="V344" s="21">
        <f t="shared" si="2699"/>
        <v>0</v>
      </c>
      <c r="W344" s="21">
        <f t="shared" si="2699"/>
        <v>0</v>
      </c>
      <c r="X344" s="21">
        <f t="shared" si="2699"/>
        <v>0</v>
      </c>
      <c r="Y344" s="21">
        <f t="shared" si="2699"/>
        <v>0</v>
      </c>
      <c r="Z344" s="21">
        <f t="shared" ref="Z344:AG344" si="2700">IF($F$290, 0, IF($C$299, IF(AND(COLUMN($Z$344)-COLUMN($B$343)=$Q$291,ROW($Z$344)-ROW($B$343)=$K$291), U$290, Z344), Z344))</f>
        <v>0</v>
      </c>
      <c r="AA344" s="21">
        <f t="shared" si="2700"/>
        <v>0</v>
      </c>
      <c r="AB344" s="21">
        <f t="shared" si="2700"/>
        <v>0</v>
      </c>
      <c r="AC344" s="21">
        <f t="shared" si="2700"/>
        <v>0</v>
      </c>
      <c r="AD344" s="21">
        <f t="shared" si="2700"/>
        <v>0</v>
      </c>
      <c r="AE344" s="21">
        <f t="shared" si="2700"/>
        <v>0</v>
      </c>
      <c r="AF344" s="21">
        <f t="shared" si="2700"/>
        <v>0</v>
      </c>
      <c r="AG344" s="21">
        <f t="shared" si="2700"/>
        <v>0</v>
      </c>
      <c r="AH344" s="21">
        <f t="shared" ref="AH344:AO344" si="2701">IF($F$290, 0, IF($C$299, IF(AND(COLUMN($AH$344)-COLUMN($B$343)=$Q$291,ROW($AH$344)-ROW($B$343)=$K$291), U$290, AH344), AH344))</f>
        <v>0</v>
      </c>
      <c r="AI344" s="21">
        <f t="shared" si="2701"/>
        <v>0</v>
      </c>
      <c r="AJ344" s="21">
        <f t="shared" si="2701"/>
        <v>0</v>
      </c>
      <c r="AK344" s="21">
        <f t="shared" si="2701"/>
        <v>0</v>
      </c>
      <c r="AL344" s="21">
        <f t="shared" si="2701"/>
        <v>0</v>
      </c>
      <c r="AM344" s="21">
        <f t="shared" si="2701"/>
        <v>0</v>
      </c>
      <c r="AN344" s="21">
        <f t="shared" si="2701"/>
        <v>0</v>
      </c>
      <c r="AO344" s="21">
        <f t="shared" si="2701"/>
        <v>0</v>
      </c>
      <c r="AP344" s="21">
        <f t="shared" ref="AP344:AW344" si="2702">IF($F$290, 0, IF($C$299, IF(AND(COLUMN($AP$344)-COLUMN($B$343)=$Q$291,ROW($AP$344)-ROW($B$343)=$K$291), U$290, AP344), AP344))</f>
        <v>0</v>
      </c>
      <c r="AQ344" s="21">
        <f t="shared" si="2702"/>
        <v>0</v>
      </c>
      <c r="AR344" s="21">
        <f t="shared" si="2702"/>
        <v>0</v>
      </c>
      <c r="AS344" s="21">
        <f t="shared" si="2702"/>
        <v>0</v>
      </c>
      <c r="AT344" s="21">
        <f t="shared" si="2702"/>
        <v>0</v>
      </c>
      <c r="AU344" s="21">
        <f t="shared" si="2702"/>
        <v>0</v>
      </c>
      <c r="AV344" s="21">
        <f t="shared" si="2702"/>
        <v>0</v>
      </c>
      <c r="AW344" s="21">
        <f t="shared" si="2702"/>
        <v>0</v>
      </c>
      <c r="AX344" s="21">
        <f t="shared" ref="AX344:BE344" si="2703">IF($F$290, 0, IF($C$299, IF(AND(COLUMN($AX$344)-COLUMN($B$343)=$Q$291,ROW($AX$344)-ROW($B$343)=$K$291), U$290, AX344), AX344))</f>
        <v>0</v>
      </c>
      <c r="AY344" s="21">
        <f t="shared" si="2703"/>
        <v>0</v>
      </c>
      <c r="AZ344" s="21">
        <f t="shared" si="2703"/>
        <v>0</v>
      </c>
      <c r="BA344" s="21">
        <f t="shared" si="2703"/>
        <v>0</v>
      </c>
      <c r="BB344" s="21">
        <f t="shared" si="2703"/>
        <v>0</v>
      </c>
      <c r="BC344" s="21">
        <f t="shared" si="2703"/>
        <v>0</v>
      </c>
      <c r="BD344" s="21">
        <f t="shared" si="2703"/>
        <v>0</v>
      </c>
      <c r="BE344" s="21">
        <f t="shared" si="2703"/>
        <v>0</v>
      </c>
      <c r="BF344" s="21">
        <f t="shared" ref="BF344:BM344" si="2704">IF($F$290, 0, IF($C$299, IF(AND(COLUMN($BF$344)-COLUMN($B$343)=$Q$291,ROW($BF$344)-ROW($B$343)=$K$291), U$290, BF344), BF344))</f>
        <v>0</v>
      </c>
      <c r="BG344" s="21">
        <f t="shared" si="2704"/>
        <v>0</v>
      </c>
      <c r="BH344" s="21">
        <f t="shared" si="2704"/>
        <v>0</v>
      </c>
      <c r="BI344" s="21">
        <f t="shared" si="2704"/>
        <v>0</v>
      </c>
      <c r="BJ344" s="21">
        <f t="shared" si="2704"/>
        <v>0</v>
      </c>
      <c r="BK344" s="21">
        <f t="shared" si="2704"/>
        <v>0</v>
      </c>
      <c r="BL344" s="21">
        <f t="shared" si="2704"/>
        <v>0</v>
      </c>
      <c r="BM344" s="21">
        <f t="shared" si="2704"/>
        <v>0</v>
      </c>
      <c r="BN344" s="21">
        <f t="shared" ref="BN344:BU344" si="2705">IF($F$290, 0, IF($D$299, IF(AND(COLUMN($BN$344)-COLUMN($BN$343)=$Q$291,ROW($BN$344)-ROW($BN$343)=$K$291), U$290, BN344), BN344))</f>
        <v>0</v>
      </c>
      <c r="BO344" s="21">
        <f t="shared" si="2705"/>
        <v>0</v>
      </c>
      <c r="BP344" s="21">
        <f t="shared" si="2705"/>
        <v>0</v>
      </c>
      <c r="BQ344" s="21">
        <f t="shared" si="2705"/>
        <v>0</v>
      </c>
      <c r="BR344" s="21">
        <f t="shared" si="2705"/>
        <v>0</v>
      </c>
      <c r="BS344" s="21">
        <f t="shared" si="2705"/>
        <v>0</v>
      </c>
      <c r="BT344" s="21">
        <f t="shared" si="2705"/>
        <v>0</v>
      </c>
      <c r="BU344" s="21">
        <f t="shared" si="2705"/>
        <v>0</v>
      </c>
      <c r="BV344" s="21">
        <f t="shared" ref="BV344:CC344" si="2706">IF($F$290, 0, IF($D$299, IF(AND(COLUMN($BV$344)-COLUMN($BN$343)=$Q$291,ROW($BV$344)-ROW($BN$343)=$K$291), U$290, BV344), BV344))</f>
        <v>0</v>
      </c>
      <c r="BW344" s="21">
        <f t="shared" si="2706"/>
        <v>0</v>
      </c>
      <c r="BX344" s="21">
        <f t="shared" si="2706"/>
        <v>0</v>
      </c>
      <c r="BY344" s="21">
        <f t="shared" si="2706"/>
        <v>0</v>
      </c>
      <c r="BZ344" s="21">
        <f t="shared" si="2706"/>
        <v>0</v>
      </c>
      <c r="CA344" s="21">
        <f t="shared" si="2706"/>
        <v>0</v>
      </c>
      <c r="CB344" s="21">
        <f t="shared" si="2706"/>
        <v>0</v>
      </c>
      <c r="CC344" s="21">
        <f t="shared" si="2706"/>
        <v>0</v>
      </c>
      <c r="CD344" s="21">
        <f t="shared" ref="CD344:CK344" si="2707">IF($F$290, 0, IF($D$299, IF(AND(COLUMN($CD$344)-COLUMN($BN$343)=$Q$291,ROW($CD$344)-ROW($BN$343)=$K$291), U$290, CD344), CD344))</f>
        <v>0</v>
      </c>
      <c r="CE344" s="21">
        <f t="shared" si="2707"/>
        <v>0</v>
      </c>
      <c r="CF344" s="21">
        <f t="shared" si="2707"/>
        <v>0</v>
      </c>
      <c r="CG344" s="21">
        <f t="shared" si="2707"/>
        <v>0</v>
      </c>
      <c r="CH344" s="21">
        <f t="shared" si="2707"/>
        <v>0</v>
      </c>
      <c r="CI344" s="21">
        <f t="shared" si="2707"/>
        <v>0</v>
      </c>
      <c r="CJ344" s="21">
        <f t="shared" si="2707"/>
        <v>0</v>
      </c>
      <c r="CK344" s="21">
        <f t="shared" si="2707"/>
        <v>0</v>
      </c>
      <c r="CL344" s="21">
        <f t="shared" ref="CL344:CS344" si="2708">IF($F$290, 0, IF($D$299, IF(AND(COLUMN($CL$344)-COLUMN($BN$343)=$Q$291,ROW($CL$344)-ROW($BN$343)=$K$291), U$290, CL344), CL344))</f>
        <v>0</v>
      </c>
      <c r="CM344" s="21">
        <f t="shared" si="2708"/>
        <v>0</v>
      </c>
      <c r="CN344" s="21">
        <f t="shared" si="2708"/>
        <v>0</v>
      </c>
      <c r="CO344" s="21">
        <f t="shared" si="2708"/>
        <v>0</v>
      </c>
      <c r="CP344" s="21">
        <f t="shared" si="2708"/>
        <v>0</v>
      </c>
      <c r="CQ344" s="21">
        <f t="shared" si="2708"/>
        <v>0</v>
      </c>
      <c r="CR344" s="21">
        <f t="shared" si="2708"/>
        <v>0</v>
      </c>
      <c r="CS344" s="21">
        <f t="shared" si="2708"/>
        <v>0</v>
      </c>
      <c r="CT344" s="21">
        <f t="shared" ref="CT344:DA344" si="2709">IF($F$290, 0, IF($D$299, IF(AND(COLUMN($CT$344)-COLUMN($BN$343)=$Q$291,ROW($CT$344)-ROW($BN$343)=$K$291), U$290, CT344), CT344))</f>
        <v>0</v>
      </c>
      <c r="CU344" s="21">
        <f t="shared" si="2709"/>
        <v>0</v>
      </c>
      <c r="CV344" s="21">
        <f t="shared" si="2709"/>
        <v>0</v>
      </c>
      <c r="CW344" s="21">
        <f t="shared" si="2709"/>
        <v>0</v>
      </c>
      <c r="CX344" s="21">
        <f t="shared" si="2709"/>
        <v>0</v>
      </c>
      <c r="CY344" s="21">
        <f t="shared" si="2709"/>
        <v>0</v>
      </c>
      <c r="CZ344" s="21">
        <f t="shared" si="2709"/>
        <v>0</v>
      </c>
      <c r="DA344" s="21">
        <f t="shared" si="2709"/>
        <v>0</v>
      </c>
      <c r="DB344" s="21">
        <f t="shared" ref="DB344:DI344" si="2710">IF($F$290, 0, IF($D$299, IF(AND(COLUMN($DB$344)-COLUMN($BN$343)=$Q$291,ROW($DB$344)-ROW($BN$343)=$K$291), U$290, DB344), DB344))</f>
        <v>0</v>
      </c>
      <c r="DC344" s="21">
        <f t="shared" si="2710"/>
        <v>0</v>
      </c>
      <c r="DD344" s="21">
        <f t="shared" si="2710"/>
        <v>0</v>
      </c>
      <c r="DE344" s="21">
        <f t="shared" si="2710"/>
        <v>0</v>
      </c>
      <c r="DF344" s="21">
        <f t="shared" si="2710"/>
        <v>0</v>
      </c>
      <c r="DG344" s="21">
        <f t="shared" si="2710"/>
        <v>0</v>
      </c>
      <c r="DH344" s="21">
        <f t="shared" si="2710"/>
        <v>0</v>
      </c>
      <c r="DI344" s="21">
        <f t="shared" si="2710"/>
        <v>0</v>
      </c>
      <c r="DJ344" s="21">
        <f t="shared" ref="DJ344:DQ344" si="2711">IF($F$290, 0, IF($D$299, IF(AND(COLUMN($DJ$344)-COLUMN($BN$343)=$Q$291,ROW($DJ$344)-ROW($BN$343)=$K$291), U$290, DJ344), DJ344))</f>
        <v>0</v>
      </c>
      <c r="DK344" s="21">
        <f t="shared" si="2711"/>
        <v>0</v>
      </c>
      <c r="DL344" s="21">
        <f t="shared" si="2711"/>
        <v>0</v>
      </c>
      <c r="DM344" s="21">
        <f t="shared" si="2711"/>
        <v>0</v>
      </c>
      <c r="DN344" s="21">
        <f t="shared" si="2711"/>
        <v>0</v>
      </c>
      <c r="DO344" s="21">
        <f t="shared" si="2711"/>
        <v>0</v>
      </c>
      <c r="DP344" s="21">
        <f t="shared" si="2711"/>
        <v>0</v>
      </c>
      <c r="DQ344" s="21">
        <f t="shared" si="2711"/>
        <v>0</v>
      </c>
      <c r="DR344" s="21">
        <f t="shared" ref="DR344:DY344" si="2712">IF($F$290, 0, IF($D$299, IF(AND(COLUMN($DR$344)-COLUMN($BN$343)=$Q$291,ROW($DR$344)-ROW($BN$343)=$K$291), U$290, DR344), DR344))</f>
        <v>0</v>
      </c>
      <c r="DS344" s="21">
        <f t="shared" si="2712"/>
        <v>0</v>
      </c>
      <c r="DT344" s="21">
        <f t="shared" si="2712"/>
        <v>0</v>
      </c>
      <c r="DU344" s="21">
        <f t="shared" si="2712"/>
        <v>0</v>
      </c>
      <c r="DV344" s="21">
        <f t="shared" si="2712"/>
        <v>0</v>
      </c>
      <c r="DW344" s="21">
        <f t="shared" si="2712"/>
        <v>0</v>
      </c>
      <c r="DX344" s="21">
        <f t="shared" si="2712"/>
        <v>0</v>
      </c>
      <c r="DY344" s="21">
        <f t="shared" si="2712"/>
        <v>0</v>
      </c>
      <c r="DZ344" s="21">
        <f t="shared" ref="DZ344:EG344" si="2713">IF($F$290, 0, IF($E$299, IF(AND(COLUMN($DZ$344)-COLUMN($DZ$343)=$Q$291,ROW($DZ$344)-ROW($DZ$343)=$K$291), U$290, DZ344), DZ344))</f>
        <v>0</v>
      </c>
      <c r="EA344" s="21">
        <f t="shared" si="2713"/>
        <v>0</v>
      </c>
      <c r="EB344" s="21">
        <f t="shared" si="2713"/>
        <v>0</v>
      </c>
      <c r="EC344" s="21">
        <f t="shared" si="2713"/>
        <v>0</v>
      </c>
      <c r="ED344" s="21">
        <f t="shared" si="2713"/>
        <v>0</v>
      </c>
      <c r="EE344" s="21">
        <f t="shared" si="2713"/>
        <v>0</v>
      </c>
      <c r="EF344" s="21">
        <f t="shared" si="2713"/>
        <v>0</v>
      </c>
      <c r="EG344" s="21">
        <f t="shared" si="2713"/>
        <v>0</v>
      </c>
      <c r="EH344" s="21">
        <f t="shared" ref="EH344:EO344" si="2714">IF($F$290, 0, IF($E$299, IF(AND(COLUMN($EH$344)-COLUMN($DZ$343)=$Q$291,ROW($EH$344)-ROW($DZ$343)=$K$291), U$290, EH344), EH344))</f>
        <v>0</v>
      </c>
      <c r="EI344" s="21">
        <f t="shared" si="2714"/>
        <v>0</v>
      </c>
      <c r="EJ344" s="21">
        <f t="shared" si="2714"/>
        <v>0</v>
      </c>
      <c r="EK344" s="21">
        <f t="shared" si="2714"/>
        <v>0</v>
      </c>
      <c r="EL344" s="21">
        <f t="shared" si="2714"/>
        <v>0</v>
      </c>
      <c r="EM344" s="21">
        <f t="shared" si="2714"/>
        <v>0</v>
      </c>
      <c r="EN344" s="21">
        <f t="shared" si="2714"/>
        <v>0</v>
      </c>
      <c r="EO344" s="21">
        <f t="shared" si="2714"/>
        <v>0</v>
      </c>
      <c r="EP344" s="21">
        <f t="shared" ref="EP344:EW344" si="2715">IF($F$290, 0, IF($E$299, IF(AND(COLUMN($EP$344)-COLUMN($DZ$343)=$Q$291,ROW($EP$344)-ROW($DZ$343)=$K$291), U$290, EP344), EP344))</f>
        <v>0</v>
      </c>
      <c r="EQ344" s="21">
        <f t="shared" si="2715"/>
        <v>0</v>
      </c>
      <c r="ER344" s="21">
        <f t="shared" si="2715"/>
        <v>0</v>
      </c>
      <c r="ES344" s="21">
        <f t="shared" si="2715"/>
        <v>0</v>
      </c>
      <c r="ET344" s="21">
        <f t="shared" si="2715"/>
        <v>0</v>
      </c>
      <c r="EU344" s="21">
        <f t="shared" si="2715"/>
        <v>0</v>
      </c>
      <c r="EV344" s="21">
        <f t="shared" si="2715"/>
        <v>0</v>
      </c>
      <c r="EW344" s="21">
        <f t="shared" si="2715"/>
        <v>0</v>
      </c>
      <c r="EX344" s="21">
        <f t="shared" ref="EX344:FE344" si="2716">IF($F$290, 0, IF($E$299, IF(AND(COLUMN($EX$344)-COLUMN($DZ$343)=$Q$291,ROW($EX$344)-ROW($DZ$343)=$K$291), U$290, EX344), EX344))</f>
        <v>0</v>
      </c>
      <c r="EY344" s="21">
        <f t="shared" si="2716"/>
        <v>0</v>
      </c>
      <c r="EZ344" s="21">
        <f t="shared" si="2716"/>
        <v>0</v>
      </c>
      <c r="FA344" s="21">
        <f t="shared" si="2716"/>
        <v>0</v>
      </c>
      <c r="FB344" s="21">
        <f t="shared" si="2716"/>
        <v>0</v>
      </c>
      <c r="FC344" s="21">
        <f t="shared" si="2716"/>
        <v>0</v>
      </c>
      <c r="FD344" s="21">
        <f t="shared" si="2716"/>
        <v>0</v>
      </c>
      <c r="FE344" s="21">
        <f t="shared" si="2716"/>
        <v>0</v>
      </c>
      <c r="FF344" s="21">
        <f t="shared" ref="FF344:FM344" si="2717">IF($F$290, 0, IF($E$299, IF(AND(COLUMN($FF$344)-COLUMN($DZ$343)=$Q$291,ROW($FF$344)-ROW($DZ$343)=$K$291), U$290, FF344), FF344))</f>
        <v>0</v>
      </c>
      <c r="FG344" s="21">
        <f t="shared" si="2717"/>
        <v>0</v>
      </c>
      <c r="FH344" s="21">
        <f t="shared" si="2717"/>
        <v>0</v>
      </c>
      <c r="FI344" s="21">
        <f t="shared" si="2717"/>
        <v>0</v>
      </c>
      <c r="FJ344" s="21">
        <f t="shared" si="2717"/>
        <v>0</v>
      </c>
      <c r="FK344" s="21">
        <f t="shared" si="2717"/>
        <v>0</v>
      </c>
      <c r="FL344" s="21">
        <f t="shared" si="2717"/>
        <v>0</v>
      </c>
      <c r="FM344" s="21">
        <f t="shared" si="2717"/>
        <v>0</v>
      </c>
      <c r="FN344" s="21">
        <f t="shared" ref="FN344:FU344" si="2718">IF($F$290, 0, IF($E$299, IF(AND(COLUMN($FN$344)-COLUMN($DZ$343)=$Q$291,ROW($FN$344)-ROW($DZ$343)=$K$291), U$290, FN344), FN344))</f>
        <v>0</v>
      </c>
      <c r="FO344" s="21">
        <f t="shared" si="2718"/>
        <v>0</v>
      </c>
      <c r="FP344" s="21">
        <f t="shared" si="2718"/>
        <v>0</v>
      </c>
      <c r="FQ344" s="21">
        <f t="shared" si="2718"/>
        <v>0</v>
      </c>
      <c r="FR344" s="21">
        <f t="shared" si="2718"/>
        <v>0</v>
      </c>
      <c r="FS344" s="21">
        <f t="shared" si="2718"/>
        <v>0</v>
      </c>
      <c r="FT344" s="21">
        <f t="shared" si="2718"/>
        <v>0</v>
      </c>
      <c r="FU344" s="21">
        <f t="shared" si="2718"/>
        <v>0</v>
      </c>
      <c r="FV344" s="21">
        <f t="shared" ref="FV344:GC344" si="2719">IF($F$290, 0, IF($E$299, IF(AND(COLUMN($FV$344)-COLUMN($DZ$343)=$Q$291,ROW($FV$344)-ROW($DZ$343)=$K$291), U$290, FV344), FV344))</f>
        <v>0</v>
      </c>
      <c r="FW344" s="21">
        <f t="shared" si="2719"/>
        <v>0</v>
      </c>
      <c r="FX344" s="21">
        <f t="shared" si="2719"/>
        <v>0</v>
      </c>
      <c r="FY344" s="21">
        <f t="shared" si="2719"/>
        <v>0</v>
      </c>
      <c r="FZ344" s="21">
        <f t="shared" si="2719"/>
        <v>0</v>
      </c>
      <c r="GA344" s="21">
        <f t="shared" si="2719"/>
        <v>0</v>
      </c>
      <c r="GB344" s="21">
        <f t="shared" si="2719"/>
        <v>0</v>
      </c>
      <c r="GC344" s="21">
        <f t="shared" si="2719"/>
        <v>0</v>
      </c>
      <c r="GD344" s="21">
        <f t="shared" ref="GD344:GK344" si="2720">IF($F$290, 0, IF($E$299, IF(AND(COLUMN($GD$344)-COLUMN($DZ$343)=$Q$291,ROW($GD$344)-ROW($DZ$343)=$K$291), U$290, GD344), GD344))</f>
        <v>0</v>
      </c>
      <c r="GE344" s="21">
        <f t="shared" si="2720"/>
        <v>0</v>
      </c>
      <c r="GF344" s="21">
        <f t="shared" si="2720"/>
        <v>0</v>
      </c>
      <c r="GG344" s="21">
        <f t="shared" si="2720"/>
        <v>0</v>
      </c>
      <c r="GH344" s="21">
        <f t="shared" si="2720"/>
        <v>0</v>
      </c>
      <c r="GI344" s="21">
        <f t="shared" si="2720"/>
        <v>0</v>
      </c>
      <c r="GJ344" s="21">
        <f t="shared" si="2720"/>
        <v>0</v>
      </c>
      <c r="GK344" s="21">
        <f t="shared" si="2720"/>
        <v>0</v>
      </c>
      <c r="GL344" s="21">
        <f t="shared" ref="GL344:GS344" si="2721">IF($F$290, 0, IF($F$299, IF(AND(COLUMN($GL$344)-COLUMN($GL$343)=$Q$291,ROW($GL$344)-ROW($GL$343)=$K$291), U$290, GL344), GL344))</f>
        <v>0</v>
      </c>
      <c r="GM344" s="21">
        <f t="shared" si="2721"/>
        <v>0</v>
      </c>
      <c r="GN344" s="21">
        <f t="shared" si="2721"/>
        <v>0</v>
      </c>
      <c r="GO344" s="21">
        <f t="shared" si="2721"/>
        <v>0</v>
      </c>
      <c r="GP344" s="21">
        <f t="shared" si="2721"/>
        <v>0</v>
      </c>
      <c r="GQ344" s="21">
        <f t="shared" si="2721"/>
        <v>0</v>
      </c>
      <c r="GR344" s="21">
        <f t="shared" si="2721"/>
        <v>0</v>
      </c>
      <c r="GS344" s="21">
        <f t="shared" si="2721"/>
        <v>0</v>
      </c>
      <c r="GT344" s="21">
        <f t="shared" ref="GT344:HA344" si="2722">IF($F$290, 0, IF($F$299, IF(AND(COLUMN($GT$344)-COLUMN($GL$343)=$Q$291,ROW($GT$344)-ROW($GL$343)=$K$291), U$290, GT344), GT344))</f>
        <v>0</v>
      </c>
      <c r="GU344" s="21">
        <f t="shared" si="2722"/>
        <v>0</v>
      </c>
      <c r="GV344" s="21">
        <f t="shared" si="2722"/>
        <v>0</v>
      </c>
      <c r="GW344" s="21">
        <f t="shared" si="2722"/>
        <v>0</v>
      </c>
      <c r="GX344" s="21">
        <f t="shared" si="2722"/>
        <v>0</v>
      </c>
      <c r="GY344" s="21">
        <f t="shared" si="2722"/>
        <v>0</v>
      </c>
      <c r="GZ344" s="21">
        <f t="shared" si="2722"/>
        <v>0</v>
      </c>
      <c r="HA344" s="21">
        <f t="shared" si="2722"/>
        <v>0</v>
      </c>
      <c r="HB344" s="21">
        <f t="shared" ref="HB344:HI344" si="2723">IF($F$290, 0, IF($F$299, IF(AND(COLUMN($HB$344)-COLUMN($GL$343)=$Q$291,ROW($HB$344)-ROW($GL$343)=$K$291), U$290, HB344), HB344))</f>
        <v>0</v>
      </c>
      <c r="HC344" s="21">
        <f t="shared" si="2723"/>
        <v>0</v>
      </c>
      <c r="HD344" s="21">
        <f t="shared" si="2723"/>
        <v>0</v>
      </c>
      <c r="HE344" s="21">
        <f t="shared" si="2723"/>
        <v>0</v>
      </c>
      <c r="HF344" s="21">
        <f t="shared" si="2723"/>
        <v>0</v>
      </c>
      <c r="HG344" s="21">
        <f t="shared" si="2723"/>
        <v>0</v>
      </c>
      <c r="HH344" s="21">
        <f t="shared" si="2723"/>
        <v>0</v>
      </c>
      <c r="HI344" s="21">
        <f t="shared" si="2723"/>
        <v>0</v>
      </c>
      <c r="HJ344" s="21">
        <f t="shared" ref="HJ344:HQ344" si="2724">IF($F$290, 0, IF($F$299, IF(AND(COLUMN($HJ$344)-COLUMN($GL$343)=$Q$291,ROW($HJ$344)-ROW($GL$343)=$K$291), U$290, HJ344), HJ344))</f>
        <v>0</v>
      </c>
      <c r="HK344" s="21">
        <f t="shared" si="2724"/>
        <v>0</v>
      </c>
      <c r="HL344" s="21">
        <f t="shared" si="2724"/>
        <v>0</v>
      </c>
      <c r="HM344" s="21">
        <f t="shared" si="2724"/>
        <v>0</v>
      </c>
      <c r="HN344" s="21">
        <f t="shared" si="2724"/>
        <v>0</v>
      </c>
      <c r="HO344" s="21">
        <f t="shared" si="2724"/>
        <v>0</v>
      </c>
      <c r="HP344" s="21">
        <f t="shared" si="2724"/>
        <v>0</v>
      </c>
      <c r="HQ344" s="21">
        <f t="shared" si="2724"/>
        <v>0</v>
      </c>
      <c r="HR344" s="21">
        <f t="shared" ref="HR344:HY344" si="2725">IF($F$290, 0, IF($F$299, IF(AND(COLUMN($HR$344)-COLUMN($GL$343)=$Q$291,ROW($HR$344)-ROW($GL$343)=$K$291), U$290, HR344), HR344))</f>
        <v>0</v>
      </c>
      <c r="HS344" s="21">
        <f t="shared" si="2725"/>
        <v>0</v>
      </c>
      <c r="HT344" s="21">
        <f t="shared" si="2725"/>
        <v>0</v>
      </c>
      <c r="HU344" s="21">
        <f t="shared" si="2725"/>
        <v>0</v>
      </c>
      <c r="HV344" s="21">
        <f t="shared" si="2725"/>
        <v>0</v>
      </c>
      <c r="HW344" s="21">
        <f t="shared" si="2725"/>
        <v>0</v>
      </c>
      <c r="HX344" s="21">
        <f t="shared" si="2725"/>
        <v>0</v>
      </c>
      <c r="HY344" s="21">
        <f t="shared" si="2725"/>
        <v>0</v>
      </c>
      <c r="HZ344" s="21">
        <f t="shared" ref="HZ344:IG344" si="2726">IF($F$290, 0, IF($F$299, IF(AND(COLUMN($HZ$344)-COLUMN($GL$343)=$Q$291,ROW($HZ$344)-ROW($GL$343)=$K$291), U$290, HZ344), HZ344))</f>
        <v>0</v>
      </c>
      <c r="IA344" s="21">
        <f t="shared" si="2726"/>
        <v>0</v>
      </c>
      <c r="IB344" s="21">
        <f t="shared" si="2726"/>
        <v>0</v>
      </c>
      <c r="IC344" s="21">
        <f t="shared" si="2726"/>
        <v>0</v>
      </c>
      <c r="ID344" s="21">
        <f t="shared" si="2726"/>
        <v>0</v>
      </c>
      <c r="IE344" s="21">
        <f t="shared" si="2726"/>
        <v>0</v>
      </c>
      <c r="IF344" s="21">
        <f t="shared" si="2726"/>
        <v>0</v>
      </c>
      <c r="IG344" s="21">
        <f t="shared" si="2726"/>
        <v>0</v>
      </c>
      <c r="IH344" s="21">
        <f t="shared" ref="IH344:IO344" si="2727">IF($F$290, 0, IF($F$299, IF(AND(COLUMN($IH$344)-COLUMN($GL$343)=$Q$291,ROW($IH$344)-ROW($GL$343)=$K$291), U$290, IH344), IH344))</f>
        <v>0</v>
      </c>
      <c r="II344" s="21">
        <f t="shared" si="2727"/>
        <v>0</v>
      </c>
      <c r="IJ344" s="21">
        <f t="shared" si="2727"/>
        <v>0</v>
      </c>
      <c r="IK344" s="21">
        <f t="shared" si="2727"/>
        <v>0</v>
      </c>
      <c r="IL344" s="21">
        <f t="shared" si="2727"/>
        <v>0</v>
      </c>
      <c r="IM344" s="21">
        <f t="shared" si="2727"/>
        <v>0</v>
      </c>
      <c r="IN344" s="21">
        <f t="shared" si="2727"/>
        <v>0</v>
      </c>
      <c r="IO344" s="21">
        <f t="shared" si="2727"/>
        <v>0</v>
      </c>
      <c r="IP344" s="21">
        <f t="shared" ref="IP344:IW344" si="2728">IF($F$290, 0, IF($F$299, IF(AND(COLUMN($IP$344)-COLUMN($GL$343)=$Q$291,ROW($IP$344)-ROW($GL$343)=$K$291), U$290, IP344), IP344))</f>
        <v>0</v>
      </c>
      <c r="IQ344" s="21">
        <f t="shared" si="2728"/>
        <v>0</v>
      </c>
      <c r="IR344" s="21">
        <f t="shared" si="2728"/>
        <v>0</v>
      </c>
      <c r="IS344" s="21">
        <f t="shared" si="2728"/>
        <v>0</v>
      </c>
      <c r="IT344" s="21">
        <f t="shared" si="2728"/>
        <v>0</v>
      </c>
      <c r="IU344" s="21">
        <f t="shared" si="2728"/>
        <v>0</v>
      </c>
      <c r="IV344" s="21">
        <f t="shared" si="2728"/>
        <v>0</v>
      </c>
      <c r="IW344" s="21">
        <f t="shared" si="2728"/>
        <v>0</v>
      </c>
      <c r="IX344" s="21">
        <f t="shared" ref="IX344:JE344" si="2729">IF($F$290, 0, IF($G$299, IF(AND(COLUMN($IX$344)-COLUMN($IX$343)=$Q$291,ROW($IX$344)-ROW($IX$343)=$K$291), U$290, IX344), IX344))</f>
        <v>0</v>
      </c>
      <c r="IY344" s="21">
        <f t="shared" si="2729"/>
        <v>0</v>
      </c>
      <c r="IZ344" s="21">
        <f t="shared" si="2729"/>
        <v>0</v>
      </c>
      <c r="JA344" s="21">
        <f t="shared" si="2729"/>
        <v>0</v>
      </c>
      <c r="JB344" s="21">
        <f t="shared" si="2729"/>
        <v>0</v>
      </c>
      <c r="JC344" s="21">
        <f t="shared" si="2729"/>
        <v>0</v>
      </c>
      <c r="JD344" s="21">
        <f t="shared" si="2729"/>
        <v>0</v>
      </c>
      <c r="JE344" s="21">
        <f t="shared" si="2729"/>
        <v>0</v>
      </c>
      <c r="JF344" s="21">
        <f t="shared" ref="JF344:JM344" si="2730">IF($F$290, 0, IF($G$299, IF(AND(COLUMN($JF$344)-COLUMN($IX$343)=$Q$291,ROW($JF$344)-ROW($IX$343)=$K$291), U$290, JF344), JF344))</f>
        <v>0</v>
      </c>
      <c r="JG344" s="21">
        <f t="shared" si="2730"/>
        <v>0</v>
      </c>
      <c r="JH344" s="21">
        <f t="shared" si="2730"/>
        <v>0</v>
      </c>
      <c r="JI344" s="21">
        <f t="shared" si="2730"/>
        <v>0</v>
      </c>
      <c r="JJ344" s="21">
        <f t="shared" si="2730"/>
        <v>0</v>
      </c>
      <c r="JK344" s="21">
        <f t="shared" si="2730"/>
        <v>0</v>
      </c>
      <c r="JL344" s="21">
        <f t="shared" si="2730"/>
        <v>0</v>
      </c>
      <c r="JM344" s="21">
        <f t="shared" si="2730"/>
        <v>0</v>
      </c>
      <c r="JN344" s="21">
        <f t="shared" ref="JN344:JU344" si="2731">IF($F$290, 0, IF($G$299, IF(AND(COLUMN($JN$344)-COLUMN($IX$343)=$Q$291,ROW($JN$344)-ROW($IX$343)=$K$291), U$290, JN344), JN344))</f>
        <v>0</v>
      </c>
      <c r="JO344" s="21">
        <f t="shared" si="2731"/>
        <v>0</v>
      </c>
      <c r="JP344" s="21">
        <f t="shared" si="2731"/>
        <v>0</v>
      </c>
      <c r="JQ344" s="21">
        <f t="shared" si="2731"/>
        <v>0</v>
      </c>
      <c r="JR344" s="21">
        <f t="shared" si="2731"/>
        <v>0</v>
      </c>
      <c r="JS344" s="21">
        <f t="shared" si="2731"/>
        <v>0</v>
      </c>
      <c r="JT344" s="21">
        <f t="shared" si="2731"/>
        <v>0</v>
      </c>
      <c r="JU344" s="21">
        <f t="shared" si="2731"/>
        <v>0</v>
      </c>
      <c r="JV344" s="21">
        <f t="shared" ref="JV344:KC344" si="2732">IF($F$290, 0, IF($G$299, IF(AND(COLUMN($JV$344)-COLUMN($IX$343)=$Q$291,ROW($JV$344)-ROW($IX$343)=$K$291), U$290, JV344), JV344))</f>
        <v>0</v>
      </c>
      <c r="JW344" s="21">
        <f t="shared" si="2732"/>
        <v>0</v>
      </c>
      <c r="JX344" s="21">
        <f t="shared" si="2732"/>
        <v>0</v>
      </c>
      <c r="JY344" s="21">
        <f t="shared" si="2732"/>
        <v>0</v>
      </c>
      <c r="JZ344" s="21">
        <f t="shared" si="2732"/>
        <v>0</v>
      </c>
      <c r="KA344" s="21">
        <f t="shared" si="2732"/>
        <v>0</v>
      </c>
      <c r="KB344" s="21">
        <f t="shared" si="2732"/>
        <v>0</v>
      </c>
      <c r="KC344" s="21">
        <f t="shared" si="2732"/>
        <v>0</v>
      </c>
      <c r="KD344" s="21">
        <f t="shared" ref="KD344:KK344" si="2733">IF($F$290, 0, IF($G$299, IF(AND(COLUMN($KD$344)-COLUMN($IX$343)=$Q$291,ROW($KD$344)-ROW($IX$343)=$K$291), U$290, KD344), KD344))</f>
        <v>0</v>
      </c>
      <c r="KE344" s="21">
        <f t="shared" si="2733"/>
        <v>0</v>
      </c>
      <c r="KF344" s="21">
        <f t="shared" si="2733"/>
        <v>0</v>
      </c>
      <c r="KG344" s="21">
        <f t="shared" si="2733"/>
        <v>0</v>
      </c>
      <c r="KH344" s="21">
        <f t="shared" si="2733"/>
        <v>0</v>
      </c>
      <c r="KI344" s="21">
        <f t="shared" si="2733"/>
        <v>0</v>
      </c>
      <c r="KJ344" s="21">
        <f t="shared" si="2733"/>
        <v>0</v>
      </c>
      <c r="KK344" s="21">
        <f t="shared" si="2733"/>
        <v>0</v>
      </c>
      <c r="KL344" s="21">
        <f t="shared" ref="KL344:KS344" si="2734">IF($F$290, 0, IF($G$299, IF(AND(COLUMN($KL$344)-COLUMN($IX$343)=$Q$291,ROW($KL$344)-ROW($IX$343)=$K$291), U$290, KL344), KL344))</f>
        <v>0</v>
      </c>
      <c r="KM344" s="21">
        <f t="shared" si="2734"/>
        <v>0</v>
      </c>
      <c r="KN344" s="21">
        <f t="shared" si="2734"/>
        <v>0</v>
      </c>
      <c r="KO344" s="21">
        <f t="shared" si="2734"/>
        <v>0</v>
      </c>
      <c r="KP344" s="21">
        <f t="shared" si="2734"/>
        <v>0</v>
      </c>
      <c r="KQ344" s="21">
        <f t="shared" si="2734"/>
        <v>0</v>
      </c>
      <c r="KR344" s="21">
        <f t="shared" si="2734"/>
        <v>0</v>
      </c>
      <c r="KS344" s="21">
        <f t="shared" si="2734"/>
        <v>0</v>
      </c>
      <c r="KT344" s="21">
        <f t="shared" ref="KT344:LA344" si="2735">IF($F$290, 0, IF($G$299, IF(AND(COLUMN($KT$344)-COLUMN($IX$343)=$Q$291,ROW($KT$344)-ROW($IX$343)=$K$291), U$290, KT344), KT344))</f>
        <v>0</v>
      </c>
      <c r="KU344" s="21">
        <f t="shared" si="2735"/>
        <v>0</v>
      </c>
      <c r="KV344" s="21">
        <f t="shared" si="2735"/>
        <v>0</v>
      </c>
      <c r="KW344" s="21">
        <f t="shared" si="2735"/>
        <v>0</v>
      </c>
      <c r="KX344" s="21">
        <f t="shared" si="2735"/>
        <v>0</v>
      </c>
      <c r="KY344" s="21">
        <f t="shared" si="2735"/>
        <v>0</v>
      </c>
      <c r="KZ344" s="21">
        <f t="shared" si="2735"/>
        <v>0</v>
      </c>
      <c r="LA344" s="21">
        <f t="shared" si="2735"/>
        <v>0</v>
      </c>
      <c r="LB344" s="21">
        <f t="shared" ref="LB344:LI344" si="2736">IF($F$290, 0, IF($G$299, IF(AND(COLUMN($LB$344)-COLUMN($IX$343)=$Q$291,ROW($LB$344)-ROW($IX$343)=$K$291), U$290, LB344), LB344))</f>
        <v>0</v>
      </c>
      <c r="LC344" s="21">
        <f t="shared" si="2736"/>
        <v>0</v>
      </c>
      <c r="LD344" s="21">
        <f t="shared" si="2736"/>
        <v>0</v>
      </c>
      <c r="LE344" s="21">
        <f t="shared" si="2736"/>
        <v>0</v>
      </c>
      <c r="LF344" s="21">
        <f t="shared" si="2736"/>
        <v>0</v>
      </c>
      <c r="LG344" s="21">
        <f t="shared" si="2736"/>
        <v>0</v>
      </c>
      <c r="LH344" s="21">
        <f t="shared" si="2736"/>
        <v>0</v>
      </c>
      <c r="LI344" s="21">
        <f t="shared" si="2736"/>
        <v>0</v>
      </c>
      <c r="LJ344" s="21">
        <f t="shared" ref="LJ344:LQ344" si="2737">IF($F$290, 0, IF($H$299, IF(AND(COLUMN($LJ$344)-COLUMN($LJ$343)=$Q$291,ROW($LJ$344)-ROW($LJ$343)=$K$291), U$290, LJ344), LJ344))</f>
        <v>0</v>
      </c>
      <c r="LK344" s="21">
        <f t="shared" si="2737"/>
        <v>0</v>
      </c>
      <c r="LL344" s="21">
        <f t="shared" si="2737"/>
        <v>0</v>
      </c>
      <c r="LM344" s="21">
        <f t="shared" si="2737"/>
        <v>0</v>
      </c>
      <c r="LN344" s="21">
        <f t="shared" si="2737"/>
        <v>0</v>
      </c>
      <c r="LO344" s="21">
        <f t="shared" si="2737"/>
        <v>0</v>
      </c>
      <c r="LP344" s="21">
        <f t="shared" si="2737"/>
        <v>0</v>
      </c>
      <c r="LQ344" s="21">
        <f t="shared" si="2737"/>
        <v>0</v>
      </c>
      <c r="LR344" s="21">
        <f t="shared" ref="LR344:LY344" si="2738">IF($F$290, 0, IF($H$299, IF(AND(COLUMN($LR$344)-COLUMN($LJ$343)=$Q$291,ROW($LR$344)-ROW($LJ$343)=$K$291), U$290, LR344), LR344))</f>
        <v>0</v>
      </c>
      <c r="LS344" s="21">
        <f t="shared" si="2738"/>
        <v>0</v>
      </c>
      <c r="LT344" s="21">
        <f t="shared" si="2738"/>
        <v>0</v>
      </c>
      <c r="LU344" s="21">
        <f t="shared" si="2738"/>
        <v>0</v>
      </c>
      <c r="LV344" s="21">
        <f t="shared" si="2738"/>
        <v>0</v>
      </c>
      <c r="LW344" s="21">
        <f t="shared" si="2738"/>
        <v>0</v>
      </c>
      <c r="LX344" s="21">
        <f t="shared" si="2738"/>
        <v>0</v>
      </c>
      <c r="LY344" s="21">
        <f t="shared" si="2738"/>
        <v>0</v>
      </c>
      <c r="LZ344" s="21">
        <f t="shared" ref="LZ344:MG344" si="2739">IF($F$290, 0, IF($H$299, IF(AND(COLUMN($LZ$344)-COLUMN($LJ$343)=$Q$291,ROW($LZ$344)-ROW($LJ$343)=$K$291), U$290, LZ344), LZ344))</f>
        <v>0</v>
      </c>
      <c r="MA344" s="21">
        <f t="shared" si="2739"/>
        <v>0</v>
      </c>
      <c r="MB344" s="21">
        <f t="shared" si="2739"/>
        <v>0</v>
      </c>
      <c r="MC344" s="21">
        <f t="shared" si="2739"/>
        <v>0</v>
      </c>
      <c r="MD344" s="21">
        <f t="shared" si="2739"/>
        <v>0</v>
      </c>
      <c r="ME344" s="21">
        <f t="shared" si="2739"/>
        <v>0</v>
      </c>
      <c r="MF344" s="21">
        <f t="shared" si="2739"/>
        <v>0</v>
      </c>
      <c r="MG344" s="21">
        <f t="shared" si="2739"/>
        <v>0</v>
      </c>
      <c r="MH344" s="21">
        <f t="shared" ref="MH344:MO344" si="2740">IF($F$290, 0, IF($H$299, IF(AND(COLUMN($MH$344)-COLUMN($LJ$343)=$Q$291,ROW($MH$344)-ROW($LJ$343)=$K$291), U$290, MH344), MH344))</f>
        <v>0</v>
      </c>
      <c r="MI344" s="21">
        <f t="shared" si="2740"/>
        <v>0</v>
      </c>
      <c r="MJ344" s="21">
        <f t="shared" si="2740"/>
        <v>0</v>
      </c>
      <c r="MK344" s="21">
        <f t="shared" si="2740"/>
        <v>0</v>
      </c>
      <c r="ML344" s="21">
        <f t="shared" si="2740"/>
        <v>0</v>
      </c>
      <c r="MM344" s="21">
        <f t="shared" si="2740"/>
        <v>0</v>
      </c>
      <c r="MN344" s="21">
        <f t="shared" si="2740"/>
        <v>0</v>
      </c>
      <c r="MO344" s="21">
        <f t="shared" si="2740"/>
        <v>0</v>
      </c>
      <c r="MP344" s="21">
        <f t="shared" ref="MP344:MW344" si="2741">IF($F$290, 0, IF($H$299, IF(AND(COLUMN($MP$344)-COLUMN($LJ$343)=$Q$291,ROW($MP$344)-ROW($LJ$343)=$K$291), U$290, MP344), MP344))</f>
        <v>0</v>
      </c>
      <c r="MQ344" s="21">
        <f t="shared" si="2741"/>
        <v>0</v>
      </c>
      <c r="MR344" s="21">
        <f t="shared" si="2741"/>
        <v>0</v>
      </c>
      <c r="MS344" s="21">
        <f t="shared" si="2741"/>
        <v>0</v>
      </c>
      <c r="MT344" s="21">
        <f t="shared" si="2741"/>
        <v>0</v>
      </c>
      <c r="MU344" s="21">
        <f t="shared" si="2741"/>
        <v>0</v>
      </c>
      <c r="MV344" s="21">
        <f t="shared" si="2741"/>
        <v>0</v>
      </c>
      <c r="MW344" s="21">
        <f t="shared" si="2741"/>
        <v>0</v>
      </c>
      <c r="MX344" s="21">
        <f t="shared" ref="MX344:NE344" si="2742">IF($F$290, 0, IF($H$299, IF(AND(COLUMN($MX$344)-COLUMN($LJ$343)=$Q$291,ROW($MX$344)-ROW($LJ$343)=$K$291), U$290, MX344), MX344))</f>
        <v>0</v>
      </c>
      <c r="MY344" s="21">
        <f t="shared" si="2742"/>
        <v>0</v>
      </c>
      <c r="MZ344" s="21">
        <f t="shared" si="2742"/>
        <v>0</v>
      </c>
      <c r="NA344" s="21">
        <f t="shared" si="2742"/>
        <v>0</v>
      </c>
      <c r="NB344" s="21">
        <f t="shared" si="2742"/>
        <v>0</v>
      </c>
      <c r="NC344" s="21">
        <f t="shared" si="2742"/>
        <v>0</v>
      </c>
      <c r="ND344" s="21">
        <f t="shared" si="2742"/>
        <v>0</v>
      </c>
      <c r="NE344" s="21">
        <f t="shared" si="2742"/>
        <v>0</v>
      </c>
      <c r="NF344" s="21">
        <f t="shared" ref="NF344:NM344" si="2743">IF($F$290, 0, IF($H$299, IF(AND(COLUMN($NF$344)-COLUMN($LJ$343)=$Q$291,ROW($NF$344)-ROW($LJ$343)=$K$291), U$290, NF344), NF344))</f>
        <v>0</v>
      </c>
      <c r="NG344" s="21">
        <f t="shared" si="2743"/>
        <v>0</v>
      </c>
      <c r="NH344" s="21">
        <f t="shared" si="2743"/>
        <v>0</v>
      </c>
      <c r="NI344" s="21">
        <f t="shared" si="2743"/>
        <v>0</v>
      </c>
      <c r="NJ344" s="21">
        <f t="shared" si="2743"/>
        <v>0</v>
      </c>
      <c r="NK344" s="21">
        <f t="shared" si="2743"/>
        <v>0</v>
      </c>
      <c r="NL344" s="21">
        <f t="shared" si="2743"/>
        <v>0</v>
      </c>
      <c r="NM344" s="21">
        <f t="shared" si="2743"/>
        <v>0</v>
      </c>
      <c r="NN344" s="21">
        <f t="shared" ref="NN344:NU344" si="2744">IF($F$290, 0, IF($H$299, IF(AND(COLUMN($NN$344)-COLUMN($LJ$343)=$Q$291,ROW($NN$344)-ROW($LJ$343)=$K$291), U$290, NN344), NN344))</f>
        <v>0</v>
      </c>
      <c r="NO344" s="21">
        <f t="shared" si="2744"/>
        <v>0</v>
      </c>
      <c r="NP344" s="21">
        <f t="shared" si="2744"/>
        <v>0</v>
      </c>
      <c r="NQ344" s="21">
        <f t="shared" si="2744"/>
        <v>0</v>
      </c>
      <c r="NR344" s="21">
        <f t="shared" si="2744"/>
        <v>0</v>
      </c>
      <c r="NS344" s="21">
        <f t="shared" si="2744"/>
        <v>0</v>
      </c>
      <c r="NT344" s="21">
        <f t="shared" si="2744"/>
        <v>0</v>
      </c>
      <c r="NU344" s="21">
        <f t="shared" si="2744"/>
        <v>0</v>
      </c>
      <c r="NV344" s="21">
        <f t="shared" ref="NV344:OC344" si="2745">IF($F$290, 0, IF($I$299, IF(AND(COLUMN($NV$344)-COLUMN($NV$343)=$Q$291,ROW($NV$344)-ROW($NV$343)=$K$291), U$290, NV344), NV344))</f>
        <v>0</v>
      </c>
      <c r="NW344" s="21">
        <f t="shared" si="2745"/>
        <v>0</v>
      </c>
      <c r="NX344" s="21">
        <f t="shared" si="2745"/>
        <v>0</v>
      </c>
      <c r="NY344" s="21">
        <f t="shared" si="2745"/>
        <v>0</v>
      </c>
      <c r="NZ344" s="21">
        <f t="shared" si="2745"/>
        <v>0</v>
      </c>
      <c r="OA344" s="21">
        <f t="shared" si="2745"/>
        <v>0</v>
      </c>
      <c r="OB344" s="21">
        <f t="shared" si="2745"/>
        <v>0</v>
      </c>
      <c r="OC344" s="21">
        <f t="shared" si="2745"/>
        <v>0</v>
      </c>
      <c r="OD344" s="21">
        <f t="shared" ref="OD344:OK344" si="2746">IF($F$290, 0, IF($I$299, IF(AND(COLUMN($OD$344)-COLUMN($NV$343)=$Q$291,ROW($OD$344)-ROW($NV$343)=$K$291), U$290, OD344), OD344))</f>
        <v>0</v>
      </c>
      <c r="OE344" s="21">
        <f t="shared" si="2746"/>
        <v>0</v>
      </c>
      <c r="OF344" s="21">
        <f t="shared" si="2746"/>
        <v>0</v>
      </c>
      <c r="OG344" s="21">
        <f t="shared" si="2746"/>
        <v>0</v>
      </c>
      <c r="OH344" s="21">
        <f t="shared" si="2746"/>
        <v>0</v>
      </c>
      <c r="OI344" s="21">
        <f t="shared" si="2746"/>
        <v>0</v>
      </c>
      <c r="OJ344" s="21">
        <f t="shared" si="2746"/>
        <v>0</v>
      </c>
      <c r="OK344" s="21">
        <f t="shared" si="2746"/>
        <v>0</v>
      </c>
      <c r="OL344" s="21">
        <f t="shared" ref="OL344:OS344" si="2747">IF($F$290, 0, IF($I$299, IF(AND(COLUMN($OL$344)-COLUMN($NV$343)=$Q$291,ROW($OL$344)-ROW($NV$343)=$K$291), U$290, OL344), OL344))</f>
        <v>0</v>
      </c>
      <c r="OM344" s="21">
        <f t="shared" si="2747"/>
        <v>0</v>
      </c>
      <c r="ON344" s="21">
        <f t="shared" si="2747"/>
        <v>0</v>
      </c>
      <c r="OO344" s="21">
        <f t="shared" si="2747"/>
        <v>0</v>
      </c>
      <c r="OP344" s="21">
        <f t="shared" si="2747"/>
        <v>0</v>
      </c>
      <c r="OQ344" s="21">
        <f t="shared" si="2747"/>
        <v>0</v>
      </c>
      <c r="OR344" s="21">
        <f t="shared" si="2747"/>
        <v>0</v>
      </c>
      <c r="OS344" s="21">
        <f t="shared" si="2747"/>
        <v>0</v>
      </c>
      <c r="OT344" s="21">
        <f t="shared" ref="OT344:PA344" si="2748">IF($F$290, 0, IF($I$299, IF(AND(COLUMN($OT$344)-COLUMN($NV$343)=$Q$291,ROW($OT$344)-ROW($NV$343)=$K$291), U$290, OT344), OT344))</f>
        <v>0</v>
      </c>
      <c r="OU344" s="21">
        <f t="shared" si="2748"/>
        <v>0</v>
      </c>
      <c r="OV344" s="21">
        <f t="shared" si="2748"/>
        <v>0</v>
      </c>
      <c r="OW344" s="21">
        <f t="shared" si="2748"/>
        <v>0</v>
      </c>
      <c r="OX344" s="21">
        <f t="shared" si="2748"/>
        <v>0</v>
      </c>
      <c r="OY344" s="21">
        <f t="shared" si="2748"/>
        <v>0</v>
      </c>
      <c r="OZ344" s="21">
        <f t="shared" si="2748"/>
        <v>0</v>
      </c>
      <c r="PA344" s="21">
        <f t="shared" si="2748"/>
        <v>0</v>
      </c>
      <c r="PB344" s="21">
        <f t="shared" ref="PB344:PI344" si="2749">IF($F$290, 0, IF($I$299, IF(AND(COLUMN($PB$344)-COLUMN($NV$343)=$Q$291,ROW($PB$344)-ROW($NV$343)=$K$291), U$290, PB344), PB344))</f>
        <v>0</v>
      </c>
      <c r="PC344" s="21">
        <f t="shared" si="2749"/>
        <v>0</v>
      </c>
      <c r="PD344" s="21">
        <f t="shared" si="2749"/>
        <v>0</v>
      </c>
      <c r="PE344" s="21">
        <f t="shared" si="2749"/>
        <v>0</v>
      </c>
      <c r="PF344" s="21">
        <f t="shared" si="2749"/>
        <v>0</v>
      </c>
      <c r="PG344" s="21">
        <f t="shared" si="2749"/>
        <v>0</v>
      </c>
      <c r="PH344" s="21">
        <f t="shared" si="2749"/>
        <v>0</v>
      </c>
      <c r="PI344" s="21">
        <f t="shared" si="2749"/>
        <v>0</v>
      </c>
      <c r="PJ344" s="21">
        <f t="shared" ref="PJ344:PQ344" si="2750">IF($F$290, 0, IF($I$299, IF(AND(COLUMN($PJ$344)-COLUMN($NV$343)=$Q$291,ROW($PJ$344)-ROW($NV$343)=$K$291), U$290, PJ344), PJ344))</f>
        <v>0</v>
      </c>
      <c r="PK344" s="21">
        <f t="shared" si="2750"/>
        <v>0</v>
      </c>
      <c r="PL344" s="21">
        <f t="shared" si="2750"/>
        <v>0</v>
      </c>
      <c r="PM344" s="21">
        <f t="shared" si="2750"/>
        <v>0</v>
      </c>
      <c r="PN344" s="21">
        <f t="shared" si="2750"/>
        <v>0</v>
      </c>
      <c r="PO344" s="21">
        <f t="shared" si="2750"/>
        <v>0</v>
      </c>
      <c r="PP344" s="21">
        <f t="shared" si="2750"/>
        <v>0</v>
      </c>
      <c r="PQ344" s="21">
        <f t="shared" si="2750"/>
        <v>0</v>
      </c>
      <c r="PR344" s="21">
        <f t="shared" ref="PR344:PY344" si="2751">IF($F$290, 0, IF($I$299, IF(AND(COLUMN($PR$344)-COLUMN($NV$343)=$Q$291,ROW($PR$344)-ROW($NV$343)=$K$291), U$290, PR344), PR344))</f>
        <v>0</v>
      </c>
      <c r="PS344" s="21">
        <f t="shared" si="2751"/>
        <v>0</v>
      </c>
      <c r="PT344" s="21">
        <f t="shared" si="2751"/>
        <v>0</v>
      </c>
      <c r="PU344" s="21">
        <f t="shared" si="2751"/>
        <v>0</v>
      </c>
      <c r="PV344" s="21">
        <f t="shared" si="2751"/>
        <v>0</v>
      </c>
      <c r="PW344" s="21">
        <f t="shared" si="2751"/>
        <v>0</v>
      </c>
      <c r="PX344" s="21">
        <f t="shared" si="2751"/>
        <v>0</v>
      </c>
      <c r="PY344" s="21">
        <f t="shared" si="2751"/>
        <v>0</v>
      </c>
      <c r="PZ344" s="21">
        <f t="shared" ref="PZ344:QG344" si="2752">IF($F$290, 0, IF($I$299, IF(AND(COLUMN($PZ$344)-COLUMN($NV$343)=$Q$291,ROW($PZ$344)-ROW($NV$343)=$K$291), U$290, PZ344), PZ344))</f>
        <v>0</v>
      </c>
      <c r="QA344" s="21">
        <f t="shared" si="2752"/>
        <v>0</v>
      </c>
      <c r="QB344" s="21">
        <f t="shared" si="2752"/>
        <v>0</v>
      </c>
      <c r="QC344" s="21">
        <f t="shared" si="2752"/>
        <v>0</v>
      </c>
      <c r="QD344" s="21">
        <f t="shared" si="2752"/>
        <v>0</v>
      </c>
      <c r="QE344" s="21">
        <f t="shared" si="2752"/>
        <v>0</v>
      </c>
      <c r="QF344" s="21">
        <f t="shared" si="2752"/>
        <v>0</v>
      </c>
      <c r="QG344" s="21">
        <f t="shared" si="2752"/>
        <v>0</v>
      </c>
      <c r="QH344" s="21">
        <f t="shared" ref="QH344:QO344" si="2753">IF($F$290, 0, IF($J$299, IF(AND(COLUMN($QH$344)-COLUMN($QH$343)=$Q$291,ROW($QH$344)-ROW($QH$343)=$K$291), U$290, QH344), QH344))</f>
        <v>0</v>
      </c>
      <c r="QI344" s="21">
        <f t="shared" si="2753"/>
        <v>0</v>
      </c>
      <c r="QJ344" s="21">
        <f t="shared" si="2753"/>
        <v>0</v>
      </c>
      <c r="QK344" s="21">
        <f t="shared" si="2753"/>
        <v>0</v>
      </c>
      <c r="QL344" s="21">
        <f t="shared" si="2753"/>
        <v>0</v>
      </c>
      <c r="QM344" s="21">
        <f t="shared" si="2753"/>
        <v>0</v>
      </c>
      <c r="QN344" s="21">
        <f t="shared" si="2753"/>
        <v>0</v>
      </c>
      <c r="QO344" s="21">
        <f t="shared" si="2753"/>
        <v>0</v>
      </c>
      <c r="QP344" s="21">
        <f t="shared" ref="QP344:QW344" si="2754">IF($F$290, 0, IF($J$299, IF(AND(COLUMN($QP$344)-COLUMN($QH$343)=$Q$291,ROW($QP$344)-ROW($QH$343)=$K$291), U$290, QP344), QP344))</f>
        <v>0</v>
      </c>
      <c r="QQ344" s="21">
        <f t="shared" si="2754"/>
        <v>0</v>
      </c>
      <c r="QR344" s="21">
        <f t="shared" si="2754"/>
        <v>0</v>
      </c>
      <c r="QS344" s="21">
        <f t="shared" si="2754"/>
        <v>0</v>
      </c>
      <c r="QT344" s="21">
        <f t="shared" si="2754"/>
        <v>0</v>
      </c>
      <c r="QU344" s="21">
        <f t="shared" si="2754"/>
        <v>0</v>
      </c>
      <c r="QV344" s="21">
        <f t="shared" si="2754"/>
        <v>0</v>
      </c>
      <c r="QW344" s="21">
        <f t="shared" si="2754"/>
        <v>0</v>
      </c>
      <c r="QX344" s="21">
        <f t="shared" ref="QX344:RE344" si="2755">IF($F$290, 0, IF($J$299, IF(AND(COLUMN($QX$344)-COLUMN($QH$343)=$Q$291,ROW($QX$344)-ROW($QH$343)=$K$291), U$290, QX344), QX344))</f>
        <v>0</v>
      </c>
      <c r="QY344" s="21">
        <f t="shared" si="2755"/>
        <v>0</v>
      </c>
      <c r="QZ344" s="21">
        <f t="shared" si="2755"/>
        <v>0</v>
      </c>
      <c r="RA344" s="21">
        <f t="shared" si="2755"/>
        <v>0</v>
      </c>
      <c r="RB344" s="21">
        <f t="shared" si="2755"/>
        <v>0</v>
      </c>
      <c r="RC344" s="21">
        <f t="shared" si="2755"/>
        <v>0</v>
      </c>
      <c r="RD344" s="21">
        <f t="shared" si="2755"/>
        <v>0</v>
      </c>
      <c r="RE344" s="21">
        <f t="shared" si="2755"/>
        <v>0</v>
      </c>
      <c r="RF344" s="21">
        <f t="shared" ref="RF344:RM344" si="2756">IF($F$290, 0, IF($J$299, IF(AND(COLUMN($RF$344)-COLUMN($QH$343)=$Q$291,ROW($RF$344)-ROW($QH$343)=$K$291), U$290, RF344), RF344))</f>
        <v>0</v>
      </c>
      <c r="RG344" s="21">
        <f t="shared" si="2756"/>
        <v>0</v>
      </c>
      <c r="RH344" s="21">
        <f t="shared" si="2756"/>
        <v>0</v>
      </c>
      <c r="RI344" s="21">
        <f t="shared" si="2756"/>
        <v>0</v>
      </c>
      <c r="RJ344" s="21">
        <f t="shared" si="2756"/>
        <v>0</v>
      </c>
      <c r="RK344" s="21">
        <f t="shared" si="2756"/>
        <v>0</v>
      </c>
      <c r="RL344" s="21">
        <f t="shared" si="2756"/>
        <v>0</v>
      </c>
      <c r="RM344" s="21">
        <f t="shared" si="2756"/>
        <v>0</v>
      </c>
      <c r="RN344" s="21">
        <f t="shared" ref="RN344:RU344" si="2757">IF($F$290, 0, IF($J$299, IF(AND(COLUMN($RN$344)-COLUMN($QH$343)=$Q$291,ROW($RN$344)-ROW($QH$343)=$K$291), U$290, RN344), RN344))</f>
        <v>0</v>
      </c>
      <c r="RO344" s="21">
        <f t="shared" si="2757"/>
        <v>0</v>
      </c>
      <c r="RP344" s="21">
        <f t="shared" si="2757"/>
        <v>0</v>
      </c>
      <c r="RQ344" s="21">
        <f t="shared" si="2757"/>
        <v>0</v>
      </c>
      <c r="RR344" s="21">
        <f t="shared" si="2757"/>
        <v>0</v>
      </c>
      <c r="RS344" s="21">
        <f t="shared" si="2757"/>
        <v>0</v>
      </c>
      <c r="RT344" s="21">
        <f t="shared" si="2757"/>
        <v>0</v>
      </c>
      <c r="RU344" s="21">
        <f t="shared" si="2757"/>
        <v>0</v>
      </c>
      <c r="RV344" s="21">
        <f t="shared" ref="RV344:SC344" si="2758">IF($F$290, 0, IF($J$299, IF(AND(COLUMN($RV$344)-COLUMN($QH$343)=$Q$291,ROW($RV$344)-ROW($QH$343)=$K$291), U$290, RV344), RV344))</f>
        <v>0</v>
      </c>
      <c r="RW344" s="21">
        <f t="shared" si="2758"/>
        <v>0</v>
      </c>
      <c r="RX344" s="21">
        <f t="shared" si="2758"/>
        <v>0</v>
      </c>
      <c r="RY344" s="21">
        <f t="shared" si="2758"/>
        <v>0</v>
      </c>
      <c r="RZ344" s="21">
        <f t="shared" si="2758"/>
        <v>0</v>
      </c>
      <c r="SA344" s="21">
        <f t="shared" si="2758"/>
        <v>0</v>
      </c>
      <c r="SB344" s="21">
        <f t="shared" si="2758"/>
        <v>0</v>
      </c>
      <c r="SC344" s="21">
        <f t="shared" si="2758"/>
        <v>0</v>
      </c>
      <c r="SD344" s="21">
        <f t="shared" ref="SD344:SK344" si="2759">IF($F$290, 0, IF($J$299, IF(AND(COLUMN($SD$344)-COLUMN($QH$343)=$Q$291,ROW($SD$344)-ROW($QH$343)=$K$291), U$290, SD344), SD344))</f>
        <v>0</v>
      </c>
      <c r="SE344" s="21">
        <f t="shared" si="2759"/>
        <v>0</v>
      </c>
      <c r="SF344" s="21">
        <f t="shared" si="2759"/>
        <v>0</v>
      </c>
      <c r="SG344" s="21">
        <f t="shared" si="2759"/>
        <v>0</v>
      </c>
      <c r="SH344" s="21">
        <f t="shared" si="2759"/>
        <v>0</v>
      </c>
      <c r="SI344" s="21">
        <f t="shared" si="2759"/>
        <v>0</v>
      </c>
      <c r="SJ344" s="21">
        <f t="shared" si="2759"/>
        <v>0</v>
      </c>
      <c r="SK344" s="21">
        <f t="shared" si="2759"/>
        <v>0</v>
      </c>
      <c r="SL344" s="21">
        <f t="shared" ref="SL344:SS344" si="2760">IF($F$290, 0, IF($J$299, IF(AND(COLUMN($SL$344)-COLUMN($QH$343)=$Q$291,ROW($SL$344)-ROW($QH$343)=$K$291), U$290, SL344), SL344))</f>
        <v>0</v>
      </c>
      <c r="SM344" s="21">
        <f t="shared" si="2760"/>
        <v>0</v>
      </c>
      <c r="SN344" s="21">
        <f t="shared" si="2760"/>
        <v>0</v>
      </c>
      <c r="SO344" s="21">
        <f t="shared" si="2760"/>
        <v>0</v>
      </c>
      <c r="SP344" s="21">
        <f t="shared" si="2760"/>
        <v>0</v>
      </c>
      <c r="SQ344" s="21">
        <f t="shared" si="2760"/>
        <v>0</v>
      </c>
      <c r="SR344" s="21">
        <f t="shared" si="2760"/>
        <v>0</v>
      </c>
      <c r="SS344" s="21">
        <f t="shared" si="2760"/>
        <v>0</v>
      </c>
    </row>
    <row r="345" spans="2:513" ht="15" customHeight="1" x14ac:dyDescent="0.25">
      <c r="B345" s="21">
        <f t="shared" ref="B345:I345" si="2761">IF($F$290, 0, IF($C$299, IF(AND(COLUMN($B$345)-COLUMN($B$343)=$Q$291,ROW($B$345)-ROW($B$343)=$K$291), U$290, B345), B345))</f>
        <v>0</v>
      </c>
      <c r="C345" s="21">
        <f t="shared" si="2761"/>
        <v>0</v>
      </c>
      <c r="D345" s="21">
        <f t="shared" si="2761"/>
        <v>0</v>
      </c>
      <c r="E345" s="21">
        <f t="shared" si="2761"/>
        <v>0</v>
      </c>
      <c r="F345" s="21">
        <f t="shared" si="2761"/>
        <v>0</v>
      </c>
      <c r="G345" s="21">
        <f t="shared" si="2761"/>
        <v>0</v>
      </c>
      <c r="H345" s="21">
        <f t="shared" si="2761"/>
        <v>0</v>
      </c>
      <c r="I345" s="21">
        <f t="shared" si="2761"/>
        <v>0</v>
      </c>
      <c r="J345" s="21">
        <f t="shared" ref="J345:Q345" si="2762">IF($F$290, 0, IF($C$299, IF(AND(COLUMN($J$345)-COLUMN($B$343)=$Q$291,ROW($J$345)-ROW($B$343)=$K$291), U$290, J345), J345))</f>
        <v>0</v>
      </c>
      <c r="K345" s="21">
        <f t="shared" si="2762"/>
        <v>0</v>
      </c>
      <c r="L345" s="21">
        <f t="shared" si="2762"/>
        <v>0</v>
      </c>
      <c r="M345" s="21">
        <f t="shared" si="2762"/>
        <v>0</v>
      </c>
      <c r="N345" s="21">
        <f t="shared" si="2762"/>
        <v>0</v>
      </c>
      <c r="O345" s="21">
        <f t="shared" si="2762"/>
        <v>0</v>
      </c>
      <c r="P345" s="21">
        <f t="shared" si="2762"/>
        <v>0</v>
      </c>
      <c r="Q345" s="21">
        <f t="shared" si="2762"/>
        <v>0</v>
      </c>
      <c r="R345" s="21">
        <f>IF($F$290, 0, IF($C$299, IF(AND(COLUMN($R$345)-COLUMN($B$343)=$Q$291,ROW($R$345)-ROW($B$343)=$K$291), U$290, R345), R345))</f>
        <v>0</v>
      </c>
      <c r="S345" s="21">
        <f t="shared" ref="S345:Y345" si="2763">IF($F$290, 0, IF($C$299, IF(AND(COLUMN($R$345)-COLUMN($B$343)=$Q$291,ROW($R$345)-ROW($B$343)=$K$291), V$290, S345), S345))</f>
        <v>0</v>
      </c>
      <c r="T345" s="21">
        <f t="shared" si="2763"/>
        <v>0</v>
      </c>
      <c r="U345" s="21">
        <f t="shared" si="2763"/>
        <v>0</v>
      </c>
      <c r="V345" s="21">
        <f t="shared" si="2763"/>
        <v>0</v>
      </c>
      <c r="W345" s="21">
        <f t="shared" si="2763"/>
        <v>0</v>
      </c>
      <c r="X345" s="21">
        <f t="shared" si="2763"/>
        <v>0</v>
      </c>
      <c r="Y345" s="21">
        <f t="shared" si="2763"/>
        <v>0</v>
      </c>
      <c r="Z345" s="21">
        <f t="shared" ref="Z345:AG345" si="2764">IF($F$290, 0, IF($C$299, IF(AND(COLUMN($Z$345)-COLUMN($B$343)=$Q$291,ROW($Z$345)-ROW($B$343)=$K$291), U$290, Z345), Z345))</f>
        <v>0</v>
      </c>
      <c r="AA345" s="21">
        <f t="shared" si="2764"/>
        <v>0</v>
      </c>
      <c r="AB345" s="21">
        <f t="shared" si="2764"/>
        <v>0</v>
      </c>
      <c r="AC345" s="21">
        <f t="shared" si="2764"/>
        <v>0</v>
      </c>
      <c r="AD345" s="21">
        <f t="shared" si="2764"/>
        <v>0</v>
      </c>
      <c r="AE345" s="21">
        <f t="shared" si="2764"/>
        <v>0</v>
      </c>
      <c r="AF345" s="21">
        <f t="shared" si="2764"/>
        <v>0</v>
      </c>
      <c r="AG345" s="21">
        <f t="shared" si="2764"/>
        <v>0</v>
      </c>
      <c r="AH345" s="21">
        <f t="shared" ref="AH345:AO345" si="2765">IF($F$290, 0, IF($C$299, IF(AND(COLUMN($AH$345)-COLUMN($B$343)=$Q$291,ROW($AH$345)-ROW($B$343)=$K$291), U$290, AH345), AH345))</f>
        <v>0</v>
      </c>
      <c r="AI345" s="21">
        <f t="shared" si="2765"/>
        <v>0</v>
      </c>
      <c r="AJ345" s="21">
        <f t="shared" si="2765"/>
        <v>0</v>
      </c>
      <c r="AK345" s="21">
        <f t="shared" si="2765"/>
        <v>0</v>
      </c>
      <c r="AL345" s="21">
        <f t="shared" si="2765"/>
        <v>0</v>
      </c>
      <c r="AM345" s="21">
        <f t="shared" si="2765"/>
        <v>0</v>
      </c>
      <c r="AN345" s="21">
        <f t="shared" si="2765"/>
        <v>0</v>
      </c>
      <c r="AO345" s="21">
        <f t="shared" si="2765"/>
        <v>0</v>
      </c>
      <c r="AP345" s="21">
        <f t="shared" ref="AP345:AW345" si="2766">IF($F$290, 0, IF($C$299, IF(AND(COLUMN($AP$345)-COLUMN($B$343)=$Q$291,ROW($AP$345)-ROW($B$343)=$K$291), U$290, AP345), AP345))</f>
        <v>0</v>
      </c>
      <c r="AQ345" s="21">
        <f t="shared" si="2766"/>
        <v>0</v>
      </c>
      <c r="AR345" s="21">
        <f t="shared" si="2766"/>
        <v>0</v>
      </c>
      <c r="AS345" s="21">
        <f t="shared" si="2766"/>
        <v>0</v>
      </c>
      <c r="AT345" s="21">
        <f t="shared" si="2766"/>
        <v>0</v>
      </c>
      <c r="AU345" s="21">
        <f t="shared" si="2766"/>
        <v>0</v>
      </c>
      <c r="AV345" s="21">
        <f t="shared" si="2766"/>
        <v>0</v>
      </c>
      <c r="AW345" s="21">
        <f t="shared" si="2766"/>
        <v>0</v>
      </c>
      <c r="AX345" s="21">
        <f t="shared" ref="AX345:BE345" si="2767">IF($F$290, 0, IF($C$299, IF(AND(COLUMN($AX$345)-COLUMN($B$343)=$Q$291,ROW($AX$345)-ROW($B$343)=$K$291), U$290, AX345), AX345))</f>
        <v>0</v>
      </c>
      <c r="AY345" s="21">
        <f t="shared" si="2767"/>
        <v>0</v>
      </c>
      <c r="AZ345" s="21">
        <f t="shared" si="2767"/>
        <v>0</v>
      </c>
      <c r="BA345" s="21">
        <f t="shared" si="2767"/>
        <v>0</v>
      </c>
      <c r="BB345" s="21">
        <f t="shared" si="2767"/>
        <v>0</v>
      </c>
      <c r="BC345" s="21">
        <f t="shared" si="2767"/>
        <v>0</v>
      </c>
      <c r="BD345" s="21">
        <f t="shared" si="2767"/>
        <v>0</v>
      </c>
      <c r="BE345" s="21">
        <f t="shared" si="2767"/>
        <v>0</v>
      </c>
      <c r="BF345" s="21">
        <f t="shared" ref="BF345:BM345" si="2768">IF($F$290, 0, IF($C$299, IF(AND(COLUMN($BF$345)-COLUMN($B$343)=$Q$291,ROW($BF$345)-ROW($B$343)=$K$291), U$290, BF345), BF345))</f>
        <v>0</v>
      </c>
      <c r="BG345" s="21">
        <f t="shared" si="2768"/>
        <v>0</v>
      </c>
      <c r="BH345" s="21">
        <f t="shared" si="2768"/>
        <v>0</v>
      </c>
      <c r="BI345" s="21">
        <f t="shared" si="2768"/>
        <v>0</v>
      </c>
      <c r="BJ345" s="21">
        <f t="shared" si="2768"/>
        <v>0</v>
      </c>
      <c r="BK345" s="21">
        <f t="shared" si="2768"/>
        <v>0</v>
      </c>
      <c r="BL345" s="21">
        <f t="shared" si="2768"/>
        <v>0</v>
      </c>
      <c r="BM345" s="21">
        <f t="shared" si="2768"/>
        <v>0</v>
      </c>
      <c r="BN345" s="21">
        <f t="shared" ref="BN345:BU345" si="2769">IF($F$290, 0, IF($D$299, IF(AND(COLUMN($BN$345)-COLUMN($BN$343)=$Q$291,ROW($BN$345)-ROW($BN$343)=$K$291), U$290, BN345), BN345))</f>
        <v>0</v>
      </c>
      <c r="BO345" s="21">
        <f t="shared" si="2769"/>
        <v>0</v>
      </c>
      <c r="BP345" s="21">
        <f t="shared" si="2769"/>
        <v>0</v>
      </c>
      <c r="BQ345" s="21">
        <f t="shared" si="2769"/>
        <v>0</v>
      </c>
      <c r="BR345" s="21">
        <f t="shared" si="2769"/>
        <v>0</v>
      </c>
      <c r="BS345" s="21">
        <f t="shared" si="2769"/>
        <v>0</v>
      </c>
      <c r="BT345" s="21">
        <f t="shared" si="2769"/>
        <v>0</v>
      </c>
      <c r="BU345" s="21">
        <f t="shared" si="2769"/>
        <v>0</v>
      </c>
      <c r="BV345" s="21">
        <f t="shared" ref="BV345:CC345" si="2770">IF($F$290, 0, IF($D$299, IF(AND(COLUMN($BV$345)-COLUMN($BN$343)=$Q$291,ROW($BV$345)-ROW($BN$343)=$K$291), U$290, BV345), BV345))</f>
        <v>0</v>
      </c>
      <c r="BW345" s="21">
        <f t="shared" si="2770"/>
        <v>0</v>
      </c>
      <c r="BX345" s="21">
        <f t="shared" si="2770"/>
        <v>0</v>
      </c>
      <c r="BY345" s="21">
        <f t="shared" si="2770"/>
        <v>0</v>
      </c>
      <c r="BZ345" s="21">
        <f t="shared" si="2770"/>
        <v>0</v>
      </c>
      <c r="CA345" s="21">
        <f t="shared" si="2770"/>
        <v>0</v>
      </c>
      <c r="CB345" s="21">
        <f t="shared" si="2770"/>
        <v>0</v>
      </c>
      <c r="CC345" s="21">
        <f t="shared" si="2770"/>
        <v>0</v>
      </c>
      <c r="CD345" s="21">
        <f t="shared" ref="CD345:CK345" si="2771">IF($F$290, 0, IF($D$299, IF(AND(COLUMN($CD$345)-COLUMN($BN$343)=$Q$291,ROW($CD$345)-ROW($BN$343)=$K$291), U$290, CD345), CD345))</f>
        <v>0</v>
      </c>
      <c r="CE345" s="21">
        <f t="shared" si="2771"/>
        <v>0</v>
      </c>
      <c r="CF345" s="21">
        <f t="shared" si="2771"/>
        <v>0</v>
      </c>
      <c r="CG345" s="21">
        <f t="shared" si="2771"/>
        <v>0</v>
      </c>
      <c r="CH345" s="21">
        <f t="shared" si="2771"/>
        <v>0</v>
      </c>
      <c r="CI345" s="21">
        <f t="shared" si="2771"/>
        <v>0</v>
      </c>
      <c r="CJ345" s="21">
        <f t="shared" si="2771"/>
        <v>0</v>
      </c>
      <c r="CK345" s="21">
        <f t="shared" si="2771"/>
        <v>0</v>
      </c>
      <c r="CL345" s="21">
        <f t="shared" ref="CL345:CS345" si="2772">IF($F$290, 0, IF($D$299, IF(AND(COLUMN($CL$345)-COLUMN($BN$343)=$Q$291,ROW($CL$345)-ROW($BN$343)=$K$291), U$290, CL345), CL345))</f>
        <v>0</v>
      </c>
      <c r="CM345" s="21">
        <f t="shared" si="2772"/>
        <v>0</v>
      </c>
      <c r="CN345" s="21">
        <f t="shared" si="2772"/>
        <v>0</v>
      </c>
      <c r="CO345" s="21">
        <f t="shared" si="2772"/>
        <v>0</v>
      </c>
      <c r="CP345" s="21">
        <f t="shared" si="2772"/>
        <v>0</v>
      </c>
      <c r="CQ345" s="21">
        <f t="shared" si="2772"/>
        <v>0</v>
      </c>
      <c r="CR345" s="21">
        <f t="shared" si="2772"/>
        <v>0</v>
      </c>
      <c r="CS345" s="21">
        <f t="shared" si="2772"/>
        <v>0</v>
      </c>
      <c r="CT345" s="21">
        <f t="shared" ref="CT345:DA345" si="2773">IF($F$290, 0, IF($D$299, IF(AND(COLUMN($CT$345)-COLUMN($BN$343)=$Q$291,ROW($CT$345)-ROW($BN$343)=$K$291), U$290, CT345), CT345))</f>
        <v>0</v>
      </c>
      <c r="CU345" s="21">
        <f t="shared" si="2773"/>
        <v>0</v>
      </c>
      <c r="CV345" s="21">
        <f t="shared" si="2773"/>
        <v>0</v>
      </c>
      <c r="CW345" s="21">
        <f t="shared" si="2773"/>
        <v>0</v>
      </c>
      <c r="CX345" s="21">
        <f t="shared" si="2773"/>
        <v>0</v>
      </c>
      <c r="CY345" s="21">
        <f t="shared" si="2773"/>
        <v>0</v>
      </c>
      <c r="CZ345" s="21">
        <f t="shared" si="2773"/>
        <v>0</v>
      </c>
      <c r="DA345" s="21">
        <f t="shared" si="2773"/>
        <v>0</v>
      </c>
      <c r="DB345" s="21">
        <f t="shared" ref="DB345:DI345" si="2774">IF($F$290, 0, IF($D$299, IF(AND(COLUMN($DB$345)-COLUMN($BN$343)=$Q$291,ROW($DB$345)-ROW($BN$343)=$K$291), U$290, DB345), DB345))</f>
        <v>0</v>
      </c>
      <c r="DC345" s="21">
        <f t="shared" si="2774"/>
        <v>0</v>
      </c>
      <c r="DD345" s="21">
        <f t="shared" si="2774"/>
        <v>0</v>
      </c>
      <c r="DE345" s="21">
        <f t="shared" si="2774"/>
        <v>0</v>
      </c>
      <c r="DF345" s="21">
        <f t="shared" si="2774"/>
        <v>0</v>
      </c>
      <c r="DG345" s="21">
        <f t="shared" si="2774"/>
        <v>0</v>
      </c>
      <c r="DH345" s="21">
        <f t="shared" si="2774"/>
        <v>0</v>
      </c>
      <c r="DI345" s="21">
        <f t="shared" si="2774"/>
        <v>0</v>
      </c>
      <c r="DJ345" s="21">
        <f t="shared" ref="DJ345:DQ345" si="2775">IF($F$290, 0, IF($D$299, IF(AND(COLUMN($DJ$345)-COLUMN($BN$343)=$Q$291,ROW($DJ$345)-ROW($BN$343)=$K$291), U$290, DJ345), DJ345))</f>
        <v>0</v>
      </c>
      <c r="DK345" s="21">
        <f t="shared" si="2775"/>
        <v>0</v>
      </c>
      <c r="DL345" s="21">
        <f t="shared" si="2775"/>
        <v>0</v>
      </c>
      <c r="DM345" s="21">
        <f t="shared" si="2775"/>
        <v>0</v>
      </c>
      <c r="DN345" s="21">
        <f t="shared" si="2775"/>
        <v>0</v>
      </c>
      <c r="DO345" s="21">
        <f t="shared" si="2775"/>
        <v>0</v>
      </c>
      <c r="DP345" s="21">
        <f t="shared" si="2775"/>
        <v>0</v>
      </c>
      <c r="DQ345" s="21">
        <f t="shared" si="2775"/>
        <v>0</v>
      </c>
      <c r="DR345" s="21">
        <f t="shared" ref="DR345:DY345" si="2776">IF($F$290, 0, IF($D$299, IF(AND(COLUMN($DR$345)-COLUMN($BN$343)=$Q$291,ROW($DR$345)-ROW($BN$343)=$K$291), U$290, DR345), DR345))</f>
        <v>0</v>
      </c>
      <c r="DS345" s="21">
        <f t="shared" si="2776"/>
        <v>0</v>
      </c>
      <c r="DT345" s="21">
        <f t="shared" si="2776"/>
        <v>0</v>
      </c>
      <c r="DU345" s="21">
        <f t="shared" si="2776"/>
        <v>0</v>
      </c>
      <c r="DV345" s="21">
        <f t="shared" si="2776"/>
        <v>0</v>
      </c>
      <c r="DW345" s="21">
        <f t="shared" si="2776"/>
        <v>0</v>
      </c>
      <c r="DX345" s="21">
        <f t="shared" si="2776"/>
        <v>0</v>
      </c>
      <c r="DY345" s="21">
        <f t="shared" si="2776"/>
        <v>0</v>
      </c>
      <c r="DZ345" s="21">
        <f t="shared" ref="DZ345:EG345" si="2777">IF($F$290, 0, IF($E$299, IF(AND(COLUMN($DZ$345)-COLUMN($DZ$343)=$Q$291,ROW($DZ$345)-ROW($DZ$343)=$K$291), U$290, DZ345), DZ345))</f>
        <v>0</v>
      </c>
      <c r="EA345" s="21">
        <f t="shared" si="2777"/>
        <v>0</v>
      </c>
      <c r="EB345" s="21">
        <f t="shared" si="2777"/>
        <v>0</v>
      </c>
      <c r="EC345" s="21">
        <f t="shared" si="2777"/>
        <v>0</v>
      </c>
      <c r="ED345" s="21">
        <f t="shared" si="2777"/>
        <v>0</v>
      </c>
      <c r="EE345" s="21">
        <f t="shared" si="2777"/>
        <v>0</v>
      </c>
      <c r="EF345" s="21">
        <f t="shared" si="2777"/>
        <v>0</v>
      </c>
      <c r="EG345" s="21">
        <f t="shared" si="2777"/>
        <v>0</v>
      </c>
      <c r="EH345" s="21">
        <f t="shared" ref="EH345:EO345" si="2778">IF($F$290, 0, IF($E$299, IF(AND(COLUMN($EH$345)-COLUMN($DZ$343)=$Q$291,ROW($EH$345)-ROW($DZ$343)=$K$291), U$290, EH345), EH345))</f>
        <v>0</v>
      </c>
      <c r="EI345" s="21">
        <f t="shared" si="2778"/>
        <v>0</v>
      </c>
      <c r="EJ345" s="21">
        <f t="shared" si="2778"/>
        <v>0</v>
      </c>
      <c r="EK345" s="21">
        <f t="shared" si="2778"/>
        <v>0</v>
      </c>
      <c r="EL345" s="21">
        <f t="shared" si="2778"/>
        <v>0</v>
      </c>
      <c r="EM345" s="21">
        <f t="shared" si="2778"/>
        <v>0</v>
      </c>
      <c r="EN345" s="21">
        <f t="shared" si="2778"/>
        <v>0</v>
      </c>
      <c r="EO345" s="21">
        <f t="shared" si="2778"/>
        <v>0</v>
      </c>
      <c r="EP345" s="21">
        <f t="shared" ref="EP345:EW345" si="2779">IF($F$290, 0, IF($E$299, IF(AND(COLUMN($EP$345)-COLUMN($DZ$343)=$Q$291,ROW($EP$345)-ROW($DZ$343)=$K$291), U$290, EP345), EP345))</f>
        <v>0</v>
      </c>
      <c r="EQ345" s="21">
        <f t="shared" si="2779"/>
        <v>0</v>
      </c>
      <c r="ER345" s="21">
        <f t="shared" si="2779"/>
        <v>0</v>
      </c>
      <c r="ES345" s="21">
        <f t="shared" si="2779"/>
        <v>0</v>
      </c>
      <c r="ET345" s="21">
        <f t="shared" si="2779"/>
        <v>0</v>
      </c>
      <c r="EU345" s="21">
        <f t="shared" si="2779"/>
        <v>0</v>
      </c>
      <c r="EV345" s="21">
        <f t="shared" si="2779"/>
        <v>0</v>
      </c>
      <c r="EW345" s="21">
        <f t="shared" si="2779"/>
        <v>0</v>
      </c>
      <c r="EX345" s="21">
        <f t="shared" ref="EX345:FE345" si="2780">IF($F$290, 0, IF($E$299, IF(AND(COLUMN($EX$345)-COLUMN($DZ$343)=$Q$291,ROW($EX$345)-ROW($DZ$343)=$K$291), U$290, EX345), EX345))</f>
        <v>0</v>
      </c>
      <c r="EY345" s="21">
        <f t="shared" si="2780"/>
        <v>0</v>
      </c>
      <c r="EZ345" s="21">
        <f t="shared" si="2780"/>
        <v>0</v>
      </c>
      <c r="FA345" s="21">
        <f t="shared" si="2780"/>
        <v>0</v>
      </c>
      <c r="FB345" s="21">
        <f t="shared" si="2780"/>
        <v>0</v>
      </c>
      <c r="FC345" s="21">
        <f t="shared" si="2780"/>
        <v>0</v>
      </c>
      <c r="FD345" s="21">
        <f t="shared" si="2780"/>
        <v>0</v>
      </c>
      <c r="FE345" s="21">
        <f t="shared" si="2780"/>
        <v>0</v>
      </c>
      <c r="FF345" s="21">
        <f t="shared" ref="FF345:FM345" si="2781">IF($F$290, 0, IF($E$299, IF(AND(COLUMN($FF$345)-COLUMN($DZ$343)=$Q$291,ROW($FF$345)-ROW($DZ$343)=$K$291), U$290, FF345), FF345))</f>
        <v>0</v>
      </c>
      <c r="FG345" s="21">
        <f t="shared" si="2781"/>
        <v>0</v>
      </c>
      <c r="FH345" s="21">
        <f t="shared" si="2781"/>
        <v>0</v>
      </c>
      <c r="FI345" s="21">
        <f t="shared" si="2781"/>
        <v>0</v>
      </c>
      <c r="FJ345" s="21">
        <f t="shared" si="2781"/>
        <v>0</v>
      </c>
      <c r="FK345" s="21">
        <f t="shared" si="2781"/>
        <v>0</v>
      </c>
      <c r="FL345" s="21">
        <f t="shared" si="2781"/>
        <v>0</v>
      </c>
      <c r="FM345" s="21">
        <f t="shared" si="2781"/>
        <v>0</v>
      </c>
      <c r="FN345" s="21">
        <f t="shared" ref="FN345:FU345" si="2782">IF($F$290, 0, IF($E$299, IF(AND(COLUMN($FN$345)-COLUMN($DZ$343)=$Q$291,ROW($FN$345)-ROW($DZ$343)=$K$291), U$290, FN345), FN345))</f>
        <v>0</v>
      </c>
      <c r="FO345" s="21">
        <f t="shared" si="2782"/>
        <v>0</v>
      </c>
      <c r="FP345" s="21">
        <f t="shared" si="2782"/>
        <v>0</v>
      </c>
      <c r="FQ345" s="21">
        <f t="shared" si="2782"/>
        <v>0</v>
      </c>
      <c r="FR345" s="21">
        <f t="shared" si="2782"/>
        <v>0</v>
      </c>
      <c r="FS345" s="21">
        <f t="shared" si="2782"/>
        <v>0</v>
      </c>
      <c r="FT345" s="21">
        <f t="shared" si="2782"/>
        <v>0</v>
      </c>
      <c r="FU345" s="21">
        <f t="shared" si="2782"/>
        <v>0</v>
      </c>
      <c r="FV345" s="21">
        <f t="shared" ref="FV345:GC345" si="2783">IF($F$290, 0, IF($E$299, IF(AND(COLUMN($FV$345)-COLUMN($DZ$343)=$Q$291,ROW($FV$345)-ROW($DZ$343)=$K$291), U$290, FV345), FV345))</f>
        <v>0</v>
      </c>
      <c r="FW345" s="21">
        <f t="shared" si="2783"/>
        <v>0</v>
      </c>
      <c r="FX345" s="21">
        <f t="shared" si="2783"/>
        <v>0</v>
      </c>
      <c r="FY345" s="21">
        <f t="shared" si="2783"/>
        <v>0</v>
      </c>
      <c r="FZ345" s="21">
        <f t="shared" si="2783"/>
        <v>0</v>
      </c>
      <c r="GA345" s="21">
        <f t="shared" si="2783"/>
        <v>0</v>
      </c>
      <c r="GB345" s="21">
        <f t="shared" si="2783"/>
        <v>0</v>
      </c>
      <c r="GC345" s="21">
        <f t="shared" si="2783"/>
        <v>0</v>
      </c>
      <c r="GD345" s="21">
        <f t="shared" ref="GD345:GK345" si="2784">IF($F$290, 0, IF($E$299, IF(AND(COLUMN($GD$345)-COLUMN($DZ$343)=$Q$291,ROW($GD$345)-ROW($DZ$343)=$K$291), U$290, GD345), GD345))</f>
        <v>0</v>
      </c>
      <c r="GE345" s="21">
        <f t="shared" si="2784"/>
        <v>0</v>
      </c>
      <c r="GF345" s="21">
        <f t="shared" si="2784"/>
        <v>0</v>
      </c>
      <c r="GG345" s="21">
        <f t="shared" si="2784"/>
        <v>0</v>
      </c>
      <c r="GH345" s="21">
        <f t="shared" si="2784"/>
        <v>0</v>
      </c>
      <c r="GI345" s="21">
        <f t="shared" si="2784"/>
        <v>0</v>
      </c>
      <c r="GJ345" s="21">
        <f t="shared" si="2784"/>
        <v>0</v>
      </c>
      <c r="GK345" s="21">
        <f t="shared" si="2784"/>
        <v>0</v>
      </c>
      <c r="GL345" s="21">
        <f t="shared" ref="GL345:GS345" si="2785">IF($F$290, 0, IF($F$299, IF(AND(COLUMN($GL$345)-COLUMN($GL$343)=$Q$291,ROW($GL$345)-ROW($GL$343)=$K$291), U$290, GL345), GL345))</f>
        <v>0</v>
      </c>
      <c r="GM345" s="21">
        <f t="shared" si="2785"/>
        <v>0</v>
      </c>
      <c r="GN345" s="21">
        <f t="shared" si="2785"/>
        <v>0</v>
      </c>
      <c r="GO345" s="21">
        <f t="shared" si="2785"/>
        <v>0</v>
      </c>
      <c r="GP345" s="21">
        <f t="shared" si="2785"/>
        <v>0</v>
      </c>
      <c r="GQ345" s="21">
        <f t="shared" si="2785"/>
        <v>0</v>
      </c>
      <c r="GR345" s="21">
        <f t="shared" si="2785"/>
        <v>0</v>
      </c>
      <c r="GS345" s="21">
        <f t="shared" si="2785"/>
        <v>0</v>
      </c>
      <c r="GT345" s="21">
        <f t="shared" ref="GT345:HA345" si="2786">IF($F$290, 0, IF($F$299, IF(AND(COLUMN($GT$345)-COLUMN($GL$343)=$Q$291,ROW($GT$345)-ROW($GL$343)=$K$291), U$290, GT345), GT345))</f>
        <v>0</v>
      </c>
      <c r="GU345" s="21">
        <f t="shared" si="2786"/>
        <v>0</v>
      </c>
      <c r="GV345" s="21">
        <f t="shared" si="2786"/>
        <v>0</v>
      </c>
      <c r="GW345" s="21">
        <f t="shared" si="2786"/>
        <v>0</v>
      </c>
      <c r="GX345" s="21">
        <f t="shared" si="2786"/>
        <v>0</v>
      </c>
      <c r="GY345" s="21">
        <f t="shared" si="2786"/>
        <v>0</v>
      </c>
      <c r="GZ345" s="21">
        <f t="shared" si="2786"/>
        <v>0</v>
      </c>
      <c r="HA345" s="21">
        <f t="shared" si="2786"/>
        <v>0</v>
      </c>
      <c r="HB345" s="21">
        <f t="shared" ref="HB345:HI345" si="2787">IF($F$290, 0, IF($F$299, IF(AND(COLUMN($HB$345)-COLUMN($GL$343)=$Q$291,ROW($HB$345)-ROW($GL$343)=$K$291), U$290, HB345), HB345))</f>
        <v>0</v>
      </c>
      <c r="HC345" s="21">
        <f t="shared" si="2787"/>
        <v>0</v>
      </c>
      <c r="HD345" s="21">
        <f t="shared" si="2787"/>
        <v>0</v>
      </c>
      <c r="HE345" s="21">
        <f t="shared" si="2787"/>
        <v>0</v>
      </c>
      <c r="HF345" s="21">
        <f t="shared" si="2787"/>
        <v>0</v>
      </c>
      <c r="HG345" s="21">
        <f t="shared" si="2787"/>
        <v>0</v>
      </c>
      <c r="HH345" s="21">
        <f t="shared" si="2787"/>
        <v>0</v>
      </c>
      <c r="HI345" s="21">
        <f t="shared" si="2787"/>
        <v>0</v>
      </c>
      <c r="HJ345" s="21">
        <f t="shared" ref="HJ345:HQ345" si="2788">IF($F$290, 0, IF($F$299, IF(AND(COLUMN($HJ$345)-COLUMN($GL$343)=$Q$291,ROW($HJ$345)-ROW($GL$343)=$K$291), U$290, HJ345), HJ345))</f>
        <v>0</v>
      </c>
      <c r="HK345" s="21">
        <f t="shared" si="2788"/>
        <v>0</v>
      </c>
      <c r="HL345" s="21">
        <f t="shared" si="2788"/>
        <v>0</v>
      </c>
      <c r="HM345" s="21">
        <f t="shared" si="2788"/>
        <v>0</v>
      </c>
      <c r="HN345" s="21">
        <f t="shared" si="2788"/>
        <v>0</v>
      </c>
      <c r="HO345" s="21">
        <f t="shared" si="2788"/>
        <v>0</v>
      </c>
      <c r="HP345" s="21">
        <f t="shared" si="2788"/>
        <v>0</v>
      </c>
      <c r="HQ345" s="21">
        <f t="shared" si="2788"/>
        <v>0</v>
      </c>
      <c r="HR345" s="21">
        <f t="shared" ref="HR345:HY345" si="2789">IF($F$290, 0, IF($F$299, IF(AND(COLUMN($HR$345)-COLUMN($GL$343)=$Q$291,ROW($HR$345)-ROW($GL$343)=$K$291), U$290, HR345), HR345))</f>
        <v>0</v>
      </c>
      <c r="HS345" s="21">
        <f t="shared" si="2789"/>
        <v>0</v>
      </c>
      <c r="HT345" s="21">
        <f t="shared" si="2789"/>
        <v>0</v>
      </c>
      <c r="HU345" s="21">
        <f t="shared" si="2789"/>
        <v>0</v>
      </c>
      <c r="HV345" s="21">
        <f t="shared" si="2789"/>
        <v>0</v>
      </c>
      <c r="HW345" s="21">
        <f t="shared" si="2789"/>
        <v>0</v>
      </c>
      <c r="HX345" s="21">
        <f t="shared" si="2789"/>
        <v>0</v>
      </c>
      <c r="HY345" s="21">
        <f t="shared" si="2789"/>
        <v>0</v>
      </c>
      <c r="HZ345" s="21">
        <f t="shared" ref="HZ345:IG345" si="2790">IF($F$290, 0, IF($F$299, IF(AND(COLUMN($HZ$345)-COLUMN($GL$343)=$Q$291,ROW($HZ$345)-ROW($GL$343)=$K$291), U$290, HZ345), HZ345))</f>
        <v>0</v>
      </c>
      <c r="IA345" s="21">
        <f t="shared" si="2790"/>
        <v>0</v>
      </c>
      <c r="IB345" s="21">
        <f t="shared" si="2790"/>
        <v>0</v>
      </c>
      <c r="IC345" s="21">
        <f t="shared" si="2790"/>
        <v>0</v>
      </c>
      <c r="ID345" s="21">
        <f t="shared" si="2790"/>
        <v>0</v>
      </c>
      <c r="IE345" s="21">
        <f t="shared" si="2790"/>
        <v>0</v>
      </c>
      <c r="IF345" s="21">
        <f t="shared" si="2790"/>
        <v>0</v>
      </c>
      <c r="IG345" s="21">
        <f t="shared" si="2790"/>
        <v>0</v>
      </c>
      <c r="IH345" s="21">
        <f t="shared" ref="IH345:IO345" si="2791">IF($F$290, 0, IF($F$299, IF(AND(COLUMN($IH$345)-COLUMN($GL$343)=$Q$291,ROW($IH$345)-ROW($GL$343)=$K$291), U$290, IH345), IH345))</f>
        <v>0</v>
      </c>
      <c r="II345" s="21">
        <f t="shared" si="2791"/>
        <v>0</v>
      </c>
      <c r="IJ345" s="21">
        <f t="shared" si="2791"/>
        <v>0</v>
      </c>
      <c r="IK345" s="21">
        <f t="shared" si="2791"/>
        <v>0</v>
      </c>
      <c r="IL345" s="21">
        <f t="shared" si="2791"/>
        <v>0</v>
      </c>
      <c r="IM345" s="21">
        <f t="shared" si="2791"/>
        <v>0</v>
      </c>
      <c r="IN345" s="21">
        <f t="shared" si="2791"/>
        <v>0</v>
      </c>
      <c r="IO345" s="21">
        <f t="shared" si="2791"/>
        <v>0</v>
      </c>
      <c r="IP345" s="21">
        <f t="shared" ref="IP345:IW345" si="2792">IF($F$290, 0, IF($F$299, IF(AND(COLUMN($IP$345)-COLUMN($GL$343)=$Q$291,ROW($IP$345)-ROW($GL$343)=$K$291), U$290, IP345), IP345))</f>
        <v>0</v>
      </c>
      <c r="IQ345" s="21">
        <f t="shared" si="2792"/>
        <v>0</v>
      </c>
      <c r="IR345" s="21">
        <f t="shared" si="2792"/>
        <v>0</v>
      </c>
      <c r="IS345" s="21">
        <f t="shared" si="2792"/>
        <v>0</v>
      </c>
      <c r="IT345" s="21">
        <f t="shared" si="2792"/>
        <v>0</v>
      </c>
      <c r="IU345" s="21">
        <f t="shared" si="2792"/>
        <v>0</v>
      </c>
      <c r="IV345" s="21">
        <f t="shared" si="2792"/>
        <v>0</v>
      </c>
      <c r="IW345" s="21">
        <f t="shared" si="2792"/>
        <v>0</v>
      </c>
      <c r="IX345" s="21">
        <f t="shared" ref="IX345:JE345" si="2793">IF($F$290, 0, IF($G$299, IF(AND(COLUMN($IX$345)-COLUMN($IX$343)=$Q$291,ROW($IX$345)-ROW($IX$343)=$K$291), U$290, IX345), IX345))</f>
        <v>0</v>
      </c>
      <c r="IY345" s="21">
        <f t="shared" si="2793"/>
        <v>0</v>
      </c>
      <c r="IZ345" s="21">
        <f t="shared" si="2793"/>
        <v>0</v>
      </c>
      <c r="JA345" s="21">
        <f t="shared" si="2793"/>
        <v>0</v>
      </c>
      <c r="JB345" s="21">
        <f t="shared" si="2793"/>
        <v>0</v>
      </c>
      <c r="JC345" s="21">
        <f t="shared" si="2793"/>
        <v>0</v>
      </c>
      <c r="JD345" s="21">
        <f t="shared" si="2793"/>
        <v>0</v>
      </c>
      <c r="JE345" s="21">
        <f t="shared" si="2793"/>
        <v>0</v>
      </c>
      <c r="JF345" s="21">
        <f t="shared" ref="JF345:JM345" si="2794">IF($F$290, 0, IF($G$299, IF(AND(COLUMN($JF$345)-COLUMN($IX$343)=$Q$291,ROW($JF$345)-ROW($IX$343)=$K$291), U$290, JF345), JF345))</f>
        <v>0</v>
      </c>
      <c r="JG345" s="21">
        <f t="shared" si="2794"/>
        <v>0</v>
      </c>
      <c r="JH345" s="21">
        <f t="shared" si="2794"/>
        <v>0</v>
      </c>
      <c r="JI345" s="21">
        <f t="shared" si="2794"/>
        <v>0</v>
      </c>
      <c r="JJ345" s="21">
        <f t="shared" si="2794"/>
        <v>0</v>
      </c>
      <c r="JK345" s="21">
        <f t="shared" si="2794"/>
        <v>0</v>
      </c>
      <c r="JL345" s="21">
        <f t="shared" si="2794"/>
        <v>0</v>
      </c>
      <c r="JM345" s="21">
        <f t="shared" si="2794"/>
        <v>0</v>
      </c>
      <c r="JN345" s="21">
        <f t="shared" ref="JN345:JU345" si="2795">IF($F$290, 0, IF($G$299, IF(AND(COLUMN($JN$345)-COLUMN($IX$343)=$Q$291,ROW($JN$345)-ROW($IX$343)=$K$291), U$290, JN345), JN345))</f>
        <v>0</v>
      </c>
      <c r="JO345" s="21">
        <f t="shared" si="2795"/>
        <v>0</v>
      </c>
      <c r="JP345" s="21">
        <f t="shared" si="2795"/>
        <v>0</v>
      </c>
      <c r="JQ345" s="21">
        <f t="shared" si="2795"/>
        <v>0</v>
      </c>
      <c r="JR345" s="21">
        <f t="shared" si="2795"/>
        <v>0</v>
      </c>
      <c r="JS345" s="21">
        <f t="shared" si="2795"/>
        <v>0</v>
      </c>
      <c r="JT345" s="21">
        <f t="shared" si="2795"/>
        <v>0</v>
      </c>
      <c r="JU345" s="21">
        <f t="shared" si="2795"/>
        <v>0</v>
      </c>
      <c r="JV345" s="21">
        <f t="shared" ref="JV345:KC345" si="2796">IF($F$290, 0, IF($G$299, IF(AND(COLUMN($JV$345)-COLUMN($IX$343)=$Q$291,ROW($JV$345)-ROW($IX$343)=$K$291), U$290, JV345), JV345))</f>
        <v>0</v>
      </c>
      <c r="JW345" s="21">
        <f t="shared" si="2796"/>
        <v>0</v>
      </c>
      <c r="JX345" s="21">
        <f t="shared" si="2796"/>
        <v>0</v>
      </c>
      <c r="JY345" s="21">
        <f t="shared" si="2796"/>
        <v>0</v>
      </c>
      <c r="JZ345" s="21">
        <f t="shared" si="2796"/>
        <v>0</v>
      </c>
      <c r="KA345" s="21">
        <f t="shared" si="2796"/>
        <v>0</v>
      </c>
      <c r="KB345" s="21">
        <f t="shared" si="2796"/>
        <v>0</v>
      </c>
      <c r="KC345" s="21">
        <f t="shared" si="2796"/>
        <v>0</v>
      </c>
      <c r="KD345" s="21">
        <f t="shared" ref="KD345:KK345" si="2797">IF($F$290, 0, IF($G$299, IF(AND(COLUMN($KD$345)-COLUMN($IX$343)=$Q$291,ROW($KD$345)-ROW($IX$343)=$K$291), U$290, KD345), KD345))</f>
        <v>0</v>
      </c>
      <c r="KE345" s="21">
        <f t="shared" si="2797"/>
        <v>0</v>
      </c>
      <c r="KF345" s="21">
        <f t="shared" si="2797"/>
        <v>0</v>
      </c>
      <c r="KG345" s="21">
        <f t="shared" si="2797"/>
        <v>0</v>
      </c>
      <c r="KH345" s="21">
        <f t="shared" si="2797"/>
        <v>0</v>
      </c>
      <c r="KI345" s="21">
        <f t="shared" si="2797"/>
        <v>0</v>
      </c>
      <c r="KJ345" s="21">
        <f t="shared" si="2797"/>
        <v>0</v>
      </c>
      <c r="KK345" s="21">
        <f t="shared" si="2797"/>
        <v>0</v>
      </c>
      <c r="KL345" s="21">
        <f t="shared" ref="KL345:KS345" si="2798">IF($F$290, 0, IF($G$299, IF(AND(COLUMN($KL$345)-COLUMN($IX$343)=$Q$291,ROW($KL$345)-ROW($IX$343)=$K$291), U$290, KL345), KL345))</f>
        <v>0</v>
      </c>
      <c r="KM345" s="21">
        <f t="shared" si="2798"/>
        <v>0</v>
      </c>
      <c r="KN345" s="21">
        <f t="shared" si="2798"/>
        <v>0</v>
      </c>
      <c r="KO345" s="21">
        <f t="shared" si="2798"/>
        <v>0</v>
      </c>
      <c r="KP345" s="21">
        <f t="shared" si="2798"/>
        <v>0</v>
      </c>
      <c r="KQ345" s="21">
        <f t="shared" si="2798"/>
        <v>0</v>
      </c>
      <c r="KR345" s="21">
        <f t="shared" si="2798"/>
        <v>0</v>
      </c>
      <c r="KS345" s="21">
        <f t="shared" si="2798"/>
        <v>0</v>
      </c>
      <c r="KT345" s="21">
        <f t="shared" ref="KT345:LA345" si="2799">IF($F$290, 0, IF($G$299, IF(AND(COLUMN($KT$345)-COLUMN($IX$343)=$Q$291,ROW($KT$345)-ROW($IX$343)=$K$291), U$290, KT345), KT345))</f>
        <v>0</v>
      </c>
      <c r="KU345" s="21">
        <f t="shared" si="2799"/>
        <v>0</v>
      </c>
      <c r="KV345" s="21">
        <f t="shared" si="2799"/>
        <v>0</v>
      </c>
      <c r="KW345" s="21">
        <f t="shared" si="2799"/>
        <v>0</v>
      </c>
      <c r="KX345" s="21">
        <f t="shared" si="2799"/>
        <v>0</v>
      </c>
      <c r="KY345" s="21">
        <f t="shared" si="2799"/>
        <v>0</v>
      </c>
      <c r="KZ345" s="21">
        <f t="shared" si="2799"/>
        <v>0</v>
      </c>
      <c r="LA345" s="21">
        <f t="shared" si="2799"/>
        <v>0</v>
      </c>
      <c r="LB345" s="21">
        <f t="shared" ref="LB345:LI345" si="2800">IF($F$290, 0, IF($G$299, IF(AND(COLUMN($LB$345)-COLUMN($IX$343)=$Q$291,ROW($LB$345)-ROW($IX$343)=$K$291), U$290, LB345), LB345))</f>
        <v>0</v>
      </c>
      <c r="LC345" s="21">
        <f t="shared" si="2800"/>
        <v>0</v>
      </c>
      <c r="LD345" s="21">
        <f t="shared" si="2800"/>
        <v>0</v>
      </c>
      <c r="LE345" s="21">
        <f t="shared" si="2800"/>
        <v>0</v>
      </c>
      <c r="LF345" s="21">
        <f t="shared" si="2800"/>
        <v>0</v>
      </c>
      <c r="LG345" s="21">
        <f t="shared" si="2800"/>
        <v>0</v>
      </c>
      <c r="LH345" s="21">
        <f t="shared" si="2800"/>
        <v>0</v>
      </c>
      <c r="LI345" s="21">
        <f t="shared" si="2800"/>
        <v>0</v>
      </c>
      <c r="LJ345" s="21">
        <f t="shared" ref="LJ345:LQ345" si="2801">IF($F$290, 0, IF($H$299, IF(AND(COLUMN($LJ$345)-COLUMN($LJ$343)=$Q$291,ROW($LJ$345)-ROW($LJ$343)=$K$291), U$290, LJ345), LJ345))</f>
        <v>0</v>
      </c>
      <c r="LK345" s="21">
        <f t="shared" si="2801"/>
        <v>0</v>
      </c>
      <c r="LL345" s="21">
        <f t="shared" si="2801"/>
        <v>0</v>
      </c>
      <c r="LM345" s="21">
        <f t="shared" si="2801"/>
        <v>0</v>
      </c>
      <c r="LN345" s="21">
        <f t="shared" si="2801"/>
        <v>0</v>
      </c>
      <c r="LO345" s="21">
        <f t="shared" si="2801"/>
        <v>0</v>
      </c>
      <c r="LP345" s="21">
        <f t="shared" si="2801"/>
        <v>0</v>
      </c>
      <c r="LQ345" s="21">
        <f t="shared" si="2801"/>
        <v>0</v>
      </c>
      <c r="LR345" s="21">
        <f t="shared" ref="LR345:LY345" si="2802">IF($F$290, 0, IF($H$299, IF(AND(COLUMN($LR$345)-COLUMN($LJ$343)=$Q$291,ROW($LR$345)-ROW($LJ$343)=$K$291), U$290, LR345), LR345))</f>
        <v>0</v>
      </c>
      <c r="LS345" s="21">
        <f t="shared" si="2802"/>
        <v>0</v>
      </c>
      <c r="LT345" s="21">
        <f t="shared" si="2802"/>
        <v>0</v>
      </c>
      <c r="LU345" s="21">
        <f t="shared" si="2802"/>
        <v>0</v>
      </c>
      <c r="LV345" s="21">
        <f t="shared" si="2802"/>
        <v>0</v>
      </c>
      <c r="LW345" s="21">
        <f t="shared" si="2802"/>
        <v>0</v>
      </c>
      <c r="LX345" s="21">
        <f t="shared" si="2802"/>
        <v>0</v>
      </c>
      <c r="LY345" s="21">
        <f t="shared" si="2802"/>
        <v>0</v>
      </c>
      <c r="LZ345" s="21">
        <f t="shared" ref="LZ345:MG345" si="2803">IF($F$290, 0, IF($H$299, IF(AND(COLUMN($LZ$345)-COLUMN($LJ$343)=$Q$291,ROW($LZ$345)-ROW($LJ$343)=$K$291), U$290, LZ345), LZ345))</f>
        <v>0</v>
      </c>
      <c r="MA345" s="21">
        <f t="shared" si="2803"/>
        <v>0</v>
      </c>
      <c r="MB345" s="21">
        <f t="shared" si="2803"/>
        <v>0</v>
      </c>
      <c r="MC345" s="21">
        <f t="shared" si="2803"/>
        <v>0</v>
      </c>
      <c r="MD345" s="21">
        <f t="shared" si="2803"/>
        <v>0</v>
      </c>
      <c r="ME345" s="21">
        <f t="shared" si="2803"/>
        <v>0</v>
      </c>
      <c r="MF345" s="21">
        <f t="shared" si="2803"/>
        <v>0</v>
      </c>
      <c r="MG345" s="21">
        <f t="shared" si="2803"/>
        <v>0</v>
      </c>
      <c r="MH345" s="21">
        <f t="shared" ref="MH345:MO345" si="2804">IF($F$290, 0, IF($H$299, IF(AND(COLUMN($MH$345)-COLUMN($LJ$343)=$Q$291,ROW($MH$345)-ROW($LJ$343)=$K$291), U$290, MH345), MH345))</f>
        <v>0</v>
      </c>
      <c r="MI345" s="21">
        <f t="shared" si="2804"/>
        <v>0</v>
      </c>
      <c r="MJ345" s="21">
        <f t="shared" si="2804"/>
        <v>0</v>
      </c>
      <c r="MK345" s="21">
        <f t="shared" si="2804"/>
        <v>0</v>
      </c>
      <c r="ML345" s="21">
        <f t="shared" si="2804"/>
        <v>0</v>
      </c>
      <c r="MM345" s="21">
        <f t="shared" si="2804"/>
        <v>0</v>
      </c>
      <c r="MN345" s="21">
        <f t="shared" si="2804"/>
        <v>0</v>
      </c>
      <c r="MO345" s="21">
        <f t="shared" si="2804"/>
        <v>0</v>
      </c>
      <c r="MP345" s="21">
        <f t="shared" ref="MP345:MW345" si="2805">IF($F$290, 0, IF($H$299, IF(AND(COLUMN($MP$345)-COLUMN($LJ$343)=$Q$291,ROW($MP$345)-ROW($LJ$343)=$K$291), U$290, MP345), MP345))</f>
        <v>0</v>
      </c>
      <c r="MQ345" s="21">
        <f t="shared" si="2805"/>
        <v>0</v>
      </c>
      <c r="MR345" s="21">
        <f t="shared" si="2805"/>
        <v>0</v>
      </c>
      <c r="MS345" s="21">
        <f t="shared" si="2805"/>
        <v>0</v>
      </c>
      <c r="MT345" s="21">
        <f t="shared" si="2805"/>
        <v>0</v>
      </c>
      <c r="MU345" s="21">
        <f t="shared" si="2805"/>
        <v>0</v>
      </c>
      <c r="MV345" s="21">
        <f t="shared" si="2805"/>
        <v>0</v>
      </c>
      <c r="MW345" s="21">
        <f t="shared" si="2805"/>
        <v>0</v>
      </c>
      <c r="MX345" s="21">
        <f t="shared" ref="MX345:NE345" si="2806">IF($F$290, 0, IF($H$299, IF(AND(COLUMN($MX$345)-COLUMN($LJ$343)=$Q$291,ROW($MX$345)-ROW($LJ$343)=$K$291), U$290, MX345), MX345))</f>
        <v>0</v>
      </c>
      <c r="MY345" s="21">
        <f t="shared" si="2806"/>
        <v>0</v>
      </c>
      <c r="MZ345" s="21">
        <f t="shared" si="2806"/>
        <v>0</v>
      </c>
      <c r="NA345" s="21">
        <f t="shared" si="2806"/>
        <v>0</v>
      </c>
      <c r="NB345" s="21">
        <f t="shared" si="2806"/>
        <v>0</v>
      </c>
      <c r="NC345" s="21">
        <f t="shared" si="2806"/>
        <v>0</v>
      </c>
      <c r="ND345" s="21">
        <f t="shared" si="2806"/>
        <v>0</v>
      </c>
      <c r="NE345" s="21">
        <f t="shared" si="2806"/>
        <v>0</v>
      </c>
      <c r="NF345" s="21">
        <f t="shared" ref="NF345:NM345" si="2807">IF($F$290, 0, IF($H$299, IF(AND(COLUMN($NF$345)-COLUMN($LJ$343)=$Q$291,ROW($NF$345)-ROW($LJ$343)=$K$291), U$290, NF345), NF345))</f>
        <v>0</v>
      </c>
      <c r="NG345" s="21">
        <f t="shared" si="2807"/>
        <v>0</v>
      </c>
      <c r="NH345" s="21">
        <f t="shared" si="2807"/>
        <v>0</v>
      </c>
      <c r="NI345" s="21">
        <f t="shared" si="2807"/>
        <v>0</v>
      </c>
      <c r="NJ345" s="21">
        <f t="shared" si="2807"/>
        <v>0</v>
      </c>
      <c r="NK345" s="21">
        <f t="shared" si="2807"/>
        <v>0</v>
      </c>
      <c r="NL345" s="21">
        <f t="shared" si="2807"/>
        <v>0</v>
      </c>
      <c r="NM345" s="21">
        <f t="shared" si="2807"/>
        <v>0</v>
      </c>
      <c r="NN345" s="21">
        <f t="shared" ref="NN345:NU345" si="2808">IF($F$290, 0, IF($H$299, IF(AND(COLUMN($NN$345)-COLUMN($LJ$343)=$Q$291,ROW($NN$345)-ROW($LJ$343)=$K$291), U$290, NN345), NN345))</f>
        <v>0</v>
      </c>
      <c r="NO345" s="21">
        <f t="shared" si="2808"/>
        <v>0</v>
      </c>
      <c r="NP345" s="21">
        <f t="shared" si="2808"/>
        <v>0</v>
      </c>
      <c r="NQ345" s="21">
        <f t="shared" si="2808"/>
        <v>0</v>
      </c>
      <c r="NR345" s="21">
        <f t="shared" si="2808"/>
        <v>0</v>
      </c>
      <c r="NS345" s="21">
        <f t="shared" si="2808"/>
        <v>0</v>
      </c>
      <c r="NT345" s="21">
        <f t="shared" si="2808"/>
        <v>0</v>
      </c>
      <c r="NU345" s="21">
        <f t="shared" si="2808"/>
        <v>0</v>
      </c>
      <c r="NV345" s="21">
        <f t="shared" ref="NV345:OC345" si="2809">IF($F$290, 0, IF($I$299, IF(AND(COLUMN($NV$345)-COLUMN($NV$343)=$Q$291,ROW($NV$345)-ROW($NV$343)=$K$291), U$290, NV345), NV345))</f>
        <v>0</v>
      </c>
      <c r="NW345" s="21">
        <f t="shared" si="2809"/>
        <v>0</v>
      </c>
      <c r="NX345" s="21">
        <f t="shared" si="2809"/>
        <v>0</v>
      </c>
      <c r="NY345" s="21">
        <f t="shared" si="2809"/>
        <v>0</v>
      </c>
      <c r="NZ345" s="21">
        <f t="shared" si="2809"/>
        <v>0</v>
      </c>
      <c r="OA345" s="21">
        <f t="shared" si="2809"/>
        <v>0</v>
      </c>
      <c r="OB345" s="21">
        <f t="shared" si="2809"/>
        <v>0</v>
      </c>
      <c r="OC345" s="21">
        <f t="shared" si="2809"/>
        <v>0</v>
      </c>
      <c r="OD345" s="21">
        <f t="shared" ref="OD345:OK345" si="2810">IF($F$290, 0, IF($I$299, IF(AND(COLUMN($OD$345)-COLUMN($NV$343)=$Q$291,ROW($OD$345)-ROW($NV$343)=$K$291), U$290, OD345), OD345))</f>
        <v>0</v>
      </c>
      <c r="OE345" s="21">
        <f t="shared" si="2810"/>
        <v>0</v>
      </c>
      <c r="OF345" s="21">
        <f t="shared" si="2810"/>
        <v>0</v>
      </c>
      <c r="OG345" s="21">
        <f t="shared" si="2810"/>
        <v>0</v>
      </c>
      <c r="OH345" s="21">
        <f t="shared" si="2810"/>
        <v>0</v>
      </c>
      <c r="OI345" s="21">
        <f t="shared" si="2810"/>
        <v>0</v>
      </c>
      <c r="OJ345" s="21">
        <f t="shared" si="2810"/>
        <v>0</v>
      </c>
      <c r="OK345" s="21">
        <f t="shared" si="2810"/>
        <v>0</v>
      </c>
      <c r="OL345" s="21">
        <f t="shared" ref="OL345:OS345" si="2811">IF($F$290, 0, IF($I$299, IF(AND(COLUMN($OL$345)-COLUMN($NV$343)=$Q$291,ROW($OL$345)-ROW($NV$343)=$K$291), U$290, OL345), OL345))</f>
        <v>0</v>
      </c>
      <c r="OM345" s="21">
        <f t="shared" si="2811"/>
        <v>0</v>
      </c>
      <c r="ON345" s="21">
        <f t="shared" si="2811"/>
        <v>0</v>
      </c>
      <c r="OO345" s="21">
        <f t="shared" si="2811"/>
        <v>0</v>
      </c>
      <c r="OP345" s="21">
        <f t="shared" si="2811"/>
        <v>0</v>
      </c>
      <c r="OQ345" s="21">
        <f t="shared" si="2811"/>
        <v>0</v>
      </c>
      <c r="OR345" s="21">
        <f t="shared" si="2811"/>
        <v>0</v>
      </c>
      <c r="OS345" s="21">
        <f t="shared" si="2811"/>
        <v>0</v>
      </c>
      <c r="OT345" s="21">
        <f t="shared" ref="OT345:PA345" si="2812">IF($F$290, 0, IF($I$299, IF(AND(COLUMN($OT$345)-COLUMN($NV$343)=$Q$291,ROW($OT$345)-ROW($NV$343)=$K$291), U$290, OT345), OT345))</f>
        <v>0</v>
      </c>
      <c r="OU345" s="21">
        <f t="shared" si="2812"/>
        <v>0</v>
      </c>
      <c r="OV345" s="21">
        <f t="shared" si="2812"/>
        <v>0</v>
      </c>
      <c r="OW345" s="21">
        <f t="shared" si="2812"/>
        <v>0</v>
      </c>
      <c r="OX345" s="21">
        <f t="shared" si="2812"/>
        <v>0</v>
      </c>
      <c r="OY345" s="21">
        <f t="shared" si="2812"/>
        <v>0</v>
      </c>
      <c r="OZ345" s="21">
        <f t="shared" si="2812"/>
        <v>0</v>
      </c>
      <c r="PA345" s="21">
        <f t="shared" si="2812"/>
        <v>0</v>
      </c>
      <c r="PB345" s="21">
        <f t="shared" ref="PB345:PI345" si="2813">IF($F$290, 0, IF($I$299, IF(AND(COLUMN($PB$345)-COLUMN($NV$343)=$Q$291,ROW($PB$345)-ROW($NV$343)=$K$291), U$290, PB345), PB345))</f>
        <v>0</v>
      </c>
      <c r="PC345" s="21">
        <f t="shared" si="2813"/>
        <v>0</v>
      </c>
      <c r="PD345" s="21">
        <f t="shared" si="2813"/>
        <v>0</v>
      </c>
      <c r="PE345" s="21">
        <f t="shared" si="2813"/>
        <v>0</v>
      </c>
      <c r="PF345" s="21">
        <f t="shared" si="2813"/>
        <v>0</v>
      </c>
      <c r="PG345" s="21">
        <f t="shared" si="2813"/>
        <v>0</v>
      </c>
      <c r="PH345" s="21">
        <f t="shared" si="2813"/>
        <v>0</v>
      </c>
      <c r="PI345" s="21">
        <f t="shared" si="2813"/>
        <v>0</v>
      </c>
      <c r="PJ345" s="21">
        <f t="shared" ref="PJ345:PQ345" si="2814">IF($F$290, 0, IF($I$299, IF(AND(COLUMN($PJ$345)-COLUMN($NV$343)=$Q$291,ROW($PJ$345)-ROW($NV$343)=$K$291), U$290, PJ345), PJ345))</f>
        <v>0</v>
      </c>
      <c r="PK345" s="21">
        <f t="shared" si="2814"/>
        <v>0</v>
      </c>
      <c r="PL345" s="21">
        <f t="shared" si="2814"/>
        <v>0</v>
      </c>
      <c r="PM345" s="21">
        <f t="shared" si="2814"/>
        <v>0</v>
      </c>
      <c r="PN345" s="21">
        <f t="shared" si="2814"/>
        <v>0</v>
      </c>
      <c r="PO345" s="21">
        <f t="shared" si="2814"/>
        <v>0</v>
      </c>
      <c r="PP345" s="21">
        <f t="shared" si="2814"/>
        <v>0</v>
      </c>
      <c r="PQ345" s="21">
        <f t="shared" si="2814"/>
        <v>0</v>
      </c>
      <c r="PR345" s="21">
        <f t="shared" ref="PR345:PY345" si="2815">IF($F$290, 0, IF($I$299, IF(AND(COLUMN($PR$345)-COLUMN($NV$343)=$Q$291,ROW($PR$345)-ROW($NV$343)=$K$291), U$290, PR345), PR345))</f>
        <v>0</v>
      </c>
      <c r="PS345" s="21">
        <f t="shared" si="2815"/>
        <v>0</v>
      </c>
      <c r="PT345" s="21">
        <f t="shared" si="2815"/>
        <v>0</v>
      </c>
      <c r="PU345" s="21">
        <f t="shared" si="2815"/>
        <v>0</v>
      </c>
      <c r="PV345" s="21">
        <f t="shared" si="2815"/>
        <v>0</v>
      </c>
      <c r="PW345" s="21">
        <f t="shared" si="2815"/>
        <v>0</v>
      </c>
      <c r="PX345" s="21">
        <f t="shared" si="2815"/>
        <v>0</v>
      </c>
      <c r="PY345" s="21">
        <f t="shared" si="2815"/>
        <v>0</v>
      </c>
      <c r="PZ345" s="21">
        <f t="shared" ref="PZ345:QG345" si="2816">IF($F$290, 0, IF($I$299, IF(AND(COLUMN($PZ$345)-COLUMN($NV$343)=$Q$291,ROW($PZ$345)-ROW($NV$343)=$K$291), U$290, PZ345), PZ345))</f>
        <v>0</v>
      </c>
      <c r="QA345" s="21">
        <f t="shared" si="2816"/>
        <v>0</v>
      </c>
      <c r="QB345" s="21">
        <f t="shared" si="2816"/>
        <v>0</v>
      </c>
      <c r="QC345" s="21">
        <f t="shared" si="2816"/>
        <v>0</v>
      </c>
      <c r="QD345" s="21">
        <f t="shared" si="2816"/>
        <v>0</v>
      </c>
      <c r="QE345" s="21">
        <f t="shared" si="2816"/>
        <v>0</v>
      </c>
      <c r="QF345" s="21">
        <f t="shared" si="2816"/>
        <v>0</v>
      </c>
      <c r="QG345" s="21">
        <f t="shared" si="2816"/>
        <v>0</v>
      </c>
      <c r="QH345" s="21">
        <f t="shared" ref="QH345:QO345" si="2817">IF($F$290, 0, IF($J$299, IF(AND(COLUMN($QH$345)-COLUMN($QH$343)=$Q$291,ROW($QH$345)-ROW($QH$343)=$K$291), U$290, QH345), QH345))</f>
        <v>0</v>
      </c>
      <c r="QI345" s="21">
        <f t="shared" si="2817"/>
        <v>0</v>
      </c>
      <c r="QJ345" s="21">
        <f t="shared" si="2817"/>
        <v>0</v>
      </c>
      <c r="QK345" s="21">
        <f t="shared" si="2817"/>
        <v>0</v>
      </c>
      <c r="QL345" s="21">
        <f t="shared" si="2817"/>
        <v>0</v>
      </c>
      <c r="QM345" s="21">
        <f t="shared" si="2817"/>
        <v>0</v>
      </c>
      <c r="QN345" s="21">
        <f t="shared" si="2817"/>
        <v>0</v>
      </c>
      <c r="QO345" s="21">
        <f t="shared" si="2817"/>
        <v>0</v>
      </c>
      <c r="QP345" s="21">
        <f t="shared" ref="QP345:QW345" si="2818">IF($F$290, 0, IF($J$299, IF(AND(COLUMN($QP$345)-COLUMN($QH$343)=$Q$291,ROW($QP$345)-ROW($QH$343)=$K$291), U$290, QP345), QP345))</f>
        <v>0</v>
      </c>
      <c r="QQ345" s="21">
        <f t="shared" si="2818"/>
        <v>0</v>
      </c>
      <c r="QR345" s="21">
        <f t="shared" si="2818"/>
        <v>0</v>
      </c>
      <c r="QS345" s="21">
        <f t="shared" si="2818"/>
        <v>0</v>
      </c>
      <c r="QT345" s="21">
        <f t="shared" si="2818"/>
        <v>0</v>
      </c>
      <c r="QU345" s="21">
        <f t="shared" si="2818"/>
        <v>0</v>
      </c>
      <c r="QV345" s="21">
        <f t="shared" si="2818"/>
        <v>0</v>
      </c>
      <c r="QW345" s="21">
        <f t="shared" si="2818"/>
        <v>0</v>
      </c>
      <c r="QX345" s="21">
        <f t="shared" ref="QX345:RE345" si="2819">IF($F$290, 0, IF($J$299, IF(AND(COLUMN($QX$345)-COLUMN($QH$343)=$Q$291,ROW($QX$345)-ROW($QH$343)=$K$291), U$290, QX345), QX345))</f>
        <v>0</v>
      </c>
      <c r="QY345" s="21">
        <f t="shared" si="2819"/>
        <v>0</v>
      </c>
      <c r="QZ345" s="21">
        <f t="shared" si="2819"/>
        <v>0</v>
      </c>
      <c r="RA345" s="21">
        <f t="shared" si="2819"/>
        <v>0</v>
      </c>
      <c r="RB345" s="21">
        <f t="shared" si="2819"/>
        <v>0</v>
      </c>
      <c r="RC345" s="21">
        <f t="shared" si="2819"/>
        <v>0</v>
      </c>
      <c r="RD345" s="21">
        <f t="shared" si="2819"/>
        <v>0</v>
      </c>
      <c r="RE345" s="21">
        <f t="shared" si="2819"/>
        <v>0</v>
      </c>
      <c r="RF345" s="21">
        <f t="shared" ref="RF345:RM345" si="2820">IF($F$290, 0, IF($J$299, IF(AND(COLUMN($RF$345)-COLUMN($QH$343)=$Q$291,ROW($RF$345)-ROW($QH$343)=$K$291), U$290, RF345), RF345))</f>
        <v>0</v>
      </c>
      <c r="RG345" s="21">
        <f t="shared" si="2820"/>
        <v>0</v>
      </c>
      <c r="RH345" s="21">
        <f t="shared" si="2820"/>
        <v>0</v>
      </c>
      <c r="RI345" s="21">
        <f t="shared" si="2820"/>
        <v>0</v>
      </c>
      <c r="RJ345" s="21">
        <f t="shared" si="2820"/>
        <v>0</v>
      </c>
      <c r="RK345" s="21">
        <f t="shared" si="2820"/>
        <v>0</v>
      </c>
      <c r="RL345" s="21">
        <f t="shared" si="2820"/>
        <v>0</v>
      </c>
      <c r="RM345" s="21">
        <f t="shared" si="2820"/>
        <v>0</v>
      </c>
      <c r="RN345" s="21">
        <f t="shared" ref="RN345:RU345" si="2821">IF($F$290, 0, IF($J$299, IF(AND(COLUMN($RN$345)-COLUMN($QH$343)=$Q$291,ROW($RN$345)-ROW($QH$343)=$K$291), U$290, RN345), RN345))</f>
        <v>0</v>
      </c>
      <c r="RO345" s="21">
        <f t="shared" si="2821"/>
        <v>0</v>
      </c>
      <c r="RP345" s="21">
        <f t="shared" si="2821"/>
        <v>0</v>
      </c>
      <c r="RQ345" s="21">
        <f t="shared" si="2821"/>
        <v>0</v>
      </c>
      <c r="RR345" s="21">
        <f t="shared" si="2821"/>
        <v>0</v>
      </c>
      <c r="RS345" s="21">
        <f t="shared" si="2821"/>
        <v>0</v>
      </c>
      <c r="RT345" s="21">
        <f t="shared" si="2821"/>
        <v>0</v>
      </c>
      <c r="RU345" s="21">
        <f t="shared" si="2821"/>
        <v>0</v>
      </c>
      <c r="RV345" s="21">
        <f t="shared" ref="RV345:SC345" si="2822">IF($F$290, 0, IF($J$299, IF(AND(COLUMN($RV$345)-COLUMN($QH$343)=$Q$291,ROW($RV$345)-ROW($QH$343)=$K$291), U$290, RV345), RV345))</f>
        <v>0</v>
      </c>
      <c r="RW345" s="21">
        <f t="shared" si="2822"/>
        <v>0</v>
      </c>
      <c r="RX345" s="21">
        <f t="shared" si="2822"/>
        <v>0</v>
      </c>
      <c r="RY345" s="21">
        <f t="shared" si="2822"/>
        <v>0</v>
      </c>
      <c r="RZ345" s="21">
        <f t="shared" si="2822"/>
        <v>0</v>
      </c>
      <c r="SA345" s="21">
        <f t="shared" si="2822"/>
        <v>0</v>
      </c>
      <c r="SB345" s="21">
        <f t="shared" si="2822"/>
        <v>0</v>
      </c>
      <c r="SC345" s="21">
        <f t="shared" si="2822"/>
        <v>0</v>
      </c>
      <c r="SD345" s="21">
        <f t="shared" ref="SD345:SK345" si="2823">IF($F$290, 0, IF($J$299, IF(AND(COLUMN($SD$345)-COLUMN($QH$343)=$Q$291,ROW($SD$345)-ROW($QH$343)=$K$291), U$290, SD345), SD345))</f>
        <v>0</v>
      </c>
      <c r="SE345" s="21">
        <f t="shared" si="2823"/>
        <v>0</v>
      </c>
      <c r="SF345" s="21">
        <f t="shared" si="2823"/>
        <v>0</v>
      </c>
      <c r="SG345" s="21">
        <f t="shared" si="2823"/>
        <v>0</v>
      </c>
      <c r="SH345" s="21">
        <f t="shared" si="2823"/>
        <v>0</v>
      </c>
      <c r="SI345" s="21">
        <f t="shared" si="2823"/>
        <v>0</v>
      </c>
      <c r="SJ345" s="21">
        <f t="shared" si="2823"/>
        <v>0</v>
      </c>
      <c r="SK345" s="21">
        <f t="shared" si="2823"/>
        <v>0</v>
      </c>
      <c r="SL345" s="21">
        <f t="shared" ref="SL345:SS345" si="2824">IF($F$290, 0, IF($J$299, IF(AND(COLUMN($SL$345)-COLUMN($QH$343)=$Q$291,ROW($SL$345)-ROW($QH$343)=$K$291), U$290, SL345), SL345))</f>
        <v>0</v>
      </c>
      <c r="SM345" s="21">
        <f t="shared" si="2824"/>
        <v>0</v>
      </c>
      <c r="SN345" s="21">
        <f t="shared" si="2824"/>
        <v>0</v>
      </c>
      <c r="SO345" s="21">
        <f t="shared" si="2824"/>
        <v>0</v>
      </c>
      <c r="SP345" s="21">
        <f t="shared" si="2824"/>
        <v>0</v>
      </c>
      <c r="SQ345" s="21">
        <f t="shared" si="2824"/>
        <v>0</v>
      </c>
      <c r="SR345" s="21">
        <f t="shared" si="2824"/>
        <v>0</v>
      </c>
      <c r="SS345" s="21">
        <f t="shared" si="2824"/>
        <v>0</v>
      </c>
    </row>
    <row r="346" spans="2:513" ht="15" customHeight="1" x14ac:dyDescent="0.25">
      <c r="B346" s="21">
        <f t="shared" ref="B346:I346" si="2825">IF($F$290, 0, IF($C$299, IF(AND(COLUMN($B$346)-COLUMN($B$343)=$Q$291,ROW($B$346)-ROW($B$343)=$K$291), U$290, B346), B346))</f>
        <v>0</v>
      </c>
      <c r="C346" s="21">
        <f t="shared" si="2825"/>
        <v>0</v>
      </c>
      <c r="D346" s="21">
        <f t="shared" si="2825"/>
        <v>0</v>
      </c>
      <c r="E346" s="21">
        <f t="shared" si="2825"/>
        <v>0</v>
      </c>
      <c r="F346" s="21">
        <f t="shared" si="2825"/>
        <v>0</v>
      </c>
      <c r="G346" s="21">
        <f t="shared" si="2825"/>
        <v>0</v>
      </c>
      <c r="H346" s="21">
        <f t="shared" si="2825"/>
        <v>0</v>
      </c>
      <c r="I346" s="21">
        <f t="shared" si="2825"/>
        <v>0</v>
      </c>
      <c r="J346" s="21">
        <f t="shared" ref="J346:Q346" si="2826">IF($F$290, 0, IF($C$299, IF(AND(COLUMN($J$346)-COLUMN($B$343)=$Q$291,ROW($J$346)-ROW($B$343)=$K$291), U$290, J346), J346))</f>
        <v>0</v>
      </c>
      <c r="K346" s="21">
        <f t="shared" si="2826"/>
        <v>0</v>
      </c>
      <c r="L346" s="21">
        <f t="shared" si="2826"/>
        <v>0</v>
      </c>
      <c r="M346" s="21">
        <f t="shared" si="2826"/>
        <v>0</v>
      </c>
      <c r="N346" s="21">
        <f t="shared" si="2826"/>
        <v>0</v>
      </c>
      <c r="O346" s="21">
        <f t="shared" si="2826"/>
        <v>0</v>
      </c>
      <c r="P346" s="21">
        <f t="shared" si="2826"/>
        <v>0</v>
      </c>
      <c r="Q346" s="21">
        <f t="shared" si="2826"/>
        <v>0</v>
      </c>
      <c r="R346" s="21">
        <f>IF($F$290, 0, IF($C$299, IF(AND(COLUMN($R$346)-COLUMN($B$343)=$Q$291,ROW($R$346)-ROW($B$343)=$K$291), U$290, R346), R346))</f>
        <v>0</v>
      </c>
      <c r="S346" s="21">
        <f t="shared" ref="S346:Y346" si="2827">IF($F$290, 0, IF($C$299, IF(AND(COLUMN($R$346)-COLUMN($B$343)=$Q$291,ROW($R$346)-ROW($B$343)=$K$291), V$290, S346), S346))</f>
        <v>0</v>
      </c>
      <c r="T346" s="21">
        <f t="shared" si="2827"/>
        <v>0</v>
      </c>
      <c r="U346" s="21">
        <f t="shared" si="2827"/>
        <v>0</v>
      </c>
      <c r="V346" s="21">
        <f t="shared" si="2827"/>
        <v>0</v>
      </c>
      <c r="W346" s="21">
        <f t="shared" si="2827"/>
        <v>0</v>
      </c>
      <c r="X346" s="21">
        <f t="shared" si="2827"/>
        <v>0</v>
      </c>
      <c r="Y346" s="21">
        <f t="shared" si="2827"/>
        <v>0</v>
      </c>
      <c r="Z346" s="21">
        <f t="shared" ref="Z346:AG346" si="2828">IF($F$290, 0, IF($C$299, IF(AND(COLUMN($Z$346)-COLUMN($B$343)=$Q$291,ROW($Z$346)-ROW($B$343)=$K$291), U$290, Z346), Z346))</f>
        <v>0</v>
      </c>
      <c r="AA346" s="21">
        <f t="shared" si="2828"/>
        <v>0</v>
      </c>
      <c r="AB346" s="21">
        <f t="shared" si="2828"/>
        <v>0</v>
      </c>
      <c r="AC346" s="21">
        <f t="shared" si="2828"/>
        <v>0</v>
      </c>
      <c r="AD346" s="21">
        <f t="shared" si="2828"/>
        <v>0</v>
      </c>
      <c r="AE346" s="21">
        <f t="shared" si="2828"/>
        <v>0</v>
      </c>
      <c r="AF346" s="21">
        <f t="shared" si="2828"/>
        <v>0</v>
      </c>
      <c r="AG346" s="21">
        <f t="shared" si="2828"/>
        <v>0</v>
      </c>
      <c r="AH346" s="21">
        <f t="shared" ref="AH346:AO346" si="2829">IF($F$290, 0, IF($C$299, IF(AND(COLUMN($AH$346)-COLUMN($B$343)=$Q$291,ROW($AH$346)-ROW($B$343)=$K$291), U$290, AH346), AH346))</f>
        <v>0</v>
      </c>
      <c r="AI346" s="21">
        <f t="shared" si="2829"/>
        <v>0</v>
      </c>
      <c r="AJ346" s="21">
        <f t="shared" si="2829"/>
        <v>0</v>
      </c>
      <c r="AK346" s="21">
        <f t="shared" si="2829"/>
        <v>0</v>
      </c>
      <c r="AL346" s="21">
        <f t="shared" si="2829"/>
        <v>0</v>
      </c>
      <c r="AM346" s="21">
        <f t="shared" si="2829"/>
        <v>0</v>
      </c>
      <c r="AN346" s="21">
        <f t="shared" si="2829"/>
        <v>0</v>
      </c>
      <c r="AO346" s="21">
        <f t="shared" si="2829"/>
        <v>0</v>
      </c>
      <c r="AP346" s="21">
        <f t="shared" ref="AP346:AW346" si="2830">IF($F$290, 0, IF($C$299, IF(AND(COLUMN($AP$346)-COLUMN($B$343)=$Q$291,ROW($AP$346)-ROW($B$343)=$K$291), U$290, AP346), AP346))</f>
        <v>0</v>
      </c>
      <c r="AQ346" s="21">
        <f t="shared" si="2830"/>
        <v>0</v>
      </c>
      <c r="AR346" s="21">
        <f t="shared" si="2830"/>
        <v>0</v>
      </c>
      <c r="AS346" s="21">
        <f t="shared" si="2830"/>
        <v>0</v>
      </c>
      <c r="AT346" s="21">
        <f t="shared" si="2830"/>
        <v>0</v>
      </c>
      <c r="AU346" s="21">
        <f t="shared" si="2830"/>
        <v>0</v>
      </c>
      <c r="AV346" s="21">
        <f t="shared" si="2830"/>
        <v>0</v>
      </c>
      <c r="AW346" s="21">
        <f t="shared" si="2830"/>
        <v>0</v>
      </c>
      <c r="AX346" s="21">
        <f t="shared" ref="AX346:BE346" si="2831">IF($F$290, 0, IF($C$299, IF(AND(COLUMN($AX$346)-COLUMN($B$343)=$Q$291,ROW($AX$346)-ROW($B$343)=$K$291), U$290, AX346), AX346))</f>
        <v>0</v>
      </c>
      <c r="AY346" s="21">
        <f t="shared" si="2831"/>
        <v>0</v>
      </c>
      <c r="AZ346" s="21">
        <f t="shared" si="2831"/>
        <v>0</v>
      </c>
      <c r="BA346" s="21">
        <f t="shared" si="2831"/>
        <v>0</v>
      </c>
      <c r="BB346" s="21">
        <f t="shared" si="2831"/>
        <v>0</v>
      </c>
      <c r="BC346" s="21">
        <f t="shared" si="2831"/>
        <v>0</v>
      </c>
      <c r="BD346" s="21">
        <f t="shared" si="2831"/>
        <v>0</v>
      </c>
      <c r="BE346" s="21">
        <f t="shared" si="2831"/>
        <v>0</v>
      </c>
      <c r="BF346" s="21">
        <f t="shared" ref="BF346:BM346" si="2832">IF($F$290, 0, IF($C$299, IF(AND(COLUMN($BF$346)-COLUMN($B$343)=$Q$291,ROW($BF$346)-ROW($B$343)=$K$291), U$290, BF346), BF346))</f>
        <v>0</v>
      </c>
      <c r="BG346" s="21">
        <f t="shared" si="2832"/>
        <v>0</v>
      </c>
      <c r="BH346" s="21">
        <f t="shared" si="2832"/>
        <v>0</v>
      </c>
      <c r="BI346" s="21">
        <f t="shared" si="2832"/>
        <v>0</v>
      </c>
      <c r="BJ346" s="21">
        <f t="shared" si="2832"/>
        <v>0</v>
      </c>
      <c r="BK346" s="21">
        <f t="shared" si="2832"/>
        <v>0</v>
      </c>
      <c r="BL346" s="21">
        <f t="shared" si="2832"/>
        <v>0</v>
      </c>
      <c r="BM346" s="21">
        <f t="shared" si="2832"/>
        <v>0</v>
      </c>
      <c r="BN346" s="21">
        <f t="shared" ref="BN346:BU346" si="2833">IF($F$290, 0, IF($D$299, IF(AND(COLUMN($BN$346)-COLUMN($BN$343)=$Q$291,ROW($BN$346)-ROW($BN$343)=$K$291), U$290, BN346), BN346))</f>
        <v>0</v>
      </c>
      <c r="BO346" s="21">
        <f t="shared" si="2833"/>
        <v>0</v>
      </c>
      <c r="BP346" s="21">
        <f t="shared" si="2833"/>
        <v>0</v>
      </c>
      <c r="BQ346" s="21">
        <f t="shared" si="2833"/>
        <v>0</v>
      </c>
      <c r="BR346" s="21">
        <f t="shared" si="2833"/>
        <v>0</v>
      </c>
      <c r="BS346" s="21">
        <f t="shared" si="2833"/>
        <v>0</v>
      </c>
      <c r="BT346" s="21">
        <f t="shared" si="2833"/>
        <v>0</v>
      </c>
      <c r="BU346" s="21">
        <f t="shared" si="2833"/>
        <v>0</v>
      </c>
      <c r="BV346" s="21">
        <f t="shared" ref="BV346:CC346" si="2834">IF($F$290, 0, IF($D$299, IF(AND(COLUMN($BV$346)-COLUMN($BN$343)=$Q$291,ROW($BV$346)-ROW($BN$343)=$K$291), U$290, BV346), BV346))</f>
        <v>0</v>
      </c>
      <c r="BW346" s="21">
        <f t="shared" si="2834"/>
        <v>0</v>
      </c>
      <c r="BX346" s="21">
        <f t="shared" si="2834"/>
        <v>0</v>
      </c>
      <c r="BY346" s="21">
        <f t="shared" si="2834"/>
        <v>0</v>
      </c>
      <c r="BZ346" s="21">
        <f t="shared" si="2834"/>
        <v>0</v>
      </c>
      <c r="CA346" s="21">
        <f t="shared" si="2834"/>
        <v>0</v>
      </c>
      <c r="CB346" s="21">
        <f t="shared" si="2834"/>
        <v>0</v>
      </c>
      <c r="CC346" s="21">
        <f t="shared" si="2834"/>
        <v>0</v>
      </c>
      <c r="CD346" s="21">
        <f t="shared" ref="CD346:CK346" si="2835">IF($F$290, 0, IF($D$299, IF(AND(COLUMN($CD$346)-COLUMN($BN$343)=$Q$291,ROW($CD$346)-ROW($BN$343)=$K$291), U$290, CD346), CD346))</f>
        <v>0</v>
      </c>
      <c r="CE346" s="21">
        <f t="shared" si="2835"/>
        <v>0</v>
      </c>
      <c r="CF346" s="21">
        <f t="shared" si="2835"/>
        <v>0</v>
      </c>
      <c r="CG346" s="21">
        <f t="shared" si="2835"/>
        <v>0</v>
      </c>
      <c r="CH346" s="21">
        <f t="shared" si="2835"/>
        <v>0</v>
      </c>
      <c r="CI346" s="21">
        <f t="shared" si="2835"/>
        <v>0</v>
      </c>
      <c r="CJ346" s="21">
        <f t="shared" si="2835"/>
        <v>0</v>
      </c>
      <c r="CK346" s="21">
        <f t="shared" si="2835"/>
        <v>0</v>
      </c>
      <c r="CL346" s="21">
        <f t="shared" ref="CL346:CS346" si="2836">IF($F$290, 0, IF($D$299, IF(AND(COLUMN($CL$346)-COLUMN($BN$343)=$Q$291,ROW($CL$346)-ROW($BN$343)=$K$291), U$290, CL346), CL346))</f>
        <v>0</v>
      </c>
      <c r="CM346" s="21">
        <f t="shared" si="2836"/>
        <v>0</v>
      </c>
      <c r="CN346" s="21">
        <f t="shared" si="2836"/>
        <v>0</v>
      </c>
      <c r="CO346" s="21">
        <f t="shared" si="2836"/>
        <v>0</v>
      </c>
      <c r="CP346" s="21">
        <f t="shared" si="2836"/>
        <v>0</v>
      </c>
      <c r="CQ346" s="21">
        <f t="shared" si="2836"/>
        <v>0</v>
      </c>
      <c r="CR346" s="21">
        <f t="shared" si="2836"/>
        <v>0</v>
      </c>
      <c r="CS346" s="21">
        <f t="shared" si="2836"/>
        <v>0</v>
      </c>
      <c r="CT346" s="21">
        <f t="shared" ref="CT346:DA346" si="2837">IF($F$290, 0, IF($D$299, IF(AND(COLUMN($CT$346)-COLUMN($BN$343)=$Q$291,ROW($CT$346)-ROW($BN$343)=$K$291), U$290, CT346), CT346))</f>
        <v>0</v>
      </c>
      <c r="CU346" s="21">
        <f t="shared" si="2837"/>
        <v>0</v>
      </c>
      <c r="CV346" s="21">
        <f t="shared" si="2837"/>
        <v>0</v>
      </c>
      <c r="CW346" s="21">
        <f t="shared" si="2837"/>
        <v>0</v>
      </c>
      <c r="CX346" s="21">
        <f t="shared" si="2837"/>
        <v>0</v>
      </c>
      <c r="CY346" s="21">
        <f t="shared" si="2837"/>
        <v>0</v>
      </c>
      <c r="CZ346" s="21">
        <f t="shared" si="2837"/>
        <v>0</v>
      </c>
      <c r="DA346" s="21">
        <f t="shared" si="2837"/>
        <v>0</v>
      </c>
      <c r="DB346" s="21">
        <f t="shared" ref="DB346:DI346" si="2838">IF($F$290, 0, IF($D$299, IF(AND(COLUMN($DB$346)-COLUMN($BN$343)=$Q$291,ROW($DB$346)-ROW($BN$343)=$K$291), U$290, DB346), DB346))</f>
        <v>0</v>
      </c>
      <c r="DC346" s="21">
        <f t="shared" si="2838"/>
        <v>0</v>
      </c>
      <c r="DD346" s="21">
        <f t="shared" si="2838"/>
        <v>0</v>
      </c>
      <c r="DE346" s="21">
        <f t="shared" si="2838"/>
        <v>0</v>
      </c>
      <c r="DF346" s="21">
        <f t="shared" si="2838"/>
        <v>0</v>
      </c>
      <c r="DG346" s="21">
        <f t="shared" si="2838"/>
        <v>0</v>
      </c>
      <c r="DH346" s="21">
        <f t="shared" si="2838"/>
        <v>0</v>
      </c>
      <c r="DI346" s="21">
        <f t="shared" si="2838"/>
        <v>0</v>
      </c>
      <c r="DJ346" s="21">
        <f t="shared" ref="DJ346:DQ346" si="2839">IF($F$290, 0, IF($D$299, IF(AND(COLUMN($DJ$346)-COLUMN($BN$343)=$Q$291,ROW($DJ$346)-ROW($BN$343)=$K$291), U$290, DJ346), DJ346))</f>
        <v>0</v>
      </c>
      <c r="DK346" s="21">
        <f t="shared" si="2839"/>
        <v>0</v>
      </c>
      <c r="DL346" s="21">
        <f t="shared" si="2839"/>
        <v>0</v>
      </c>
      <c r="DM346" s="21">
        <f t="shared" si="2839"/>
        <v>0</v>
      </c>
      <c r="DN346" s="21">
        <f t="shared" si="2839"/>
        <v>0</v>
      </c>
      <c r="DO346" s="21">
        <f t="shared" si="2839"/>
        <v>0</v>
      </c>
      <c r="DP346" s="21">
        <f t="shared" si="2839"/>
        <v>0</v>
      </c>
      <c r="DQ346" s="21">
        <f t="shared" si="2839"/>
        <v>0</v>
      </c>
      <c r="DR346" s="21">
        <f t="shared" ref="DR346:DY346" si="2840">IF($F$290, 0, IF($D$299, IF(AND(COLUMN($DR$346)-COLUMN($BN$343)=$Q$291,ROW($DR$346)-ROW($BN$343)=$K$291), U$290, DR346), DR346))</f>
        <v>0</v>
      </c>
      <c r="DS346" s="21">
        <f t="shared" si="2840"/>
        <v>0</v>
      </c>
      <c r="DT346" s="21">
        <f t="shared" si="2840"/>
        <v>0</v>
      </c>
      <c r="DU346" s="21">
        <f t="shared" si="2840"/>
        <v>0</v>
      </c>
      <c r="DV346" s="21">
        <f t="shared" si="2840"/>
        <v>0</v>
      </c>
      <c r="DW346" s="21">
        <f t="shared" si="2840"/>
        <v>0</v>
      </c>
      <c r="DX346" s="21">
        <f t="shared" si="2840"/>
        <v>0</v>
      </c>
      <c r="DY346" s="21">
        <f t="shared" si="2840"/>
        <v>0</v>
      </c>
      <c r="DZ346" s="21">
        <f t="shared" ref="DZ346:EG346" si="2841">IF($F$290, 0, IF($E$299, IF(AND(COLUMN($DZ$346)-COLUMN($DZ$343)=$Q$291,ROW($DZ$346)-ROW($DZ$343)=$K$291), U$290, DZ346), DZ346))</f>
        <v>0</v>
      </c>
      <c r="EA346" s="21">
        <f t="shared" si="2841"/>
        <v>0</v>
      </c>
      <c r="EB346" s="21">
        <f t="shared" si="2841"/>
        <v>0</v>
      </c>
      <c r="EC346" s="21">
        <f t="shared" si="2841"/>
        <v>0</v>
      </c>
      <c r="ED346" s="21">
        <f t="shared" si="2841"/>
        <v>0</v>
      </c>
      <c r="EE346" s="21">
        <f t="shared" si="2841"/>
        <v>0</v>
      </c>
      <c r="EF346" s="21">
        <f t="shared" si="2841"/>
        <v>0</v>
      </c>
      <c r="EG346" s="21">
        <f t="shared" si="2841"/>
        <v>0</v>
      </c>
      <c r="EH346" s="21">
        <f t="shared" ref="EH346:EO346" si="2842">IF($F$290, 0, IF($E$299, IF(AND(COLUMN($EH$346)-COLUMN($DZ$343)=$Q$291,ROW($EH$346)-ROW($DZ$343)=$K$291), U$290, EH346), EH346))</f>
        <v>0</v>
      </c>
      <c r="EI346" s="21">
        <f t="shared" si="2842"/>
        <v>0</v>
      </c>
      <c r="EJ346" s="21">
        <f t="shared" si="2842"/>
        <v>0</v>
      </c>
      <c r="EK346" s="21">
        <f t="shared" si="2842"/>
        <v>0</v>
      </c>
      <c r="EL346" s="21">
        <f t="shared" si="2842"/>
        <v>0</v>
      </c>
      <c r="EM346" s="21">
        <f t="shared" si="2842"/>
        <v>0</v>
      </c>
      <c r="EN346" s="21">
        <f t="shared" si="2842"/>
        <v>0</v>
      </c>
      <c r="EO346" s="21">
        <f t="shared" si="2842"/>
        <v>0</v>
      </c>
      <c r="EP346" s="21">
        <f t="shared" ref="EP346:EW346" si="2843">IF($F$290, 0, IF($E$299, IF(AND(COLUMN($EP$346)-COLUMN($DZ$343)=$Q$291,ROW($EP$346)-ROW($DZ$343)=$K$291), U$290, EP346), EP346))</f>
        <v>0</v>
      </c>
      <c r="EQ346" s="21">
        <f t="shared" si="2843"/>
        <v>0</v>
      </c>
      <c r="ER346" s="21">
        <f t="shared" si="2843"/>
        <v>0</v>
      </c>
      <c r="ES346" s="21">
        <f t="shared" si="2843"/>
        <v>0</v>
      </c>
      <c r="ET346" s="21">
        <f t="shared" si="2843"/>
        <v>0</v>
      </c>
      <c r="EU346" s="21">
        <f t="shared" si="2843"/>
        <v>0</v>
      </c>
      <c r="EV346" s="21">
        <f t="shared" si="2843"/>
        <v>0</v>
      </c>
      <c r="EW346" s="21">
        <f t="shared" si="2843"/>
        <v>0</v>
      </c>
      <c r="EX346" s="21">
        <f t="shared" ref="EX346:FE346" si="2844">IF($F$290, 0, IF($E$299, IF(AND(COLUMN($EX$346)-COLUMN($DZ$343)=$Q$291,ROW($EX$346)-ROW($DZ$343)=$K$291), U$290, EX346), EX346))</f>
        <v>0</v>
      </c>
      <c r="EY346" s="21">
        <f t="shared" si="2844"/>
        <v>0</v>
      </c>
      <c r="EZ346" s="21">
        <f t="shared" si="2844"/>
        <v>0</v>
      </c>
      <c r="FA346" s="21">
        <f t="shared" si="2844"/>
        <v>0</v>
      </c>
      <c r="FB346" s="21">
        <f t="shared" si="2844"/>
        <v>0</v>
      </c>
      <c r="FC346" s="21">
        <f t="shared" si="2844"/>
        <v>0</v>
      </c>
      <c r="FD346" s="21">
        <f t="shared" si="2844"/>
        <v>0</v>
      </c>
      <c r="FE346" s="21">
        <f t="shared" si="2844"/>
        <v>0</v>
      </c>
      <c r="FF346" s="21">
        <f t="shared" ref="FF346:FM346" si="2845">IF($F$290, 0, IF($E$299, IF(AND(COLUMN($FF$346)-COLUMN($DZ$343)=$Q$291,ROW($FF$346)-ROW($DZ$343)=$K$291), U$290, FF346), FF346))</f>
        <v>0</v>
      </c>
      <c r="FG346" s="21">
        <f t="shared" si="2845"/>
        <v>0</v>
      </c>
      <c r="FH346" s="21">
        <f t="shared" si="2845"/>
        <v>0</v>
      </c>
      <c r="FI346" s="21">
        <f t="shared" si="2845"/>
        <v>0</v>
      </c>
      <c r="FJ346" s="21">
        <f t="shared" si="2845"/>
        <v>0</v>
      </c>
      <c r="FK346" s="21">
        <f t="shared" si="2845"/>
        <v>0</v>
      </c>
      <c r="FL346" s="21">
        <f t="shared" si="2845"/>
        <v>0</v>
      </c>
      <c r="FM346" s="21">
        <f t="shared" si="2845"/>
        <v>0</v>
      </c>
      <c r="FN346" s="21">
        <f t="shared" ref="FN346:FU346" si="2846">IF($F$290, 0, IF($E$299, IF(AND(COLUMN($FN$346)-COLUMN($DZ$343)=$Q$291,ROW($FN$346)-ROW($DZ$343)=$K$291), U$290, FN346), FN346))</f>
        <v>0</v>
      </c>
      <c r="FO346" s="21">
        <f t="shared" si="2846"/>
        <v>0</v>
      </c>
      <c r="FP346" s="21">
        <f t="shared" si="2846"/>
        <v>0</v>
      </c>
      <c r="FQ346" s="21">
        <f t="shared" si="2846"/>
        <v>0</v>
      </c>
      <c r="FR346" s="21">
        <f t="shared" si="2846"/>
        <v>0</v>
      </c>
      <c r="FS346" s="21">
        <f t="shared" si="2846"/>
        <v>0</v>
      </c>
      <c r="FT346" s="21">
        <f t="shared" si="2846"/>
        <v>0</v>
      </c>
      <c r="FU346" s="21">
        <f t="shared" si="2846"/>
        <v>0</v>
      </c>
      <c r="FV346" s="21">
        <f t="shared" ref="FV346:GC346" si="2847">IF($F$290, 0, IF($E$299, IF(AND(COLUMN($FV$346)-COLUMN($DZ$343)=$Q$291,ROW($FV$346)-ROW($DZ$343)=$K$291), U$290, FV346), FV346))</f>
        <v>0</v>
      </c>
      <c r="FW346" s="21">
        <f t="shared" si="2847"/>
        <v>0</v>
      </c>
      <c r="FX346" s="21">
        <f t="shared" si="2847"/>
        <v>0</v>
      </c>
      <c r="FY346" s="21">
        <f t="shared" si="2847"/>
        <v>0</v>
      </c>
      <c r="FZ346" s="21">
        <f t="shared" si="2847"/>
        <v>0</v>
      </c>
      <c r="GA346" s="21">
        <f t="shared" si="2847"/>
        <v>0</v>
      </c>
      <c r="GB346" s="21">
        <f t="shared" si="2847"/>
        <v>0</v>
      </c>
      <c r="GC346" s="21">
        <f t="shared" si="2847"/>
        <v>0</v>
      </c>
      <c r="GD346" s="21">
        <f t="shared" ref="GD346:GK346" si="2848">IF($F$290, 0, IF($E$299, IF(AND(COLUMN($GD$346)-COLUMN($DZ$343)=$Q$291,ROW($GD$346)-ROW($DZ$343)=$K$291), U$290, GD346), GD346))</f>
        <v>0</v>
      </c>
      <c r="GE346" s="21">
        <f t="shared" si="2848"/>
        <v>0</v>
      </c>
      <c r="GF346" s="21">
        <f t="shared" si="2848"/>
        <v>0</v>
      </c>
      <c r="GG346" s="21">
        <f t="shared" si="2848"/>
        <v>0</v>
      </c>
      <c r="GH346" s="21">
        <f t="shared" si="2848"/>
        <v>0</v>
      </c>
      <c r="GI346" s="21">
        <f t="shared" si="2848"/>
        <v>0</v>
      </c>
      <c r="GJ346" s="21">
        <f t="shared" si="2848"/>
        <v>0</v>
      </c>
      <c r="GK346" s="21">
        <f t="shared" si="2848"/>
        <v>0</v>
      </c>
      <c r="GL346" s="21">
        <f t="shared" ref="GL346:GS346" si="2849">IF($F$290, 0, IF($F$299, IF(AND(COLUMN($GL$346)-COLUMN($GL$343)=$Q$291,ROW($GL$346)-ROW($GL$343)=$K$291), U$290, GL346), GL346))</f>
        <v>0</v>
      </c>
      <c r="GM346" s="21">
        <f t="shared" si="2849"/>
        <v>0</v>
      </c>
      <c r="GN346" s="21">
        <f t="shared" si="2849"/>
        <v>0</v>
      </c>
      <c r="GO346" s="21">
        <f t="shared" si="2849"/>
        <v>0</v>
      </c>
      <c r="GP346" s="21">
        <f t="shared" si="2849"/>
        <v>0</v>
      </c>
      <c r="GQ346" s="21">
        <f t="shared" si="2849"/>
        <v>0</v>
      </c>
      <c r="GR346" s="21">
        <f t="shared" si="2849"/>
        <v>0</v>
      </c>
      <c r="GS346" s="21">
        <f t="shared" si="2849"/>
        <v>0</v>
      </c>
      <c r="GT346" s="21">
        <f t="shared" ref="GT346:HA346" si="2850">IF($F$290, 0, IF($F$299, IF(AND(COLUMN($GT$346)-COLUMN($GL$343)=$Q$291,ROW($GT$346)-ROW($GL$343)=$K$291), U$290, GT346), GT346))</f>
        <v>0</v>
      </c>
      <c r="GU346" s="21">
        <f t="shared" si="2850"/>
        <v>0</v>
      </c>
      <c r="GV346" s="21">
        <f t="shared" si="2850"/>
        <v>0</v>
      </c>
      <c r="GW346" s="21">
        <f t="shared" si="2850"/>
        <v>0</v>
      </c>
      <c r="GX346" s="21">
        <f t="shared" si="2850"/>
        <v>0</v>
      </c>
      <c r="GY346" s="21">
        <f t="shared" si="2850"/>
        <v>0</v>
      </c>
      <c r="GZ346" s="21">
        <f t="shared" si="2850"/>
        <v>0</v>
      </c>
      <c r="HA346" s="21">
        <f t="shared" si="2850"/>
        <v>0</v>
      </c>
      <c r="HB346" s="21">
        <f t="shared" ref="HB346:HI346" si="2851">IF($F$290, 0, IF($F$299, IF(AND(COLUMN($HB$346)-COLUMN($GL$343)=$Q$291,ROW($HB$346)-ROW($GL$343)=$K$291), U$290, HB346), HB346))</f>
        <v>0</v>
      </c>
      <c r="HC346" s="21">
        <f t="shared" si="2851"/>
        <v>0</v>
      </c>
      <c r="HD346" s="21">
        <f t="shared" si="2851"/>
        <v>0</v>
      </c>
      <c r="HE346" s="21">
        <f t="shared" si="2851"/>
        <v>0</v>
      </c>
      <c r="HF346" s="21">
        <f t="shared" si="2851"/>
        <v>0</v>
      </c>
      <c r="HG346" s="21">
        <f t="shared" si="2851"/>
        <v>0</v>
      </c>
      <c r="HH346" s="21">
        <f t="shared" si="2851"/>
        <v>0</v>
      </c>
      <c r="HI346" s="21">
        <f t="shared" si="2851"/>
        <v>0</v>
      </c>
      <c r="HJ346" s="21">
        <f t="shared" ref="HJ346:HQ346" si="2852">IF($F$290, 0, IF($F$299, IF(AND(COLUMN($HJ$346)-COLUMN($GL$343)=$Q$291,ROW($HJ$346)-ROW($GL$343)=$K$291), U$290, HJ346), HJ346))</f>
        <v>0</v>
      </c>
      <c r="HK346" s="21">
        <f t="shared" si="2852"/>
        <v>0</v>
      </c>
      <c r="HL346" s="21">
        <f t="shared" si="2852"/>
        <v>0</v>
      </c>
      <c r="HM346" s="21">
        <f t="shared" si="2852"/>
        <v>0</v>
      </c>
      <c r="HN346" s="21">
        <f t="shared" si="2852"/>
        <v>0</v>
      </c>
      <c r="HO346" s="21">
        <f t="shared" si="2852"/>
        <v>0</v>
      </c>
      <c r="HP346" s="21">
        <f t="shared" si="2852"/>
        <v>0</v>
      </c>
      <c r="HQ346" s="21">
        <f t="shared" si="2852"/>
        <v>0</v>
      </c>
      <c r="HR346" s="21">
        <f t="shared" ref="HR346:HY346" si="2853">IF($F$290, 0, IF($F$299, IF(AND(COLUMN($HR$346)-COLUMN($GL$343)=$Q$291,ROW($HR$346)-ROW($GL$343)=$K$291), U$290, HR346), HR346))</f>
        <v>0</v>
      </c>
      <c r="HS346" s="21">
        <f t="shared" si="2853"/>
        <v>0</v>
      </c>
      <c r="HT346" s="21">
        <f t="shared" si="2853"/>
        <v>0</v>
      </c>
      <c r="HU346" s="21">
        <f t="shared" si="2853"/>
        <v>0</v>
      </c>
      <c r="HV346" s="21">
        <f t="shared" si="2853"/>
        <v>0</v>
      </c>
      <c r="HW346" s="21">
        <f t="shared" si="2853"/>
        <v>0</v>
      </c>
      <c r="HX346" s="21">
        <f t="shared" si="2853"/>
        <v>0</v>
      </c>
      <c r="HY346" s="21">
        <f t="shared" si="2853"/>
        <v>0</v>
      </c>
      <c r="HZ346" s="21">
        <f t="shared" ref="HZ346:IG346" si="2854">IF($F$290, 0, IF($F$299, IF(AND(COLUMN($HZ$346)-COLUMN($GL$343)=$Q$291,ROW($HZ$346)-ROW($GL$343)=$K$291), U$290, HZ346), HZ346))</f>
        <v>0</v>
      </c>
      <c r="IA346" s="21">
        <f t="shared" si="2854"/>
        <v>0</v>
      </c>
      <c r="IB346" s="21">
        <f t="shared" si="2854"/>
        <v>0</v>
      </c>
      <c r="IC346" s="21">
        <f t="shared" si="2854"/>
        <v>0</v>
      </c>
      <c r="ID346" s="21">
        <f t="shared" si="2854"/>
        <v>0</v>
      </c>
      <c r="IE346" s="21">
        <f t="shared" si="2854"/>
        <v>0</v>
      </c>
      <c r="IF346" s="21">
        <f t="shared" si="2854"/>
        <v>0</v>
      </c>
      <c r="IG346" s="21">
        <f t="shared" si="2854"/>
        <v>0</v>
      </c>
      <c r="IH346" s="21">
        <f t="shared" ref="IH346:IO346" si="2855">IF($F$290, 0, IF($F$299, IF(AND(COLUMN($IH$346)-COLUMN($GL$343)=$Q$291,ROW($IH$346)-ROW($GL$343)=$K$291), U$290, IH346), IH346))</f>
        <v>0</v>
      </c>
      <c r="II346" s="21">
        <f t="shared" si="2855"/>
        <v>0</v>
      </c>
      <c r="IJ346" s="21">
        <f t="shared" si="2855"/>
        <v>0</v>
      </c>
      <c r="IK346" s="21">
        <f t="shared" si="2855"/>
        <v>0</v>
      </c>
      <c r="IL346" s="21">
        <f t="shared" si="2855"/>
        <v>0</v>
      </c>
      <c r="IM346" s="21">
        <f t="shared" si="2855"/>
        <v>0</v>
      </c>
      <c r="IN346" s="21">
        <f t="shared" si="2855"/>
        <v>0</v>
      </c>
      <c r="IO346" s="21">
        <f t="shared" si="2855"/>
        <v>0</v>
      </c>
      <c r="IP346" s="21">
        <f t="shared" ref="IP346:IW346" si="2856">IF($F$290, 0, IF($F$299, IF(AND(COLUMN($IP$346)-COLUMN($GL$343)=$Q$291,ROW($IP$346)-ROW($GL$343)=$K$291), U$290, IP346), IP346))</f>
        <v>0</v>
      </c>
      <c r="IQ346" s="21">
        <f t="shared" si="2856"/>
        <v>0</v>
      </c>
      <c r="IR346" s="21">
        <f t="shared" si="2856"/>
        <v>0</v>
      </c>
      <c r="IS346" s="21">
        <f t="shared" si="2856"/>
        <v>0</v>
      </c>
      <c r="IT346" s="21">
        <f t="shared" si="2856"/>
        <v>0</v>
      </c>
      <c r="IU346" s="21">
        <f t="shared" si="2856"/>
        <v>0</v>
      </c>
      <c r="IV346" s="21">
        <f t="shared" si="2856"/>
        <v>0</v>
      </c>
      <c r="IW346" s="21">
        <f t="shared" si="2856"/>
        <v>0</v>
      </c>
      <c r="IX346" s="21">
        <f t="shared" ref="IX346:JE346" si="2857">IF($F$290, 0, IF($G$299, IF(AND(COLUMN($IX$346)-COLUMN($IX$343)=$Q$291,ROW($IX$346)-ROW($IX$343)=$K$291), U$290, IX346), IX346))</f>
        <v>0</v>
      </c>
      <c r="IY346" s="21">
        <f t="shared" si="2857"/>
        <v>0</v>
      </c>
      <c r="IZ346" s="21">
        <f t="shared" si="2857"/>
        <v>0</v>
      </c>
      <c r="JA346" s="21">
        <f t="shared" si="2857"/>
        <v>0</v>
      </c>
      <c r="JB346" s="21">
        <f t="shared" si="2857"/>
        <v>0</v>
      </c>
      <c r="JC346" s="21">
        <f t="shared" si="2857"/>
        <v>0</v>
      </c>
      <c r="JD346" s="21">
        <f t="shared" si="2857"/>
        <v>0</v>
      </c>
      <c r="JE346" s="21">
        <f t="shared" si="2857"/>
        <v>0</v>
      </c>
      <c r="JF346" s="21">
        <f t="shared" ref="JF346:JM346" si="2858">IF($F$290, 0, IF($G$299, IF(AND(COLUMN($JF$346)-COLUMN($IX$343)=$Q$291,ROW($JF$346)-ROW($IX$343)=$K$291), U$290, JF346), JF346))</f>
        <v>0</v>
      </c>
      <c r="JG346" s="21">
        <f t="shared" si="2858"/>
        <v>0</v>
      </c>
      <c r="JH346" s="21">
        <f t="shared" si="2858"/>
        <v>0</v>
      </c>
      <c r="JI346" s="21">
        <f t="shared" si="2858"/>
        <v>0</v>
      </c>
      <c r="JJ346" s="21">
        <f t="shared" si="2858"/>
        <v>0</v>
      </c>
      <c r="JK346" s="21">
        <f t="shared" si="2858"/>
        <v>0</v>
      </c>
      <c r="JL346" s="21">
        <f t="shared" si="2858"/>
        <v>0</v>
      </c>
      <c r="JM346" s="21">
        <f t="shared" si="2858"/>
        <v>0</v>
      </c>
      <c r="JN346" s="21">
        <f t="shared" ref="JN346:JU346" si="2859">IF($F$290, 0, IF($G$299, IF(AND(COLUMN($JN$346)-COLUMN($IX$343)=$Q$291,ROW($JN$346)-ROW($IX$343)=$K$291), U$290, JN346), JN346))</f>
        <v>0</v>
      </c>
      <c r="JO346" s="21">
        <f t="shared" si="2859"/>
        <v>0</v>
      </c>
      <c r="JP346" s="21">
        <f t="shared" si="2859"/>
        <v>0</v>
      </c>
      <c r="JQ346" s="21">
        <f t="shared" si="2859"/>
        <v>0</v>
      </c>
      <c r="JR346" s="21">
        <f t="shared" si="2859"/>
        <v>0</v>
      </c>
      <c r="JS346" s="21">
        <f t="shared" si="2859"/>
        <v>0</v>
      </c>
      <c r="JT346" s="21">
        <f t="shared" si="2859"/>
        <v>0</v>
      </c>
      <c r="JU346" s="21">
        <f t="shared" si="2859"/>
        <v>0</v>
      </c>
      <c r="JV346" s="21">
        <f t="shared" ref="JV346:KC346" si="2860">IF($F$290, 0, IF($G$299, IF(AND(COLUMN($JV$346)-COLUMN($IX$343)=$Q$291,ROW($JV$346)-ROW($IX$343)=$K$291), U$290, JV346), JV346))</f>
        <v>0</v>
      </c>
      <c r="JW346" s="21">
        <f t="shared" si="2860"/>
        <v>0</v>
      </c>
      <c r="JX346" s="21">
        <f t="shared" si="2860"/>
        <v>0</v>
      </c>
      <c r="JY346" s="21">
        <f t="shared" si="2860"/>
        <v>0</v>
      </c>
      <c r="JZ346" s="21">
        <f t="shared" si="2860"/>
        <v>0</v>
      </c>
      <c r="KA346" s="21">
        <f t="shared" si="2860"/>
        <v>0</v>
      </c>
      <c r="KB346" s="21">
        <f t="shared" si="2860"/>
        <v>0</v>
      </c>
      <c r="KC346" s="21">
        <f t="shared" si="2860"/>
        <v>0</v>
      </c>
      <c r="KD346" s="21">
        <f t="shared" ref="KD346:KK346" si="2861">IF($F$290, 0, IF($G$299, IF(AND(COLUMN($KD$346)-COLUMN($IX$343)=$Q$291,ROW($KD$346)-ROW($IX$343)=$K$291), U$290, KD346), KD346))</f>
        <v>0</v>
      </c>
      <c r="KE346" s="21">
        <f t="shared" si="2861"/>
        <v>0</v>
      </c>
      <c r="KF346" s="21">
        <f t="shared" si="2861"/>
        <v>0</v>
      </c>
      <c r="KG346" s="21">
        <f t="shared" si="2861"/>
        <v>0</v>
      </c>
      <c r="KH346" s="21">
        <f t="shared" si="2861"/>
        <v>0</v>
      </c>
      <c r="KI346" s="21">
        <f t="shared" si="2861"/>
        <v>0</v>
      </c>
      <c r="KJ346" s="21">
        <f t="shared" si="2861"/>
        <v>0</v>
      </c>
      <c r="KK346" s="21">
        <f t="shared" si="2861"/>
        <v>0</v>
      </c>
      <c r="KL346" s="21">
        <f t="shared" ref="KL346:KS346" si="2862">IF($F$290, 0, IF($G$299, IF(AND(COLUMN($KL$346)-COLUMN($IX$343)=$Q$291,ROW($KL$346)-ROW($IX$343)=$K$291), U$290, KL346), KL346))</f>
        <v>0</v>
      </c>
      <c r="KM346" s="21">
        <f t="shared" si="2862"/>
        <v>0</v>
      </c>
      <c r="KN346" s="21">
        <f t="shared" si="2862"/>
        <v>0</v>
      </c>
      <c r="KO346" s="21">
        <f t="shared" si="2862"/>
        <v>0</v>
      </c>
      <c r="KP346" s="21">
        <f t="shared" si="2862"/>
        <v>0</v>
      </c>
      <c r="KQ346" s="21">
        <f t="shared" si="2862"/>
        <v>0</v>
      </c>
      <c r="KR346" s="21">
        <f t="shared" si="2862"/>
        <v>0</v>
      </c>
      <c r="KS346" s="21">
        <f t="shared" si="2862"/>
        <v>0</v>
      </c>
      <c r="KT346" s="21">
        <f t="shared" ref="KT346:LA346" si="2863">IF($F$290, 0, IF($G$299, IF(AND(COLUMN($KT$346)-COLUMN($IX$343)=$Q$291,ROW($KT$346)-ROW($IX$343)=$K$291), U$290, KT346), KT346))</f>
        <v>0</v>
      </c>
      <c r="KU346" s="21">
        <f t="shared" si="2863"/>
        <v>0</v>
      </c>
      <c r="KV346" s="21">
        <f t="shared" si="2863"/>
        <v>0</v>
      </c>
      <c r="KW346" s="21">
        <f t="shared" si="2863"/>
        <v>0</v>
      </c>
      <c r="KX346" s="21">
        <f t="shared" si="2863"/>
        <v>0</v>
      </c>
      <c r="KY346" s="21">
        <f t="shared" si="2863"/>
        <v>0</v>
      </c>
      <c r="KZ346" s="21">
        <f t="shared" si="2863"/>
        <v>0</v>
      </c>
      <c r="LA346" s="21">
        <f t="shared" si="2863"/>
        <v>0</v>
      </c>
      <c r="LB346" s="21">
        <f t="shared" ref="LB346:LI346" si="2864">IF($F$290, 0, IF($G$299, IF(AND(COLUMN($LB$346)-COLUMN($IX$343)=$Q$291,ROW($LB$346)-ROW($IX$343)=$K$291), U$290, LB346), LB346))</f>
        <v>0</v>
      </c>
      <c r="LC346" s="21">
        <f t="shared" si="2864"/>
        <v>0</v>
      </c>
      <c r="LD346" s="21">
        <f t="shared" si="2864"/>
        <v>0</v>
      </c>
      <c r="LE346" s="21">
        <f t="shared" si="2864"/>
        <v>0</v>
      </c>
      <c r="LF346" s="21">
        <f t="shared" si="2864"/>
        <v>0</v>
      </c>
      <c r="LG346" s="21">
        <f t="shared" si="2864"/>
        <v>0</v>
      </c>
      <c r="LH346" s="21">
        <f t="shared" si="2864"/>
        <v>0</v>
      </c>
      <c r="LI346" s="21">
        <f t="shared" si="2864"/>
        <v>0</v>
      </c>
      <c r="LJ346" s="21">
        <f t="shared" ref="LJ346:LQ346" si="2865">IF($F$290, 0, IF($H$299, IF(AND(COLUMN($LJ$346)-COLUMN($LJ$343)=$Q$291,ROW($LJ$346)-ROW($LJ$343)=$K$291), U$290, LJ346), LJ346))</f>
        <v>0</v>
      </c>
      <c r="LK346" s="21">
        <f t="shared" si="2865"/>
        <v>0</v>
      </c>
      <c r="LL346" s="21">
        <f t="shared" si="2865"/>
        <v>0</v>
      </c>
      <c r="LM346" s="21">
        <f t="shared" si="2865"/>
        <v>0</v>
      </c>
      <c r="LN346" s="21">
        <f t="shared" si="2865"/>
        <v>0</v>
      </c>
      <c r="LO346" s="21">
        <f t="shared" si="2865"/>
        <v>0</v>
      </c>
      <c r="LP346" s="21">
        <f t="shared" si="2865"/>
        <v>0</v>
      </c>
      <c r="LQ346" s="21">
        <f t="shared" si="2865"/>
        <v>0</v>
      </c>
      <c r="LR346" s="21">
        <f t="shared" ref="LR346:LY346" si="2866">IF($F$290, 0, IF($H$299, IF(AND(COLUMN($LR$346)-COLUMN($LJ$343)=$Q$291,ROW($LR$346)-ROW($LJ$343)=$K$291), U$290, LR346), LR346))</f>
        <v>0</v>
      </c>
      <c r="LS346" s="21">
        <f t="shared" si="2866"/>
        <v>0</v>
      </c>
      <c r="LT346" s="21">
        <f t="shared" si="2866"/>
        <v>0</v>
      </c>
      <c r="LU346" s="21">
        <f t="shared" si="2866"/>
        <v>0</v>
      </c>
      <c r="LV346" s="21">
        <f t="shared" si="2866"/>
        <v>0</v>
      </c>
      <c r="LW346" s="21">
        <f t="shared" si="2866"/>
        <v>0</v>
      </c>
      <c r="LX346" s="21">
        <f t="shared" si="2866"/>
        <v>0</v>
      </c>
      <c r="LY346" s="21">
        <f t="shared" si="2866"/>
        <v>0</v>
      </c>
      <c r="LZ346" s="21">
        <f t="shared" ref="LZ346:MG346" si="2867">IF($F$290, 0, IF($H$299, IF(AND(COLUMN($LZ$346)-COLUMN($LJ$343)=$Q$291,ROW($LZ$346)-ROW($LJ$343)=$K$291), U$290, LZ346), LZ346))</f>
        <v>0</v>
      </c>
      <c r="MA346" s="21">
        <f t="shared" si="2867"/>
        <v>0</v>
      </c>
      <c r="MB346" s="21">
        <f t="shared" si="2867"/>
        <v>0</v>
      </c>
      <c r="MC346" s="21">
        <f t="shared" si="2867"/>
        <v>0</v>
      </c>
      <c r="MD346" s="21">
        <f t="shared" si="2867"/>
        <v>0</v>
      </c>
      <c r="ME346" s="21">
        <f t="shared" si="2867"/>
        <v>0</v>
      </c>
      <c r="MF346" s="21">
        <f t="shared" si="2867"/>
        <v>0</v>
      </c>
      <c r="MG346" s="21">
        <f t="shared" si="2867"/>
        <v>0</v>
      </c>
      <c r="MH346" s="21">
        <f t="shared" ref="MH346:MO346" si="2868">IF($F$290, 0, IF($H$299, IF(AND(COLUMN($MH$346)-COLUMN($LJ$343)=$Q$291,ROW($MH$346)-ROW($LJ$343)=$K$291), U$290, MH346), MH346))</f>
        <v>0</v>
      </c>
      <c r="MI346" s="21">
        <f t="shared" si="2868"/>
        <v>0</v>
      </c>
      <c r="MJ346" s="21">
        <f t="shared" si="2868"/>
        <v>0</v>
      </c>
      <c r="MK346" s="21">
        <f t="shared" si="2868"/>
        <v>0</v>
      </c>
      <c r="ML346" s="21">
        <f t="shared" si="2868"/>
        <v>0</v>
      </c>
      <c r="MM346" s="21">
        <f t="shared" si="2868"/>
        <v>0</v>
      </c>
      <c r="MN346" s="21">
        <f t="shared" si="2868"/>
        <v>0</v>
      </c>
      <c r="MO346" s="21">
        <f t="shared" si="2868"/>
        <v>0</v>
      </c>
      <c r="MP346" s="21">
        <f t="shared" ref="MP346:MW346" si="2869">IF($F$290, 0, IF($H$299, IF(AND(COLUMN($MP$346)-COLUMN($LJ$343)=$Q$291,ROW($MP$346)-ROW($LJ$343)=$K$291), U$290, MP346), MP346))</f>
        <v>0</v>
      </c>
      <c r="MQ346" s="21">
        <f t="shared" si="2869"/>
        <v>0</v>
      </c>
      <c r="MR346" s="21">
        <f t="shared" si="2869"/>
        <v>0</v>
      </c>
      <c r="MS346" s="21">
        <f t="shared" si="2869"/>
        <v>0</v>
      </c>
      <c r="MT346" s="21">
        <f t="shared" si="2869"/>
        <v>0</v>
      </c>
      <c r="MU346" s="21">
        <f t="shared" si="2869"/>
        <v>0</v>
      </c>
      <c r="MV346" s="21">
        <f t="shared" si="2869"/>
        <v>0</v>
      </c>
      <c r="MW346" s="21">
        <f t="shared" si="2869"/>
        <v>0</v>
      </c>
      <c r="MX346" s="21">
        <f t="shared" ref="MX346:NE346" si="2870">IF($F$290, 0, IF($H$299, IF(AND(COLUMN($MX$346)-COLUMN($LJ$343)=$Q$291,ROW($MX$346)-ROW($LJ$343)=$K$291), U$290, MX346), MX346))</f>
        <v>0</v>
      </c>
      <c r="MY346" s="21">
        <f t="shared" si="2870"/>
        <v>0</v>
      </c>
      <c r="MZ346" s="21">
        <f t="shared" si="2870"/>
        <v>0</v>
      </c>
      <c r="NA346" s="21">
        <f t="shared" si="2870"/>
        <v>0</v>
      </c>
      <c r="NB346" s="21">
        <f t="shared" si="2870"/>
        <v>0</v>
      </c>
      <c r="NC346" s="21">
        <f t="shared" si="2870"/>
        <v>0</v>
      </c>
      <c r="ND346" s="21">
        <f t="shared" si="2870"/>
        <v>0</v>
      </c>
      <c r="NE346" s="21">
        <f t="shared" si="2870"/>
        <v>0</v>
      </c>
      <c r="NF346" s="21">
        <f t="shared" ref="NF346:NM346" si="2871">IF($F$290, 0, IF($H$299, IF(AND(COLUMN($NF$346)-COLUMN($LJ$343)=$Q$291,ROW($NF$346)-ROW($LJ$343)=$K$291), U$290, NF346), NF346))</f>
        <v>0</v>
      </c>
      <c r="NG346" s="21">
        <f t="shared" si="2871"/>
        <v>0</v>
      </c>
      <c r="NH346" s="21">
        <f t="shared" si="2871"/>
        <v>0</v>
      </c>
      <c r="NI346" s="21">
        <f t="shared" si="2871"/>
        <v>0</v>
      </c>
      <c r="NJ346" s="21">
        <f t="shared" si="2871"/>
        <v>0</v>
      </c>
      <c r="NK346" s="21">
        <f t="shared" si="2871"/>
        <v>0</v>
      </c>
      <c r="NL346" s="21">
        <f t="shared" si="2871"/>
        <v>0</v>
      </c>
      <c r="NM346" s="21">
        <f t="shared" si="2871"/>
        <v>0</v>
      </c>
      <c r="NN346" s="21">
        <f t="shared" ref="NN346:NU346" si="2872">IF($F$290, 0, IF($H$299, IF(AND(COLUMN($NN$346)-COLUMN($LJ$343)=$Q$291,ROW($NN$346)-ROW($LJ$343)=$K$291), U$290, NN346), NN346))</f>
        <v>0</v>
      </c>
      <c r="NO346" s="21">
        <f t="shared" si="2872"/>
        <v>0</v>
      </c>
      <c r="NP346" s="21">
        <f t="shared" si="2872"/>
        <v>0</v>
      </c>
      <c r="NQ346" s="21">
        <f t="shared" si="2872"/>
        <v>0</v>
      </c>
      <c r="NR346" s="21">
        <f t="shared" si="2872"/>
        <v>0</v>
      </c>
      <c r="NS346" s="21">
        <f t="shared" si="2872"/>
        <v>0</v>
      </c>
      <c r="NT346" s="21">
        <f t="shared" si="2872"/>
        <v>0</v>
      </c>
      <c r="NU346" s="21">
        <f t="shared" si="2872"/>
        <v>0</v>
      </c>
      <c r="NV346" s="21">
        <f t="shared" ref="NV346:OC346" si="2873">IF($F$290, 0, IF($I$299, IF(AND(COLUMN($NV$346)-COLUMN($NV$343)=$Q$291,ROW($NV$346)-ROW($NV$343)=$K$291), U$290, NV346), NV346))</f>
        <v>0</v>
      </c>
      <c r="NW346" s="21">
        <f t="shared" si="2873"/>
        <v>0</v>
      </c>
      <c r="NX346" s="21">
        <f t="shared" si="2873"/>
        <v>0</v>
      </c>
      <c r="NY346" s="21">
        <f t="shared" si="2873"/>
        <v>0</v>
      </c>
      <c r="NZ346" s="21">
        <f t="shared" si="2873"/>
        <v>0</v>
      </c>
      <c r="OA346" s="21">
        <f t="shared" si="2873"/>
        <v>0</v>
      </c>
      <c r="OB346" s="21">
        <f t="shared" si="2873"/>
        <v>0</v>
      </c>
      <c r="OC346" s="21">
        <f t="shared" si="2873"/>
        <v>0</v>
      </c>
      <c r="OD346" s="21">
        <f t="shared" ref="OD346:OK346" si="2874">IF($F$290, 0, IF($I$299, IF(AND(COLUMN($OD$346)-COLUMN($NV$343)=$Q$291,ROW($OD$346)-ROW($NV$343)=$K$291), U$290, OD346), OD346))</f>
        <v>0</v>
      </c>
      <c r="OE346" s="21">
        <f t="shared" si="2874"/>
        <v>0</v>
      </c>
      <c r="OF346" s="21">
        <f t="shared" si="2874"/>
        <v>0</v>
      </c>
      <c r="OG346" s="21">
        <f t="shared" si="2874"/>
        <v>0</v>
      </c>
      <c r="OH346" s="21">
        <f t="shared" si="2874"/>
        <v>0</v>
      </c>
      <c r="OI346" s="21">
        <f t="shared" si="2874"/>
        <v>0</v>
      </c>
      <c r="OJ346" s="21">
        <f t="shared" si="2874"/>
        <v>0</v>
      </c>
      <c r="OK346" s="21">
        <f t="shared" si="2874"/>
        <v>0</v>
      </c>
      <c r="OL346" s="21">
        <f t="shared" ref="OL346:OS346" si="2875">IF($F$290, 0, IF($I$299, IF(AND(COLUMN($OL$346)-COLUMN($NV$343)=$Q$291,ROW($OL$346)-ROW($NV$343)=$K$291), U$290, OL346), OL346))</f>
        <v>0</v>
      </c>
      <c r="OM346" s="21">
        <f t="shared" si="2875"/>
        <v>0</v>
      </c>
      <c r="ON346" s="21">
        <f t="shared" si="2875"/>
        <v>0</v>
      </c>
      <c r="OO346" s="21">
        <f t="shared" si="2875"/>
        <v>0</v>
      </c>
      <c r="OP346" s="21">
        <f t="shared" si="2875"/>
        <v>0</v>
      </c>
      <c r="OQ346" s="21">
        <f t="shared" si="2875"/>
        <v>0</v>
      </c>
      <c r="OR346" s="21">
        <f t="shared" si="2875"/>
        <v>0</v>
      </c>
      <c r="OS346" s="21">
        <f t="shared" si="2875"/>
        <v>0</v>
      </c>
      <c r="OT346" s="21">
        <f t="shared" ref="OT346:PA346" si="2876">IF($F$290, 0, IF($I$299, IF(AND(COLUMN($OT$346)-COLUMN($NV$343)=$Q$291,ROW($OT$346)-ROW($NV$343)=$K$291), U$290, OT346), OT346))</f>
        <v>0</v>
      </c>
      <c r="OU346" s="21">
        <f t="shared" si="2876"/>
        <v>0</v>
      </c>
      <c r="OV346" s="21">
        <f t="shared" si="2876"/>
        <v>0</v>
      </c>
      <c r="OW346" s="21">
        <f t="shared" si="2876"/>
        <v>0</v>
      </c>
      <c r="OX346" s="21">
        <f t="shared" si="2876"/>
        <v>0</v>
      </c>
      <c r="OY346" s="21">
        <f t="shared" si="2876"/>
        <v>0</v>
      </c>
      <c r="OZ346" s="21">
        <f t="shared" si="2876"/>
        <v>0</v>
      </c>
      <c r="PA346" s="21">
        <f t="shared" si="2876"/>
        <v>0</v>
      </c>
      <c r="PB346" s="21">
        <f t="shared" ref="PB346:PI346" si="2877">IF($F$290, 0, IF($I$299, IF(AND(COLUMN($PB$346)-COLUMN($NV$343)=$Q$291,ROW($PB$346)-ROW($NV$343)=$K$291), U$290, PB346), PB346))</f>
        <v>0</v>
      </c>
      <c r="PC346" s="21">
        <f t="shared" si="2877"/>
        <v>0</v>
      </c>
      <c r="PD346" s="21">
        <f t="shared" si="2877"/>
        <v>0</v>
      </c>
      <c r="PE346" s="21">
        <f t="shared" si="2877"/>
        <v>0</v>
      </c>
      <c r="PF346" s="21">
        <f t="shared" si="2877"/>
        <v>0</v>
      </c>
      <c r="PG346" s="21">
        <f t="shared" si="2877"/>
        <v>0</v>
      </c>
      <c r="PH346" s="21">
        <f t="shared" si="2877"/>
        <v>0</v>
      </c>
      <c r="PI346" s="21">
        <f t="shared" si="2877"/>
        <v>0</v>
      </c>
      <c r="PJ346" s="21">
        <f t="shared" ref="PJ346:PQ346" si="2878">IF($F$290, 0, IF($I$299, IF(AND(COLUMN($PJ$346)-COLUMN($NV$343)=$Q$291,ROW($PJ$346)-ROW($NV$343)=$K$291), U$290, PJ346), PJ346))</f>
        <v>0</v>
      </c>
      <c r="PK346" s="21">
        <f t="shared" si="2878"/>
        <v>0</v>
      </c>
      <c r="PL346" s="21">
        <f t="shared" si="2878"/>
        <v>0</v>
      </c>
      <c r="PM346" s="21">
        <f t="shared" si="2878"/>
        <v>0</v>
      </c>
      <c r="PN346" s="21">
        <f t="shared" si="2878"/>
        <v>0</v>
      </c>
      <c r="PO346" s="21">
        <f t="shared" si="2878"/>
        <v>0</v>
      </c>
      <c r="PP346" s="21">
        <f t="shared" si="2878"/>
        <v>0</v>
      </c>
      <c r="PQ346" s="21">
        <f t="shared" si="2878"/>
        <v>0</v>
      </c>
      <c r="PR346" s="21">
        <f t="shared" ref="PR346:PY346" si="2879">IF($F$290, 0, IF($I$299, IF(AND(COLUMN($PR$346)-COLUMN($NV$343)=$Q$291,ROW($PR$346)-ROW($NV$343)=$K$291), U$290, PR346), PR346))</f>
        <v>0</v>
      </c>
      <c r="PS346" s="21">
        <f t="shared" si="2879"/>
        <v>0</v>
      </c>
      <c r="PT346" s="21">
        <f t="shared" si="2879"/>
        <v>0</v>
      </c>
      <c r="PU346" s="21">
        <f t="shared" si="2879"/>
        <v>0</v>
      </c>
      <c r="PV346" s="21">
        <f t="shared" si="2879"/>
        <v>0</v>
      </c>
      <c r="PW346" s="21">
        <f t="shared" si="2879"/>
        <v>0</v>
      </c>
      <c r="PX346" s="21">
        <f t="shared" si="2879"/>
        <v>0</v>
      </c>
      <c r="PY346" s="21">
        <f t="shared" si="2879"/>
        <v>0</v>
      </c>
      <c r="PZ346" s="21">
        <f t="shared" ref="PZ346:QG346" si="2880">IF($F$290, 0, IF($I$299, IF(AND(COLUMN($PZ$346)-COLUMN($NV$343)=$Q$291,ROW($PZ$346)-ROW($NV$343)=$K$291), U$290, PZ346), PZ346))</f>
        <v>0</v>
      </c>
      <c r="QA346" s="21">
        <f t="shared" si="2880"/>
        <v>0</v>
      </c>
      <c r="QB346" s="21">
        <f t="shared" si="2880"/>
        <v>0</v>
      </c>
      <c r="QC346" s="21">
        <f t="shared" si="2880"/>
        <v>0</v>
      </c>
      <c r="QD346" s="21">
        <f t="shared" si="2880"/>
        <v>0</v>
      </c>
      <c r="QE346" s="21">
        <f t="shared" si="2880"/>
        <v>0</v>
      </c>
      <c r="QF346" s="21">
        <f t="shared" si="2880"/>
        <v>0</v>
      </c>
      <c r="QG346" s="21">
        <f t="shared" si="2880"/>
        <v>0</v>
      </c>
      <c r="QH346" s="21">
        <f t="shared" ref="QH346:QO346" si="2881">IF($F$290, 0, IF($J$299, IF(AND(COLUMN($QH$346)-COLUMN($QH$343)=$Q$291,ROW($QH$346)-ROW($QH$343)=$K$291), U$290, QH346), QH346))</f>
        <v>0</v>
      </c>
      <c r="QI346" s="21">
        <f t="shared" si="2881"/>
        <v>0</v>
      </c>
      <c r="QJ346" s="21">
        <f t="shared" si="2881"/>
        <v>0</v>
      </c>
      <c r="QK346" s="21">
        <f t="shared" si="2881"/>
        <v>0</v>
      </c>
      <c r="QL346" s="21">
        <f t="shared" si="2881"/>
        <v>0</v>
      </c>
      <c r="QM346" s="21">
        <f t="shared" si="2881"/>
        <v>0</v>
      </c>
      <c r="QN346" s="21">
        <f t="shared" si="2881"/>
        <v>0</v>
      </c>
      <c r="QO346" s="21">
        <f t="shared" si="2881"/>
        <v>0</v>
      </c>
      <c r="QP346" s="21">
        <f t="shared" ref="QP346:QW346" si="2882">IF($F$290, 0, IF($J$299, IF(AND(COLUMN($QP$346)-COLUMN($QH$343)=$Q$291,ROW($QP$346)-ROW($QH$343)=$K$291), U$290, QP346), QP346))</f>
        <v>0</v>
      </c>
      <c r="QQ346" s="21">
        <f t="shared" si="2882"/>
        <v>0</v>
      </c>
      <c r="QR346" s="21">
        <f t="shared" si="2882"/>
        <v>0</v>
      </c>
      <c r="QS346" s="21">
        <f t="shared" si="2882"/>
        <v>0</v>
      </c>
      <c r="QT346" s="21">
        <f t="shared" si="2882"/>
        <v>0</v>
      </c>
      <c r="QU346" s="21">
        <f t="shared" si="2882"/>
        <v>0</v>
      </c>
      <c r="QV346" s="21">
        <f t="shared" si="2882"/>
        <v>0</v>
      </c>
      <c r="QW346" s="21">
        <f t="shared" si="2882"/>
        <v>0</v>
      </c>
      <c r="QX346" s="21">
        <f t="shared" ref="QX346:RE346" si="2883">IF($F$290, 0, IF($J$299, IF(AND(COLUMN($QX$346)-COLUMN($QH$343)=$Q$291,ROW($QX$346)-ROW($QH$343)=$K$291), U$290, QX346), QX346))</f>
        <v>0</v>
      </c>
      <c r="QY346" s="21">
        <f t="shared" si="2883"/>
        <v>0</v>
      </c>
      <c r="QZ346" s="21">
        <f t="shared" si="2883"/>
        <v>0</v>
      </c>
      <c r="RA346" s="21">
        <f t="shared" si="2883"/>
        <v>0</v>
      </c>
      <c r="RB346" s="21">
        <f t="shared" si="2883"/>
        <v>0</v>
      </c>
      <c r="RC346" s="21">
        <f t="shared" si="2883"/>
        <v>0</v>
      </c>
      <c r="RD346" s="21">
        <f t="shared" si="2883"/>
        <v>0</v>
      </c>
      <c r="RE346" s="21">
        <f t="shared" si="2883"/>
        <v>0</v>
      </c>
      <c r="RF346" s="21">
        <f t="shared" ref="RF346:RM346" si="2884">IF($F$290, 0, IF($J$299, IF(AND(COLUMN($RF$346)-COLUMN($QH$343)=$Q$291,ROW($RF$346)-ROW($QH$343)=$K$291), U$290, RF346), RF346))</f>
        <v>0</v>
      </c>
      <c r="RG346" s="21">
        <f t="shared" si="2884"/>
        <v>0</v>
      </c>
      <c r="RH346" s="21">
        <f t="shared" si="2884"/>
        <v>0</v>
      </c>
      <c r="RI346" s="21">
        <f t="shared" si="2884"/>
        <v>0</v>
      </c>
      <c r="RJ346" s="21">
        <f t="shared" si="2884"/>
        <v>0</v>
      </c>
      <c r="RK346" s="21">
        <f t="shared" si="2884"/>
        <v>0</v>
      </c>
      <c r="RL346" s="21">
        <f t="shared" si="2884"/>
        <v>0</v>
      </c>
      <c r="RM346" s="21">
        <f t="shared" si="2884"/>
        <v>0</v>
      </c>
      <c r="RN346" s="21">
        <f t="shared" ref="RN346:RU346" si="2885">IF($F$290, 0, IF($J$299, IF(AND(COLUMN($RN$346)-COLUMN($QH$343)=$Q$291,ROW($RN$346)-ROW($QH$343)=$K$291), U$290, RN346), RN346))</f>
        <v>0</v>
      </c>
      <c r="RO346" s="21">
        <f t="shared" si="2885"/>
        <v>0</v>
      </c>
      <c r="RP346" s="21">
        <f t="shared" si="2885"/>
        <v>0</v>
      </c>
      <c r="RQ346" s="21">
        <f t="shared" si="2885"/>
        <v>0</v>
      </c>
      <c r="RR346" s="21">
        <f t="shared" si="2885"/>
        <v>0</v>
      </c>
      <c r="RS346" s="21">
        <f t="shared" si="2885"/>
        <v>0</v>
      </c>
      <c r="RT346" s="21">
        <f t="shared" si="2885"/>
        <v>0</v>
      </c>
      <c r="RU346" s="21">
        <f t="shared" si="2885"/>
        <v>0</v>
      </c>
      <c r="RV346" s="21">
        <f t="shared" ref="RV346:SC346" si="2886">IF($F$290, 0, IF($J$299, IF(AND(COLUMN($RV$346)-COLUMN($QH$343)=$Q$291,ROW($RV$346)-ROW($QH$343)=$K$291), U$290, RV346), RV346))</f>
        <v>0</v>
      </c>
      <c r="RW346" s="21">
        <f t="shared" si="2886"/>
        <v>0</v>
      </c>
      <c r="RX346" s="21">
        <f t="shared" si="2886"/>
        <v>0</v>
      </c>
      <c r="RY346" s="21">
        <f t="shared" si="2886"/>
        <v>0</v>
      </c>
      <c r="RZ346" s="21">
        <f t="shared" si="2886"/>
        <v>0</v>
      </c>
      <c r="SA346" s="21">
        <f t="shared" si="2886"/>
        <v>0</v>
      </c>
      <c r="SB346" s="21">
        <f t="shared" si="2886"/>
        <v>0</v>
      </c>
      <c r="SC346" s="21">
        <f t="shared" si="2886"/>
        <v>0</v>
      </c>
      <c r="SD346" s="21">
        <f t="shared" ref="SD346:SK346" si="2887">IF($F$290, 0, IF($J$299, IF(AND(COLUMN($SD$346)-COLUMN($QH$343)=$Q$291,ROW($SD$346)-ROW($QH$343)=$K$291), U$290, SD346), SD346))</f>
        <v>0</v>
      </c>
      <c r="SE346" s="21">
        <f t="shared" si="2887"/>
        <v>0</v>
      </c>
      <c r="SF346" s="21">
        <f t="shared" si="2887"/>
        <v>0</v>
      </c>
      <c r="SG346" s="21">
        <f t="shared" si="2887"/>
        <v>0</v>
      </c>
      <c r="SH346" s="21">
        <f t="shared" si="2887"/>
        <v>0</v>
      </c>
      <c r="SI346" s="21">
        <f t="shared" si="2887"/>
        <v>0</v>
      </c>
      <c r="SJ346" s="21">
        <f t="shared" si="2887"/>
        <v>0</v>
      </c>
      <c r="SK346" s="21">
        <f t="shared" si="2887"/>
        <v>0</v>
      </c>
      <c r="SL346" s="21">
        <f t="shared" ref="SL346:SS346" si="2888">IF($F$290, 0, IF($J$299, IF(AND(COLUMN($SL$346)-COLUMN($QH$343)=$Q$291,ROW($SL$346)-ROW($QH$343)=$K$291), U$290, SL346), SL346))</f>
        <v>0</v>
      </c>
      <c r="SM346" s="21">
        <f t="shared" si="2888"/>
        <v>0</v>
      </c>
      <c r="SN346" s="21">
        <f t="shared" si="2888"/>
        <v>0</v>
      </c>
      <c r="SO346" s="21">
        <f t="shared" si="2888"/>
        <v>0</v>
      </c>
      <c r="SP346" s="21">
        <f t="shared" si="2888"/>
        <v>0</v>
      </c>
      <c r="SQ346" s="21">
        <f t="shared" si="2888"/>
        <v>0</v>
      </c>
      <c r="SR346" s="21">
        <f t="shared" si="2888"/>
        <v>0</v>
      </c>
      <c r="SS346" s="21">
        <f t="shared" si="2888"/>
        <v>0</v>
      </c>
    </row>
    <row r="347" spans="2:513" ht="15" customHeight="1" x14ac:dyDescent="0.25">
      <c r="B347" s="21">
        <f t="shared" ref="B347:I347" si="2889">IF($F$290, 0, IF($C$299, IF(AND(COLUMN($B$347)-COLUMN($B$343)=$Q$291,ROW($B$347)-ROW($B$343)=$K$291), U$290, B347), B347))</f>
        <v>0</v>
      </c>
      <c r="C347" s="21">
        <f t="shared" si="2889"/>
        <v>0</v>
      </c>
      <c r="D347" s="21">
        <f t="shared" si="2889"/>
        <v>0</v>
      </c>
      <c r="E347" s="21">
        <f t="shared" si="2889"/>
        <v>0</v>
      </c>
      <c r="F347" s="21">
        <f t="shared" si="2889"/>
        <v>0</v>
      </c>
      <c r="G347" s="21">
        <f t="shared" si="2889"/>
        <v>0</v>
      </c>
      <c r="H347" s="21">
        <f t="shared" si="2889"/>
        <v>0</v>
      </c>
      <c r="I347" s="21">
        <f t="shared" si="2889"/>
        <v>0</v>
      </c>
      <c r="J347" s="21">
        <f t="shared" ref="J347:Q347" si="2890">IF($F$290, 0, IF($C$299, IF(AND(COLUMN($J$347)-COLUMN($B$343)=$Q$291,ROW($J$347)-ROW($B$343)=$K$291), U$290, J347), J347))</f>
        <v>0</v>
      </c>
      <c r="K347" s="21">
        <f t="shared" si="2890"/>
        <v>0</v>
      </c>
      <c r="L347" s="21">
        <f t="shared" si="2890"/>
        <v>0</v>
      </c>
      <c r="M347" s="21">
        <f t="shared" si="2890"/>
        <v>0</v>
      </c>
      <c r="N347" s="21">
        <f t="shared" si="2890"/>
        <v>0</v>
      </c>
      <c r="O347" s="21">
        <f t="shared" si="2890"/>
        <v>0</v>
      </c>
      <c r="P347" s="21">
        <f t="shared" si="2890"/>
        <v>0</v>
      </c>
      <c r="Q347" s="21">
        <f t="shared" si="2890"/>
        <v>0</v>
      </c>
      <c r="R347" s="21">
        <f>IF($F$290, 0, IF($C$299, IF(AND(COLUMN($R$347)-COLUMN($B$343)=$Q$291,ROW($R$347)-ROW($B$343)=$K$291), U$290, R347), R347))</f>
        <v>0</v>
      </c>
      <c r="S347" s="21">
        <f t="shared" ref="S347:Y347" si="2891">IF($F$290, 0, IF($C$299, IF(AND(COLUMN($R$347)-COLUMN($B$343)=$Q$291,ROW($R$347)-ROW($B$343)=$K$291), V$290, S347), S347))</f>
        <v>0</v>
      </c>
      <c r="T347" s="21">
        <f t="shared" si="2891"/>
        <v>0</v>
      </c>
      <c r="U347" s="21">
        <f t="shared" si="2891"/>
        <v>0</v>
      </c>
      <c r="V347" s="21">
        <f t="shared" si="2891"/>
        <v>0</v>
      </c>
      <c r="W347" s="21">
        <f t="shared" si="2891"/>
        <v>0</v>
      </c>
      <c r="X347" s="21">
        <f t="shared" si="2891"/>
        <v>0</v>
      </c>
      <c r="Y347" s="21">
        <f t="shared" si="2891"/>
        <v>0</v>
      </c>
      <c r="Z347" s="21">
        <f t="shared" ref="Z347:AG347" si="2892">IF($F$290, 0, IF($C$299, IF(AND(COLUMN($Z$347)-COLUMN($B$343)=$Q$291,ROW($Z$347)-ROW($B$343)=$K$291), U$290, Z347), Z347))</f>
        <v>0</v>
      </c>
      <c r="AA347" s="21">
        <f t="shared" si="2892"/>
        <v>0</v>
      </c>
      <c r="AB347" s="21">
        <f t="shared" si="2892"/>
        <v>0</v>
      </c>
      <c r="AC347" s="21">
        <f t="shared" si="2892"/>
        <v>0</v>
      </c>
      <c r="AD347" s="21">
        <f t="shared" si="2892"/>
        <v>0</v>
      </c>
      <c r="AE347" s="21">
        <f t="shared" si="2892"/>
        <v>0</v>
      </c>
      <c r="AF347" s="21">
        <f t="shared" si="2892"/>
        <v>0</v>
      </c>
      <c r="AG347" s="21">
        <f t="shared" si="2892"/>
        <v>0</v>
      </c>
      <c r="AH347" s="21">
        <f t="shared" ref="AH347:AO347" si="2893">IF($F$290, 0, IF($C$299, IF(AND(COLUMN($AH$347)-COLUMN($B$343)=$Q$291,ROW($AH$347)-ROW($B$343)=$K$291), U$290, AH347), AH347))</f>
        <v>0</v>
      </c>
      <c r="AI347" s="21">
        <f t="shared" si="2893"/>
        <v>0</v>
      </c>
      <c r="AJ347" s="21">
        <f t="shared" si="2893"/>
        <v>0</v>
      </c>
      <c r="AK347" s="21">
        <f t="shared" si="2893"/>
        <v>0</v>
      </c>
      <c r="AL347" s="21">
        <f t="shared" si="2893"/>
        <v>0</v>
      </c>
      <c r="AM347" s="21">
        <f t="shared" si="2893"/>
        <v>0</v>
      </c>
      <c r="AN347" s="21">
        <f t="shared" si="2893"/>
        <v>0</v>
      </c>
      <c r="AO347" s="21">
        <f t="shared" si="2893"/>
        <v>0</v>
      </c>
      <c r="AP347" s="21">
        <f t="shared" ref="AP347:AW347" si="2894">IF($F$290, 0, IF($C$299, IF(AND(COLUMN($AP$347)-COLUMN($B$343)=$Q$291,ROW($AP$347)-ROW($B$343)=$K$291), U$290, AP347), AP347))</f>
        <v>0</v>
      </c>
      <c r="AQ347" s="21">
        <f t="shared" si="2894"/>
        <v>0</v>
      </c>
      <c r="AR347" s="21">
        <f t="shared" si="2894"/>
        <v>0</v>
      </c>
      <c r="AS347" s="21">
        <f t="shared" si="2894"/>
        <v>0</v>
      </c>
      <c r="AT347" s="21">
        <f t="shared" si="2894"/>
        <v>0</v>
      </c>
      <c r="AU347" s="21">
        <f t="shared" si="2894"/>
        <v>0</v>
      </c>
      <c r="AV347" s="21">
        <f t="shared" si="2894"/>
        <v>0</v>
      </c>
      <c r="AW347" s="21">
        <f t="shared" si="2894"/>
        <v>0</v>
      </c>
      <c r="AX347" s="21">
        <f t="shared" ref="AX347:BE347" si="2895">IF($F$290, 0, IF($C$299, IF(AND(COLUMN($AX$347)-COLUMN($B$343)=$Q$291,ROW($AX$347)-ROW($B$343)=$K$291), U$290, AX347), AX347))</f>
        <v>0</v>
      </c>
      <c r="AY347" s="21">
        <f t="shared" si="2895"/>
        <v>0</v>
      </c>
      <c r="AZ347" s="21">
        <f t="shared" si="2895"/>
        <v>0</v>
      </c>
      <c r="BA347" s="21">
        <f t="shared" si="2895"/>
        <v>0</v>
      </c>
      <c r="BB347" s="21">
        <f t="shared" si="2895"/>
        <v>0</v>
      </c>
      <c r="BC347" s="21">
        <f t="shared" si="2895"/>
        <v>0</v>
      </c>
      <c r="BD347" s="21">
        <f t="shared" si="2895"/>
        <v>0</v>
      </c>
      <c r="BE347" s="21">
        <f t="shared" si="2895"/>
        <v>0</v>
      </c>
      <c r="BF347" s="21">
        <f t="shared" ref="BF347:BM347" si="2896">IF($F$290, 0, IF($C$299, IF(AND(COLUMN($BF$347)-COLUMN($B$343)=$Q$291,ROW($BF$347)-ROW($B$343)=$K$291), U$290, BF347), BF347))</f>
        <v>0</v>
      </c>
      <c r="BG347" s="21">
        <f t="shared" si="2896"/>
        <v>0</v>
      </c>
      <c r="BH347" s="21">
        <f t="shared" si="2896"/>
        <v>0</v>
      </c>
      <c r="BI347" s="21">
        <f t="shared" si="2896"/>
        <v>0</v>
      </c>
      <c r="BJ347" s="21">
        <f t="shared" si="2896"/>
        <v>0</v>
      </c>
      <c r="BK347" s="21">
        <f t="shared" si="2896"/>
        <v>0</v>
      </c>
      <c r="BL347" s="21">
        <f t="shared" si="2896"/>
        <v>0</v>
      </c>
      <c r="BM347" s="21">
        <f t="shared" si="2896"/>
        <v>0</v>
      </c>
      <c r="BN347" s="21">
        <f t="shared" ref="BN347:BU347" si="2897">IF($F$290, 0, IF($D$299, IF(AND(COLUMN($BN$347)-COLUMN($BN$343)=$Q$291,ROW($BN$347)-ROW($BN$343)=$K$291), U$290, BN347), BN347))</f>
        <v>0</v>
      </c>
      <c r="BO347" s="21">
        <f t="shared" si="2897"/>
        <v>0</v>
      </c>
      <c r="BP347" s="21">
        <f t="shared" si="2897"/>
        <v>0</v>
      </c>
      <c r="BQ347" s="21">
        <f t="shared" si="2897"/>
        <v>0</v>
      </c>
      <c r="BR347" s="21">
        <f t="shared" si="2897"/>
        <v>0</v>
      </c>
      <c r="BS347" s="21">
        <f t="shared" si="2897"/>
        <v>0</v>
      </c>
      <c r="BT347" s="21">
        <f t="shared" si="2897"/>
        <v>0</v>
      </c>
      <c r="BU347" s="21">
        <f t="shared" si="2897"/>
        <v>0</v>
      </c>
      <c r="BV347" s="21">
        <f t="shared" ref="BV347:CC347" si="2898">IF($F$290, 0, IF($D$299, IF(AND(COLUMN($BV$347)-COLUMN($BN$343)=$Q$291,ROW($BV$347)-ROW($BN$343)=$K$291), U$290, BV347), BV347))</f>
        <v>0</v>
      </c>
      <c r="BW347" s="21">
        <f t="shared" si="2898"/>
        <v>0</v>
      </c>
      <c r="BX347" s="21">
        <f t="shared" si="2898"/>
        <v>0</v>
      </c>
      <c r="BY347" s="21">
        <f t="shared" si="2898"/>
        <v>0</v>
      </c>
      <c r="BZ347" s="21">
        <f t="shared" si="2898"/>
        <v>0</v>
      </c>
      <c r="CA347" s="21">
        <f t="shared" si="2898"/>
        <v>0</v>
      </c>
      <c r="CB347" s="21">
        <f t="shared" si="2898"/>
        <v>0</v>
      </c>
      <c r="CC347" s="21">
        <f t="shared" si="2898"/>
        <v>0</v>
      </c>
      <c r="CD347" s="21">
        <f t="shared" ref="CD347:CK347" si="2899">IF($F$290, 0, IF($D$299, IF(AND(COLUMN($CD$347)-COLUMN($BN$343)=$Q$291,ROW($CD$347)-ROW($BN$343)=$K$291), U$290, CD347), CD347))</f>
        <v>0</v>
      </c>
      <c r="CE347" s="21">
        <f t="shared" si="2899"/>
        <v>0</v>
      </c>
      <c r="CF347" s="21">
        <f t="shared" si="2899"/>
        <v>0</v>
      </c>
      <c r="CG347" s="21">
        <f t="shared" si="2899"/>
        <v>0</v>
      </c>
      <c r="CH347" s="21">
        <f t="shared" si="2899"/>
        <v>0</v>
      </c>
      <c r="CI347" s="21">
        <f t="shared" si="2899"/>
        <v>0</v>
      </c>
      <c r="CJ347" s="21">
        <f t="shared" si="2899"/>
        <v>0</v>
      </c>
      <c r="CK347" s="21">
        <f t="shared" si="2899"/>
        <v>0</v>
      </c>
      <c r="CL347" s="21">
        <f t="shared" ref="CL347:CS347" si="2900">IF($F$290, 0, IF($D$299, IF(AND(COLUMN($CL$347)-COLUMN($BN$343)=$Q$291,ROW($CL$347)-ROW($BN$343)=$K$291), U$290, CL347), CL347))</f>
        <v>0</v>
      </c>
      <c r="CM347" s="21">
        <f t="shared" si="2900"/>
        <v>0</v>
      </c>
      <c r="CN347" s="21">
        <f t="shared" si="2900"/>
        <v>0</v>
      </c>
      <c r="CO347" s="21">
        <f t="shared" si="2900"/>
        <v>0</v>
      </c>
      <c r="CP347" s="21">
        <f t="shared" si="2900"/>
        <v>0</v>
      </c>
      <c r="CQ347" s="21">
        <f t="shared" si="2900"/>
        <v>0</v>
      </c>
      <c r="CR347" s="21">
        <f t="shared" si="2900"/>
        <v>0</v>
      </c>
      <c r="CS347" s="21">
        <f t="shared" si="2900"/>
        <v>0</v>
      </c>
      <c r="CT347" s="21">
        <f t="shared" ref="CT347:DA347" si="2901">IF($F$290, 0, IF($D$299, IF(AND(COLUMN($CT$347)-COLUMN($BN$343)=$Q$291,ROW($CT$347)-ROW($BN$343)=$K$291), U$290, CT347), CT347))</f>
        <v>0</v>
      </c>
      <c r="CU347" s="21">
        <f t="shared" si="2901"/>
        <v>0</v>
      </c>
      <c r="CV347" s="21">
        <f t="shared" si="2901"/>
        <v>0</v>
      </c>
      <c r="CW347" s="21">
        <f t="shared" si="2901"/>
        <v>0</v>
      </c>
      <c r="CX347" s="21">
        <f t="shared" si="2901"/>
        <v>0</v>
      </c>
      <c r="CY347" s="21">
        <f t="shared" si="2901"/>
        <v>0</v>
      </c>
      <c r="CZ347" s="21">
        <f t="shared" si="2901"/>
        <v>0</v>
      </c>
      <c r="DA347" s="21">
        <f t="shared" si="2901"/>
        <v>0</v>
      </c>
      <c r="DB347" s="21">
        <f t="shared" ref="DB347:DI347" si="2902">IF($F$290, 0, IF($D$299, IF(AND(COLUMN($DB$347)-COLUMN($BN$343)=$Q$291,ROW($DB$347)-ROW($BN$343)=$K$291), U$290, DB347), DB347))</f>
        <v>0</v>
      </c>
      <c r="DC347" s="21">
        <f t="shared" si="2902"/>
        <v>0</v>
      </c>
      <c r="DD347" s="21">
        <f t="shared" si="2902"/>
        <v>0</v>
      </c>
      <c r="DE347" s="21">
        <f t="shared" si="2902"/>
        <v>0</v>
      </c>
      <c r="DF347" s="21">
        <f t="shared" si="2902"/>
        <v>0</v>
      </c>
      <c r="DG347" s="21">
        <f t="shared" si="2902"/>
        <v>0</v>
      </c>
      <c r="DH347" s="21">
        <f t="shared" si="2902"/>
        <v>0</v>
      </c>
      <c r="DI347" s="21">
        <f t="shared" si="2902"/>
        <v>0</v>
      </c>
      <c r="DJ347" s="21">
        <f t="shared" ref="DJ347:DQ347" si="2903">IF($F$290, 0, IF($D$299, IF(AND(COLUMN($DJ$347)-COLUMN($BN$343)=$Q$291,ROW($DJ$347)-ROW($BN$343)=$K$291), U$290, DJ347), DJ347))</f>
        <v>0</v>
      </c>
      <c r="DK347" s="21">
        <f t="shared" si="2903"/>
        <v>0</v>
      </c>
      <c r="DL347" s="21">
        <f t="shared" si="2903"/>
        <v>0</v>
      </c>
      <c r="DM347" s="21">
        <f t="shared" si="2903"/>
        <v>0</v>
      </c>
      <c r="DN347" s="21">
        <f t="shared" si="2903"/>
        <v>0</v>
      </c>
      <c r="DO347" s="21">
        <f t="shared" si="2903"/>
        <v>0</v>
      </c>
      <c r="DP347" s="21">
        <f t="shared" si="2903"/>
        <v>0</v>
      </c>
      <c r="DQ347" s="21">
        <f t="shared" si="2903"/>
        <v>0</v>
      </c>
      <c r="DR347" s="21">
        <f t="shared" ref="DR347:DY347" si="2904">IF($F$290, 0, IF($D$299, IF(AND(COLUMN($DR$347)-COLUMN($BN$343)=$Q$291,ROW($DR$347)-ROW($BN$343)=$K$291), U$290, DR347), DR347))</f>
        <v>0</v>
      </c>
      <c r="DS347" s="21">
        <f t="shared" si="2904"/>
        <v>0</v>
      </c>
      <c r="DT347" s="21">
        <f t="shared" si="2904"/>
        <v>0</v>
      </c>
      <c r="DU347" s="21">
        <f t="shared" si="2904"/>
        <v>0</v>
      </c>
      <c r="DV347" s="21">
        <f t="shared" si="2904"/>
        <v>0</v>
      </c>
      <c r="DW347" s="21">
        <f t="shared" si="2904"/>
        <v>0</v>
      </c>
      <c r="DX347" s="21">
        <f t="shared" si="2904"/>
        <v>0</v>
      </c>
      <c r="DY347" s="21">
        <f t="shared" si="2904"/>
        <v>0</v>
      </c>
      <c r="DZ347" s="21">
        <f t="shared" ref="DZ347:EG347" si="2905">IF($F$290, 0, IF($E$299, IF(AND(COLUMN($DZ$347)-COLUMN($DZ$343)=$Q$291,ROW($DZ$347)-ROW($DZ$343)=$K$291), U$290, DZ347), DZ347))</f>
        <v>0</v>
      </c>
      <c r="EA347" s="21">
        <f t="shared" si="2905"/>
        <v>0</v>
      </c>
      <c r="EB347" s="21">
        <f t="shared" si="2905"/>
        <v>0</v>
      </c>
      <c r="EC347" s="21">
        <f t="shared" si="2905"/>
        <v>0</v>
      </c>
      <c r="ED347" s="21">
        <f t="shared" si="2905"/>
        <v>0</v>
      </c>
      <c r="EE347" s="21">
        <f t="shared" si="2905"/>
        <v>0</v>
      </c>
      <c r="EF347" s="21">
        <f t="shared" si="2905"/>
        <v>0</v>
      </c>
      <c r="EG347" s="21">
        <f t="shared" si="2905"/>
        <v>0</v>
      </c>
      <c r="EH347" s="21">
        <f t="shared" ref="EH347:EO347" si="2906">IF($F$290, 0, IF($E$299, IF(AND(COLUMN($EH$347)-COLUMN($DZ$343)=$Q$291,ROW($EH$347)-ROW($DZ$343)=$K$291), U$290, EH347), EH347))</f>
        <v>0</v>
      </c>
      <c r="EI347" s="21">
        <f t="shared" si="2906"/>
        <v>0</v>
      </c>
      <c r="EJ347" s="21">
        <f t="shared" si="2906"/>
        <v>0</v>
      </c>
      <c r="EK347" s="21">
        <f t="shared" si="2906"/>
        <v>0</v>
      </c>
      <c r="EL347" s="21">
        <f t="shared" si="2906"/>
        <v>0</v>
      </c>
      <c r="EM347" s="21">
        <f t="shared" si="2906"/>
        <v>0</v>
      </c>
      <c r="EN347" s="21">
        <f t="shared" si="2906"/>
        <v>0</v>
      </c>
      <c r="EO347" s="21">
        <f t="shared" si="2906"/>
        <v>0</v>
      </c>
      <c r="EP347" s="21">
        <f t="shared" ref="EP347:EW347" si="2907">IF($F$290, 0, IF($E$299, IF(AND(COLUMN($EP$347)-COLUMN($DZ$343)=$Q$291,ROW($EP$347)-ROW($DZ$343)=$K$291), U$290, EP347), EP347))</f>
        <v>0</v>
      </c>
      <c r="EQ347" s="21">
        <f t="shared" si="2907"/>
        <v>0</v>
      </c>
      <c r="ER347" s="21">
        <f t="shared" si="2907"/>
        <v>0</v>
      </c>
      <c r="ES347" s="21">
        <f t="shared" si="2907"/>
        <v>0</v>
      </c>
      <c r="ET347" s="21">
        <f t="shared" si="2907"/>
        <v>0</v>
      </c>
      <c r="EU347" s="21">
        <f t="shared" si="2907"/>
        <v>0</v>
      </c>
      <c r="EV347" s="21">
        <f t="shared" si="2907"/>
        <v>0</v>
      </c>
      <c r="EW347" s="21">
        <f t="shared" si="2907"/>
        <v>0</v>
      </c>
      <c r="EX347" s="21">
        <f t="shared" ref="EX347:FE347" si="2908">IF($F$290, 0, IF($E$299, IF(AND(COLUMN($EX$347)-COLUMN($DZ$343)=$Q$291,ROW($EX$347)-ROW($DZ$343)=$K$291), U$290, EX347), EX347))</f>
        <v>0</v>
      </c>
      <c r="EY347" s="21">
        <f t="shared" si="2908"/>
        <v>0</v>
      </c>
      <c r="EZ347" s="21">
        <f t="shared" si="2908"/>
        <v>0</v>
      </c>
      <c r="FA347" s="21">
        <f t="shared" si="2908"/>
        <v>0</v>
      </c>
      <c r="FB347" s="21">
        <f t="shared" si="2908"/>
        <v>0</v>
      </c>
      <c r="FC347" s="21">
        <f t="shared" si="2908"/>
        <v>0</v>
      </c>
      <c r="FD347" s="21">
        <f t="shared" si="2908"/>
        <v>0</v>
      </c>
      <c r="FE347" s="21">
        <f t="shared" si="2908"/>
        <v>0</v>
      </c>
      <c r="FF347" s="21">
        <f t="shared" ref="FF347:FM347" si="2909">IF($F$290, 0, IF($E$299, IF(AND(COLUMN($FF$347)-COLUMN($DZ$343)=$Q$291,ROW($FF$347)-ROW($DZ$343)=$K$291), U$290, FF347), FF347))</f>
        <v>0</v>
      </c>
      <c r="FG347" s="21">
        <f t="shared" si="2909"/>
        <v>0</v>
      </c>
      <c r="FH347" s="21">
        <f t="shared" si="2909"/>
        <v>0</v>
      </c>
      <c r="FI347" s="21">
        <f t="shared" si="2909"/>
        <v>0</v>
      </c>
      <c r="FJ347" s="21">
        <f t="shared" si="2909"/>
        <v>0</v>
      </c>
      <c r="FK347" s="21">
        <f t="shared" si="2909"/>
        <v>0</v>
      </c>
      <c r="FL347" s="21">
        <f t="shared" si="2909"/>
        <v>0</v>
      </c>
      <c r="FM347" s="21">
        <f t="shared" si="2909"/>
        <v>0</v>
      </c>
      <c r="FN347" s="21">
        <f t="shared" ref="FN347:FU347" si="2910">IF($F$290, 0, IF($E$299, IF(AND(COLUMN($FN$347)-COLUMN($DZ$343)=$Q$291,ROW($FN$347)-ROW($DZ$343)=$K$291), U$290, FN347), FN347))</f>
        <v>0</v>
      </c>
      <c r="FO347" s="21">
        <f t="shared" si="2910"/>
        <v>0</v>
      </c>
      <c r="FP347" s="21">
        <f t="shared" si="2910"/>
        <v>0</v>
      </c>
      <c r="FQ347" s="21">
        <f t="shared" si="2910"/>
        <v>0</v>
      </c>
      <c r="FR347" s="21">
        <f t="shared" si="2910"/>
        <v>0</v>
      </c>
      <c r="FS347" s="21">
        <f t="shared" si="2910"/>
        <v>0</v>
      </c>
      <c r="FT347" s="21">
        <f t="shared" si="2910"/>
        <v>0</v>
      </c>
      <c r="FU347" s="21">
        <f t="shared" si="2910"/>
        <v>0</v>
      </c>
      <c r="FV347" s="21">
        <f t="shared" ref="FV347:GC347" si="2911">IF($F$290, 0, IF($E$299, IF(AND(COLUMN($FV$347)-COLUMN($DZ$343)=$Q$291,ROW($FV$347)-ROW($DZ$343)=$K$291), U$290, FV347), FV347))</f>
        <v>0</v>
      </c>
      <c r="FW347" s="21">
        <f t="shared" si="2911"/>
        <v>0</v>
      </c>
      <c r="FX347" s="21">
        <f t="shared" si="2911"/>
        <v>0</v>
      </c>
      <c r="FY347" s="21">
        <f t="shared" si="2911"/>
        <v>0</v>
      </c>
      <c r="FZ347" s="21">
        <f t="shared" si="2911"/>
        <v>0</v>
      </c>
      <c r="GA347" s="21">
        <f t="shared" si="2911"/>
        <v>0</v>
      </c>
      <c r="GB347" s="21">
        <f t="shared" si="2911"/>
        <v>0</v>
      </c>
      <c r="GC347" s="21">
        <f t="shared" si="2911"/>
        <v>0</v>
      </c>
      <c r="GD347" s="21">
        <f t="shared" ref="GD347:GK347" si="2912">IF($F$290, 0, IF($E$299, IF(AND(COLUMN($GD$347)-COLUMN($DZ$343)=$Q$291,ROW($GD$347)-ROW($DZ$343)=$K$291), U$290, GD347), GD347))</f>
        <v>0</v>
      </c>
      <c r="GE347" s="21">
        <f t="shared" si="2912"/>
        <v>0</v>
      </c>
      <c r="GF347" s="21">
        <f t="shared" si="2912"/>
        <v>0</v>
      </c>
      <c r="GG347" s="21">
        <f t="shared" si="2912"/>
        <v>0</v>
      </c>
      <c r="GH347" s="21">
        <f t="shared" si="2912"/>
        <v>0</v>
      </c>
      <c r="GI347" s="21">
        <f t="shared" si="2912"/>
        <v>0</v>
      </c>
      <c r="GJ347" s="21">
        <f t="shared" si="2912"/>
        <v>0</v>
      </c>
      <c r="GK347" s="21">
        <f t="shared" si="2912"/>
        <v>0</v>
      </c>
      <c r="GL347" s="21">
        <f t="shared" ref="GL347:GS347" si="2913">IF($F$290, 0, IF($F$299, IF(AND(COLUMN($GL$347)-COLUMN($GL$343)=$Q$291,ROW($GL$347)-ROW($GL$343)=$K$291), U$290, GL347), GL347))</f>
        <v>0</v>
      </c>
      <c r="GM347" s="21">
        <f t="shared" si="2913"/>
        <v>0</v>
      </c>
      <c r="GN347" s="21">
        <f t="shared" si="2913"/>
        <v>0</v>
      </c>
      <c r="GO347" s="21">
        <f t="shared" si="2913"/>
        <v>0</v>
      </c>
      <c r="GP347" s="21">
        <f t="shared" si="2913"/>
        <v>0</v>
      </c>
      <c r="GQ347" s="21">
        <f t="shared" si="2913"/>
        <v>0</v>
      </c>
      <c r="GR347" s="21">
        <f t="shared" si="2913"/>
        <v>0</v>
      </c>
      <c r="GS347" s="21">
        <f t="shared" si="2913"/>
        <v>0</v>
      </c>
      <c r="GT347" s="21">
        <f t="shared" ref="GT347:HA347" si="2914">IF($F$290, 0, IF($F$299, IF(AND(COLUMN($GT$347)-COLUMN($GL$343)=$Q$291,ROW($GT$347)-ROW($GL$343)=$K$291), U$290, GT347), GT347))</f>
        <v>0</v>
      </c>
      <c r="GU347" s="21">
        <f t="shared" si="2914"/>
        <v>0</v>
      </c>
      <c r="GV347" s="21">
        <f t="shared" si="2914"/>
        <v>0</v>
      </c>
      <c r="GW347" s="21">
        <f t="shared" si="2914"/>
        <v>0</v>
      </c>
      <c r="GX347" s="21">
        <f t="shared" si="2914"/>
        <v>0</v>
      </c>
      <c r="GY347" s="21">
        <f t="shared" si="2914"/>
        <v>0</v>
      </c>
      <c r="GZ347" s="21">
        <f t="shared" si="2914"/>
        <v>0</v>
      </c>
      <c r="HA347" s="21">
        <f t="shared" si="2914"/>
        <v>0</v>
      </c>
      <c r="HB347" s="21">
        <f t="shared" ref="HB347:HI347" si="2915">IF($F$290, 0, IF($F$299, IF(AND(COLUMN($HB$347)-COLUMN($GL$343)=$Q$291,ROW($HB$347)-ROW($GL$343)=$K$291), U$290, HB347), HB347))</f>
        <v>0</v>
      </c>
      <c r="HC347" s="21">
        <f t="shared" si="2915"/>
        <v>0</v>
      </c>
      <c r="HD347" s="21">
        <f t="shared" si="2915"/>
        <v>0</v>
      </c>
      <c r="HE347" s="21">
        <f t="shared" si="2915"/>
        <v>0</v>
      </c>
      <c r="HF347" s="21">
        <f t="shared" si="2915"/>
        <v>0</v>
      </c>
      <c r="HG347" s="21">
        <f t="shared" si="2915"/>
        <v>0</v>
      </c>
      <c r="HH347" s="21">
        <f t="shared" si="2915"/>
        <v>0</v>
      </c>
      <c r="HI347" s="21">
        <f t="shared" si="2915"/>
        <v>0</v>
      </c>
      <c r="HJ347" s="21">
        <f t="shared" ref="HJ347:HQ347" si="2916">IF($F$290, 0, IF($F$299, IF(AND(COLUMN($HJ$347)-COLUMN($GL$343)=$Q$291,ROW($HJ$347)-ROW($GL$343)=$K$291), U$290, HJ347), HJ347))</f>
        <v>0</v>
      </c>
      <c r="HK347" s="21">
        <f t="shared" si="2916"/>
        <v>0</v>
      </c>
      <c r="HL347" s="21">
        <f t="shared" si="2916"/>
        <v>0</v>
      </c>
      <c r="HM347" s="21">
        <f t="shared" si="2916"/>
        <v>0</v>
      </c>
      <c r="HN347" s="21">
        <f t="shared" si="2916"/>
        <v>0</v>
      </c>
      <c r="HO347" s="21">
        <f t="shared" si="2916"/>
        <v>0</v>
      </c>
      <c r="HP347" s="21">
        <f t="shared" si="2916"/>
        <v>0</v>
      </c>
      <c r="HQ347" s="21">
        <f t="shared" si="2916"/>
        <v>0</v>
      </c>
      <c r="HR347" s="21">
        <f t="shared" ref="HR347:HY347" si="2917">IF($F$290, 0, IF($F$299, IF(AND(COLUMN($HR$347)-COLUMN($GL$343)=$Q$291,ROW($HR$347)-ROW($GL$343)=$K$291), U$290, HR347), HR347))</f>
        <v>0</v>
      </c>
      <c r="HS347" s="21">
        <f t="shared" si="2917"/>
        <v>0</v>
      </c>
      <c r="HT347" s="21">
        <f t="shared" si="2917"/>
        <v>0</v>
      </c>
      <c r="HU347" s="21">
        <f t="shared" si="2917"/>
        <v>0</v>
      </c>
      <c r="HV347" s="21">
        <f t="shared" si="2917"/>
        <v>0</v>
      </c>
      <c r="HW347" s="21">
        <f t="shared" si="2917"/>
        <v>0</v>
      </c>
      <c r="HX347" s="21">
        <f t="shared" si="2917"/>
        <v>0</v>
      </c>
      <c r="HY347" s="21">
        <f t="shared" si="2917"/>
        <v>0</v>
      </c>
      <c r="HZ347" s="21">
        <f t="shared" ref="HZ347:IG347" si="2918">IF($F$290, 0, IF($F$299, IF(AND(COLUMN($HZ$347)-COLUMN($GL$343)=$Q$291,ROW($HZ$347)-ROW($GL$343)=$K$291), U$290, HZ347), HZ347))</f>
        <v>0</v>
      </c>
      <c r="IA347" s="21">
        <f t="shared" si="2918"/>
        <v>0</v>
      </c>
      <c r="IB347" s="21">
        <f t="shared" si="2918"/>
        <v>0</v>
      </c>
      <c r="IC347" s="21">
        <f t="shared" si="2918"/>
        <v>0</v>
      </c>
      <c r="ID347" s="21">
        <f t="shared" si="2918"/>
        <v>0</v>
      </c>
      <c r="IE347" s="21">
        <f t="shared" si="2918"/>
        <v>0</v>
      </c>
      <c r="IF347" s="21">
        <f t="shared" si="2918"/>
        <v>0</v>
      </c>
      <c r="IG347" s="21">
        <f t="shared" si="2918"/>
        <v>0</v>
      </c>
      <c r="IH347" s="21">
        <f t="shared" ref="IH347:IO347" si="2919">IF($F$290, 0, IF($F$299, IF(AND(COLUMN($IH$347)-COLUMN($GL$343)=$Q$291,ROW($IH$347)-ROW($GL$343)=$K$291), U$290, IH347), IH347))</f>
        <v>0</v>
      </c>
      <c r="II347" s="21">
        <f t="shared" si="2919"/>
        <v>0</v>
      </c>
      <c r="IJ347" s="21">
        <f t="shared" si="2919"/>
        <v>0</v>
      </c>
      <c r="IK347" s="21">
        <f t="shared" si="2919"/>
        <v>0</v>
      </c>
      <c r="IL347" s="21">
        <f t="shared" si="2919"/>
        <v>0</v>
      </c>
      <c r="IM347" s="21">
        <f t="shared" si="2919"/>
        <v>0</v>
      </c>
      <c r="IN347" s="21">
        <f t="shared" si="2919"/>
        <v>0</v>
      </c>
      <c r="IO347" s="21">
        <f t="shared" si="2919"/>
        <v>0</v>
      </c>
      <c r="IP347" s="21">
        <f t="shared" ref="IP347:IW347" si="2920">IF($F$290, 0, IF($F$299, IF(AND(COLUMN($IP$347)-COLUMN($GL$343)=$Q$291,ROW($IP$347)-ROW($GL$343)=$K$291), U$290, IP347), IP347))</f>
        <v>0</v>
      </c>
      <c r="IQ347" s="21">
        <f t="shared" si="2920"/>
        <v>0</v>
      </c>
      <c r="IR347" s="21">
        <f t="shared" si="2920"/>
        <v>0</v>
      </c>
      <c r="IS347" s="21">
        <f t="shared" si="2920"/>
        <v>0</v>
      </c>
      <c r="IT347" s="21">
        <f t="shared" si="2920"/>
        <v>0</v>
      </c>
      <c r="IU347" s="21">
        <f t="shared" si="2920"/>
        <v>0</v>
      </c>
      <c r="IV347" s="21">
        <f t="shared" si="2920"/>
        <v>0</v>
      </c>
      <c r="IW347" s="21">
        <f t="shared" si="2920"/>
        <v>0</v>
      </c>
      <c r="IX347" s="21">
        <f t="shared" ref="IX347:JE347" si="2921">IF($F$290, 0, IF($G$299, IF(AND(COLUMN($IX$347)-COLUMN($IX$343)=$Q$291,ROW($IX$347)-ROW($IX$343)=$K$291), U$290, IX347), IX347))</f>
        <v>0</v>
      </c>
      <c r="IY347" s="21">
        <f t="shared" si="2921"/>
        <v>0</v>
      </c>
      <c r="IZ347" s="21">
        <f t="shared" si="2921"/>
        <v>0</v>
      </c>
      <c r="JA347" s="21">
        <f t="shared" si="2921"/>
        <v>0</v>
      </c>
      <c r="JB347" s="21">
        <f t="shared" si="2921"/>
        <v>0</v>
      </c>
      <c r="JC347" s="21">
        <f t="shared" si="2921"/>
        <v>0</v>
      </c>
      <c r="JD347" s="21">
        <f t="shared" si="2921"/>
        <v>0</v>
      </c>
      <c r="JE347" s="21">
        <f t="shared" si="2921"/>
        <v>0</v>
      </c>
      <c r="JF347" s="21">
        <f t="shared" ref="JF347:JM347" si="2922">IF($F$290, 0, IF($G$299, IF(AND(COLUMN($JF$347)-COLUMN($IX$343)=$Q$291,ROW($JF$347)-ROW($IX$343)=$K$291), U$290, JF347), JF347))</f>
        <v>0</v>
      </c>
      <c r="JG347" s="21">
        <f t="shared" si="2922"/>
        <v>0</v>
      </c>
      <c r="JH347" s="21">
        <f t="shared" si="2922"/>
        <v>0</v>
      </c>
      <c r="JI347" s="21">
        <f t="shared" si="2922"/>
        <v>0</v>
      </c>
      <c r="JJ347" s="21">
        <f t="shared" si="2922"/>
        <v>0</v>
      </c>
      <c r="JK347" s="21">
        <f t="shared" si="2922"/>
        <v>0</v>
      </c>
      <c r="JL347" s="21">
        <f t="shared" si="2922"/>
        <v>0</v>
      </c>
      <c r="JM347" s="21">
        <f t="shared" si="2922"/>
        <v>0</v>
      </c>
      <c r="JN347" s="21">
        <f t="shared" ref="JN347:JU347" si="2923">IF($F$290, 0, IF($G$299, IF(AND(COLUMN($JN$347)-COLUMN($IX$343)=$Q$291,ROW($JN$347)-ROW($IX$343)=$K$291), U$290, JN347), JN347))</f>
        <v>0</v>
      </c>
      <c r="JO347" s="21">
        <f t="shared" si="2923"/>
        <v>0</v>
      </c>
      <c r="JP347" s="21">
        <f t="shared" si="2923"/>
        <v>0</v>
      </c>
      <c r="JQ347" s="21">
        <f t="shared" si="2923"/>
        <v>0</v>
      </c>
      <c r="JR347" s="21">
        <f t="shared" si="2923"/>
        <v>0</v>
      </c>
      <c r="JS347" s="21">
        <f t="shared" si="2923"/>
        <v>0</v>
      </c>
      <c r="JT347" s="21">
        <f t="shared" si="2923"/>
        <v>0</v>
      </c>
      <c r="JU347" s="21">
        <f t="shared" si="2923"/>
        <v>0</v>
      </c>
      <c r="JV347" s="21">
        <f t="shared" ref="JV347:KC347" si="2924">IF($F$290, 0, IF($G$299, IF(AND(COLUMN($JV$347)-COLUMN($IX$343)=$Q$291,ROW($JV$347)-ROW($IX$343)=$K$291), U$290, JV347), JV347))</f>
        <v>0</v>
      </c>
      <c r="JW347" s="21">
        <f t="shared" si="2924"/>
        <v>0</v>
      </c>
      <c r="JX347" s="21">
        <f t="shared" si="2924"/>
        <v>0</v>
      </c>
      <c r="JY347" s="21">
        <f t="shared" si="2924"/>
        <v>0</v>
      </c>
      <c r="JZ347" s="21">
        <f t="shared" si="2924"/>
        <v>0</v>
      </c>
      <c r="KA347" s="21">
        <f t="shared" si="2924"/>
        <v>0</v>
      </c>
      <c r="KB347" s="21">
        <f t="shared" si="2924"/>
        <v>0</v>
      </c>
      <c r="KC347" s="21">
        <f t="shared" si="2924"/>
        <v>0</v>
      </c>
      <c r="KD347" s="21">
        <f t="shared" ref="KD347:KK347" si="2925">IF($F$290, 0, IF($G$299, IF(AND(COLUMN($KD$347)-COLUMN($IX$343)=$Q$291,ROW($KD$347)-ROW($IX$343)=$K$291), U$290, KD347), KD347))</f>
        <v>0</v>
      </c>
      <c r="KE347" s="21">
        <f t="shared" si="2925"/>
        <v>0</v>
      </c>
      <c r="KF347" s="21">
        <f t="shared" si="2925"/>
        <v>0</v>
      </c>
      <c r="KG347" s="21">
        <f t="shared" si="2925"/>
        <v>0</v>
      </c>
      <c r="KH347" s="21">
        <f t="shared" si="2925"/>
        <v>0</v>
      </c>
      <c r="KI347" s="21">
        <f t="shared" si="2925"/>
        <v>0</v>
      </c>
      <c r="KJ347" s="21">
        <f t="shared" si="2925"/>
        <v>0</v>
      </c>
      <c r="KK347" s="21">
        <f t="shared" si="2925"/>
        <v>0</v>
      </c>
      <c r="KL347" s="21">
        <f t="shared" ref="KL347:KS347" si="2926">IF($F$290, 0, IF($G$299, IF(AND(COLUMN($KL$347)-COLUMN($IX$343)=$Q$291,ROW($KL$347)-ROW($IX$343)=$K$291), U$290, KL347), KL347))</f>
        <v>0</v>
      </c>
      <c r="KM347" s="21">
        <f t="shared" si="2926"/>
        <v>0</v>
      </c>
      <c r="KN347" s="21">
        <f t="shared" si="2926"/>
        <v>0</v>
      </c>
      <c r="KO347" s="21">
        <f t="shared" si="2926"/>
        <v>0</v>
      </c>
      <c r="KP347" s="21">
        <f t="shared" si="2926"/>
        <v>0</v>
      </c>
      <c r="KQ347" s="21">
        <f t="shared" si="2926"/>
        <v>0</v>
      </c>
      <c r="KR347" s="21">
        <f t="shared" si="2926"/>
        <v>0</v>
      </c>
      <c r="KS347" s="21">
        <f t="shared" si="2926"/>
        <v>0</v>
      </c>
      <c r="KT347" s="21">
        <f t="shared" ref="KT347:LA347" si="2927">IF($F$290, 0, IF($G$299, IF(AND(COLUMN($KT$347)-COLUMN($IX$343)=$Q$291,ROW($KT$347)-ROW($IX$343)=$K$291), U$290, KT347), KT347))</f>
        <v>0</v>
      </c>
      <c r="KU347" s="21">
        <f t="shared" si="2927"/>
        <v>0</v>
      </c>
      <c r="KV347" s="21">
        <f t="shared" si="2927"/>
        <v>0</v>
      </c>
      <c r="KW347" s="21">
        <f t="shared" si="2927"/>
        <v>0</v>
      </c>
      <c r="KX347" s="21">
        <f t="shared" si="2927"/>
        <v>0</v>
      </c>
      <c r="KY347" s="21">
        <f t="shared" si="2927"/>
        <v>0</v>
      </c>
      <c r="KZ347" s="21">
        <f t="shared" si="2927"/>
        <v>0</v>
      </c>
      <c r="LA347" s="21">
        <f t="shared" si="2927"/>
        <v>0</v>
      </c>
      <c r="LB347" s="21">
        <f t="shared" ref="LB347:LI347" si="2928">IF($F$290, 0, IF($G$299, IF(AND(COLUMN($LB$347)-COLUMN($IX$343)=$Q$291,ROW($LB$347)-ROW($IX$343)=$K$291), U$290, LB347), LB347))</f>
        <v>0</v>
      </c>
      <c r="LC347" s="21">
        <f t="shared" si="2928"/>
        <v>0</v>
      </c>
      <c r="LD347" s="21">
        <f t="shared" si="2928"/>
        <v>0</v>
      </c>
      <c r="LE347" s="21">
        <f t="shared" si="2928"/>
        <v>0</v>
      </c>
      <c r="LF347" s="21">
        <f t="shared" si="2928"/>
        <v>0</v>
      </c>
      <c r="LG347" s="21">
        <f t="shared" si="2928"/>
        <v>0</v>
      </c>
      <c r="LH347" s="21">
        <f t="shared" si="2928"/>
        <v>0</v>
      </c>
      <c r="LI347" s="21">
        <f t="shared" si="2928"/>
        <v>0</v>
      </c>
      <c r="LJ347" s="21">
        <f t="shared" ref="LJ347:LQ347" si="2929">IF($F$290, 0, IF($H$299, IF(AND(COLUMN($LJ$347)-COLUMN($LJ$343)=$Q$291,ROW($LJ$347)-ROW($LJ$343)=$K$291), U$290, LJ347), LJ347))</f>
        <v>0</v>
      </c>
      <c r="LK347" s="21">
        <f t="shared" si="2929"/>
        <v>0</v>
      </c>
      <c r="LL347" s="21">
        <f t="shared" si="2929"/>
        <v>0</v>
      </c>
      <c r="LM347" s="21">
        <f t="shared" si="2929"/>
        <v>0</v>
      </c>
      <c r="LN347" s="21">
        <f t="shared" si="2929"/>
        <v>0</v>
      </c>
      <c r="LO347" s="21">
        <f t="shared" si="2929"/>
        <v>0</v>
      </c>
      <c r="LP347" s="21">
        <f t="shared" si="2929"/>
        <v>0</v>
      </c>
      <c r="LQ347" s="21">
        <f t="shared" si="2929"/>
        <v>0</v>
      </c>
      <c r="LR347" s="21">
        <f t="shared" ref="LR347:LY347" si="2930">IF($F$290, 0, IF($H$299, IF(AND(COLUMN($LR$347)-COLUMN($LJ$343)=$Q$291,ROW($LR$347)-ROW($LJ$343)=$K$291), U$290, LR347), LR347))</f>
        <v>0</v>
      </c>
      <c r="LS347" s="21">
        <f t="shared" si="2930"/>
        <v>0</v>
      </c>
      <c r="LT347" s="21">
        <f t="shared" si="2930"/>
        <v>0</v>
      </c>
      <c r="LU347" s="21">
        <f t="shared" si="2930"/>
        <v>0</v>
      </c>
      <c r="LV347" s="21">
        <f t="shared" si="2930"/>
        <v>0</v>
      </c>
      <c r="LW347" s="21">
        <f t="shared" si="2930"/>
        <v>0</v>
      </c>
      <c r="LX347" s="21">
        <f t="shared" si="2930"/>
        <v>0</v>
      </c>
      <c r="LY347" s="21">
        <f t="shared" si="2930"/>
        <v>0</v>
      </c>
      <c r="LZ347" s="21">
        <f t="shared" ref="LZ347:MG347" si="2931">IF($F$290, 0, IF($H$299, IF(AND(COLUMN($LZ$347)-COLUMN($LJ$343)=$Q$291,ROW($LZ$347)-ROW($LJ$343)=$K$291), U$290, LZ347), LZ347))</f>
        <v>0</v>
      </c>
      <c r="MA347" s="21">
        <f t="shared" si="2931"/>
        <v>0</v>
      </c>
      <c r="MB347" s="21">
        <f t="shared" si="2931"/>
        <v>0</v>
      </c>
      <c r="MC347" s="21">
        <f t="shared" si="2931"/>
        <v>0</v>
      </c>
      <c r="MD347" s="21">
        <f t="shared" si="2931"/>
        <v>0</v>
      </c>
      <c r="ME347" s="21">
        <f t="shared" si="2931"/>
        <v>0</v>
      </c>
      <c r="MF347" s="21">
        <f t="shared" si="2931"/>
        <v>0</v>
      </c>
      <c r="MG347" s="21">
        <f t="shared" si="2931"/>
        <v>0</v>
      </c>
      <c r="MH347" s="21">
        <f t="shared" ref="MH347:MO347" si="2932">IF($F$290, 0, IF($H$299, IF(AND(COLUMN($MH$347)-COLUMN($LJ$343)=$Q$291,ROW($MH$347)-ROW($LJ$343)=$K$291), U$290, MH347), MH347))</f>
        <v>0</v>
      </c>
      <c r="MI347" s="21">
        <f t="shared" si="2932"/>
        <v>0</v>
      </c>
      <c r="MJ347" s="21">
        <f t="shared" si="2932"/>
        <v>0</v>
      </c>
      <c r="MK347" s="21">
        <f t="shared" si="2932"/>
        <v>0</v>
      </c>
      <c r="ML347" s="21">
        <f t="shared" si="2932"/>
        <v>0</v>
      </c>
      <c r="MM347" s="21">
        <f t="shared" si="2932"/>
        <v>0</v>
      </c>
      <c r="MN347" s="21">
        <f t="shared" si="2932"/>
        <v>0</v>
      </c>
      <c r="MO347" s="21">
        <f t="shared" si="2932"/>
        <v>0</v>
      </c>
      <c r="MP347" s="21">
        <f t="shared" ref="MP347:MW347" si="2933">IF($F$290, 0, IF($H$299, IF(AND(COLUMN($MP$347)-COLUMN($LJ$343)=$Q$291,ROW($MP$347)-ROW($LJ$343)=$K$291), U$290, MP347), MP347))</f>
        <v>0</v>
      </c>
      <c r="MQ347" s="21">
        <f t="shared" si="2933"/>
        <v>0</v>
      </c>
      <c r="MR347" s="21">
        <f t="shared" si="2933"/>
        <v>0</v>
      </c>
      <c r="MS347" s="21">
        <f t="shared" si="2933"/>
        <v>0</v>
      </c>
      <c r="MT347" s="21">
        <f t="shared" si="2933"/>
        <v>0</v>
      </c>
      <c r="MU347" s="21">
        <f t="shared" si="2933"/>
        <v>0</v>
      </c>
      <c r="MV347" s="21">
        <f t="shared" si="2933"/>
        <v>0</v>
      </c>
      <c r="MW347" s="21">
        <f t="shared" si="2933"/>
        <v>0</v>
      </c>
      <c r="MX347" s="21">
        <f t="shared" ref="MX347:NE347" si="2934">IF($F$290, 0, IF($H$299, IF(AND(COLUMN($MX$347)-COLUMN($LJ$343)=$Q$291,ROW($MX$347)-ROW($LJ$343)=$K$291), U$290, MX347), MX347))</f>
        <v>0</v>
      </c>
      <c r="MY347" s="21">
        <f t="shared" si="2934"/>
        <v>0</v>
      </c>
      <c r="MZ347" s="21">
        <f t="shared" si="2934"/>
        <v>0</v>
      </c>
      <c r="NA347" s="21">
        <f t="shared" si="2934"/>
        <v>0</v>
      </c>
      <c r="NB347" s="21">
        <f t="shared" si="2934"/>
        <v>0</v>
      </c>
      <c r="NC347" s="21">
        <f t="shared" si="2934"/>
        <v>0</v>
      </c>
      <c r="ND347" s="21">
        <f t="shared" si="2934"/>
        <v>0</v>
      </c>
      <c r="NE347" s="21">
        <f t="shared" si="2934"/>
        <v>0</v>
      </c>
      <c r="NF347" s="21">
        <f t="shared" ref="NF347:NM347" si="2935">IF($F$290, 0, IF($H$299, IF(AND(COLUMN($NF$347)-COLUMN($LJ$343)=$Q$291,ROW($NF$347)-ROW($LJ$343)=$K$291), U$290, NF347), NF347))</f>
        <v>0</v>
      </c>
      <c r="NG347" s="21">
        <f t="shared" si="2935"/>
        <v>0</v>
      </c>
      <c r="NH347" s="21">
        <f t="shared" si="2935"/>
        <v>0</v>
      </c>
      <c r="NI347" s="21">
        <f t="shared" si="2935"/>
        <v>0</v>
      </c>
      <c r="NJ347" s="21">
        <f t="shared" si="2935"/>
        <v>0</v>
      </c>
      <c r="NK347" s="21">
        <f t="shared" si="2935"/>
        <v>0</v>
      </c>
      <c r="NL347" s="21">
        <f t="shared" si="2935"/>
        <v>0</v>
      </c>
      <c r="NM347" s="21">
        <f t="shared" si="2935"/>
        <v>0</v>
      </c>
      <c r="NN347" s="21">
        <f t="shared" ref="NN347:NU347" si="2936">IF($F$290, 0, IF($H$299, IF(AND(COLUMN($NN$347)-COLUMN($LJ$343)=$Q$291,ROW($NN$347)-ROW($LJ$343)=$K$291), U$290, NN347), NN347))</f>
        <v>0</v>
      </c>
      <c r="NO347" s="21">
        <f t="shared" si="2936"/>
        <v>0</v>
      </c>
      <c r="NP347" s="21">
        <f t="shared" si="2936"/>
        <v>0</v>
      </c>
      <c r="NQ347" s="21">
        <f t="shared" si="2936"/>
        <v>0</v>
      </c>
      <c r="NR347" s="21">
        <f t="shared" si="2936"/>
        <v>0</v>
      </c>
      <c r="NS347" s="21">
        <f t="shared" si="2936"/>
        <v>0</v>
      </c>
      <c r="NT347" s="21">
        <f t="shared" si="2936"/>
        <v>0</v>
      </c>
      <c r="NU347" s="21">
        <f t="shared" si="2936"/>
        <v>0</v>
      </c>
      <c r="NV347" s="21">
        <f t="shared" ref="NV347:OC347" si="2937">IF($F$290, 0, IF($I$299, IF(AND(COLUMN($NV$347)-COLUMN($NV$343)=$Q$291,ROW($NV$347)-ROW($NV$343)=$K$291), U$290, NV347), NV347))</f>
        <v>0</v>
      </c>
      <c r="NW347" s="21">
        <f t="shared" si="2937"/>
        <v>0</v>
      </c>
      <c r="NX347" s="21">
        <f t="shared" si="2937"/>
        <v>0</v>
      </c>
      <c r="NY347" s="21">
        <f t="shared" si="2937"/>
        <v>0</v>
      </c>
      <c r="NZ347" s="21">
        <f t="shared" si="2937"/>
        <v>0</v>
      </c>
      <c r="OA347" s="21">
        <f t="shared" si="2937"/>
        <v>0</v>
      </c>
      <c r="OB347" s="21">
        <f t="shared" si="2937"/>
        <v>0</v>
      </c>
      <c r="OC347" s="21">
        <f t="shared" si="2937"/>
        <v>0</v>
      </c>
      <c r="OD347" s="21">
        <f t="shared" ref="OD347:OK347" si="2938">IF($F$290, 0, IF($I$299, IF(AND(COLUMN($OD$347)-COLUMN($NV$343)=$Q$291,ROW($OD$347)-ROW($NV$343)=$K$291), U$290, OD347), OD347))</f>
        <v>0</v>
      </c>
      <c r="OE347" s="21">
        <f t="shared" si="2938"/>
        <v>0</v>
      </c>
      <c r="OF347" s="21">
        <f t="shared" si="2938"/>
        <v>0</v>
      </c>
      <c r="OG347" s="21">
        <f t="shared" si="2938"/>
        <v>0</v>
      </c>
      <c r="OH347" s="21">
        <f t="shared" si="2938"/>
        <v>0</v>
      </c>
      <c r="OI347" s="21">
        <f t="shared" si="2938"/>
        <v>0</v>
      </c>
      <c r="OJ347" s="21">
        <f t="shared" si="2938"/>
        <v>0</v>
      </c>
      <c r="OK347" s="21">
        <f t="shared" si="2938"/>
        <v>0</v>
      </c>
      <c r="OL347" s="21">
        <f t="shared" ref="OL347:OS347" si="2939">IF($F$290, 0, IF($I$299, IF(AND(COLUMN($OL$347)-COLUMN($NV$343)=$Q$291,ROW($OL$347)-ROW($NV$343)=$K$291), U$290, OL347), OL347))</f>
        <v>0</v>
      </c>
      <c r="OM347" s="21">
        <f t="shared" si="2939"/>
        <v>0</v>
      </c>
      <c r="ON347" s="21">
        <f t="shared" si="2939"/>
        <v>0</v>
      </c>
      <c r="OO347" s="21">
        <f t="shared" si="2939"/>
        <v>0</v>
      </c>
      <c r="OP347" s="21">
        <f t="shared" si="2939"/>
        <v>0</v>
      </c>
      <c r="OQ347" s="21">
        <f t="shared" si="2939"/>
        <v>0</v>
      </c>
      <c r="OR347" s="21">
        <f t="shared" si="2939"/>
        <v>0</v>
      </c>
      <c r="OS347" s="21">
        <f t="shared" si="2939"/>
        <v>0</v>
      </c>
      <c r="OT347" s="21">
        <f t="shared" ref="OT347:PA347" si="2940">IF($F$290, 0, IF($I$299, IF(AND(COLUMN($OT$347)-COLUMN($NV$343)=$Q$291,ROW($OT$347)-ROW($NV$343)=$K$291), U$290, OT347), OT347))</f>
        <v>0</v>
      </c>
      <c r="OU347" s="21">
        <f t="shared" si="2940"/>
        <v>0</v>
      </c>
      <c r="OV347" s="21">
        <f t="shared" si="2940"/>
        <v>0</v>
      </c>
      <c r="OW347" s="21">
        <f t="shared" si="2940"/>
        <v>0</v>
      </c>
      <c r="OX347" s="21">
        <f t="shared" si="2940"/>
        <v>0</v>
      </c>
      <c r="OY347" s="21">
        <f t="shared" si="2940"/>
        <v>0</v>
      </c>
      <c r="OZ347" s="21">
        <f t="shared" si="2940"/>
        <v>0</v>
      </c>
      <c r="PA347" s="21">
        <f t="shared" si="2940"/>
        <v>0</v>
      </c>
      <c r="PB347" s="21">
        <f t="shared" ref="PB347:PI347" si="2941">IF($F$290, 0, IF($I$299, IF(AND(COLUMN($PB$347)-COLUMN($NV$343)=$Q$291,ROW($PB$347)-ROW($NV$343)=$K$291), U$290, PB347), PB347))</f>
        <v>0</v>
      </c>
      <c r="PC347" s="21">
        <f t="shared" si="2941"/>
        <v>0</v>
      </c>
      <c r="PD347" s="21">
        <f t="shared" si="2941"/>
        <v>0</v>
      </c>
      <c r="PE347" s="21">
        <f t="shared" si="2941"/>
        <v>0</v>
      </c>
      <c r="PF347" s="21">
        <f t="shared" si="2941"/>
        <v>0</v>
      </c>
      <c r="PG347" s="21">
        <f t="shared" si="2941"/>
        <v>0</v>
      </c>
      <c r="PH347" s="21">
        <f t="shared" si="2941"/>
        <v>0</v>
      </c>
      <c r="PI347" s="21">
        <f t="shared" si="2941"/>
        <v>0</v>
      </c>
      <c r="PJ347" s="21">
        <f t="shared" ref="PJ347:PQ347" si="2942">IF($F$290, 0, IF($I$299, IF(AND(COLUMN($PJ$347)-COLUMN($NV$343)=$Q$291,ROW($PJ$347)-ROW($NV$343)=$K$291), U$290, PJ347), PJ347))</f>
        <v>0</v>
      </c>
      <c r="PK347" s="21">
        <f t="shared" si="2942"/>
        <v>0</v>
      </c>
      <c r="PL347" s="21">
        <f t="shared" si="2942"/>
        <v>0</v>
      </c>
      <c r="PM347" s="21">
        <f t="shared" si="2942"/>
        <v>0</v>
      </c>
      <c r="PN347" s="21">
        <f t="shared" si="2942"/>
        <v>0</v>
      </c>
      <c r="PO347" s="21">
        <f t="shared" si="2942"/>
        <v>0</v>
      </c>
      <c r="PP347" s="21">
        <f t="shared" si="2942"/>
        <v>0</v>
      </c>
      <c r="PQ347" s="21">
        <f t="shared" si="2942"/>
        <v>0</v>
      </c>
      <c r="PR347" s="21">
        <f t="shared" ref="PR347:PY347" si="2943">IF($F$290, 0, IF($I$299, IF(AND(COLUMN($PR$347)-COLUMN($NV$343)=$Q$291,ROW($PR$347)-ROW($NV$343)=$K$291), U$290, PR347), PR347))</f>
        <v>0</v>
      </c>
      <c r="PS347" s="21">
        <f t="shared" si="2943"/>
        <v>0</v>
      </c>
      <c r="PT347" s="21">
        <f t="shared" si="2943"/>
        <v>0</v>
      </c>
      <c r="PU347" s="21">
        <f t="shared" si="2943"/>
        <v>0</v>
      </c>
      <c r="PV347" s="21">
        <f t="shared" si="2943"/>
        <v>0</v>
      </c>
      <c r="PW347" s="21">
        <f t="shared" si="2943"/>
        <v>0</v>
      </c>
      <c r="PX347" s="21">
        <f t="shared" si="2943"/>
        <v>0</v>
      </c>
      <c r="PY347" s="21">
        <f t="shared" si="2943"/>
        <v>0</v>
      </c>
      <c r="PZ347" s="21">
        <f t="shared" ref="PZ347:QG347" si="2944">IF($F$290, 0, IF($I$299, IF(AND(COLUMN($PZ$347)-COLUMN($NV$343)=$Q$291,ROW($PZ$347)-ROW($NV$343)=$K$291), U$290, PZ347), PZ347))</f>
        <v>0</v>
      </c>
      <c r="QA347" s="21">
        <f t="shared" si="2944"/>
        <v>0</v>
      </c>
      <c r="QB347" s="21">
        <f t="shared" si="2944"/>
        <v>0</v>
      </c>
      <c r="QC347" s="21">
        <f t="shared" si="2944"/>
        <v>0</v>
      </c>
      <c r="QD347" s="21">
        <f t="shared" si="2944"/>
        <v>0</v>
      </c>
      <c r="QE347" s="21">
        <f t="shared" si="2944"/>
        <v>0</v>
      </c>
      <c r="QF347" s="21">
        <f t="shared" si="2944"/>
        <v>0</v>
      </c>
      <c r="QG347" s="21">
        <f t="shared" si="2944"/>
        <v>0</v>
      </c>
      <c r="QH347" s="21">
        <f t="shared" ref="QH347:QO347" si="2945">IF($F$290, 0, IF($J$299, IF(AND(COLUMN($QH$347)-COLUMN($QH$343)=$Q$291,ROW($QH$347)-ROW($QH$343)=$K$291), U$290, QH347), QH347))</f>
        <v>0</v>
      </c>
      <c r="QI347" s="21">
        <f t="shared" si="2945"/>
        <v>0</v>
      </c>
      <c r="QJ347" s="21">
        <f t="shared" si="2945"/>
        <v>0</v>
      </c>
      <c r="QK347" s="21">
        <f t="shared" si="2945"/>
        <v>0</v>
      </c>
      <c r="QL347" s="21">
        <f t="shared" si="2945"/>
        <v>0</v>
      </c>
      <c r="QM347" s="21">
        <f t="shared" si="2945"/>
        <v>0</v>
      </c>
      <c r="QN347" s="21">
        <f t="shared" si="2945"/>
        <v>0</v>
      </c>
      <c r="QO347" s="21">
        <f t="shared" si="2945"/>
        <v>0</v>
      </c>
      <c r="QP347" s="21">
        <f t="shared" ref="QP347:QW347" si="2946">IF($F$290, 0, IF($J$299, IF(AND(COLUMN($QP$347)-COLUMN($QH$343)=$Q$291,ROW($QP$347)-ROW($QH$343)=$K$291), U$290, QP347), QP347))</f>
        <v>0</v>
      </c>
      <c r="QQ347" s="21">
        <f t="shared" si="2946"/>
        <v>0</v>
      </c>
      <c r="QR347" s="21">
        <f t="shared" si="2946"/>
        <v>0</v>
      </c>
      <c r="QS347" s="21">
        <f t="shared" si="2946"/>
        <v>0</v>
      </c>
      <c r="QT347" s="21">
        <f t="shared" si="2946"/>
        <v>0</v>
      </c>
      <c r="QU347" s="21">
        <f t="shared" si="2946"/>
        <v>0</v>
      </c>
      <c r="QV347" s="21">
        <f t="shared" si="2946"/>
        <v>0</v>
      </c>
      <c r="QW347" s="21">
        <f t="shared" si="2946"/>
        <v>0</v>
      </c>
      <c r="QX347" s="21">
        <f t="shared" ref="QX347:RE347" si="2947">IF($F$290, 0, IF($J$299, IF(AND(COLUMN($QX$347)-COLUMN($QH$343)=$Q$291,ROW($QX$347)-ROW($QH$343)=$K$291), U$290, QX347), QX347))</f>
        <v>0</v>
      </c>
      <c r="QY347" s="21">
        <f t="shared" si="2947"/>
        <v>0</v>
      </c>
      <c r="QZ347" s="21">
        <f t="shared" si="2947"/>
        <v>0</v>
      </c>
      <c r="RA347" s="21">
        <f t="shared" si="2947"/>
        <v>0</v>
      </c>
      <c r="RB347" s="21">
        <f t="shared" si="2947"/>
        <v>0</v>
      </c>
      <c r="RC347" s="21">
        <f t="shared" si="2947"/>
        <v>0</v>
      </c>
      <c r="RD347" s="21">
        <f t="shared" si="2947"/>
        <v>0</v>
      </c>
      <c r="RE347" s="21">
        <f t="shared" si="2947"/>
        <v>0</v>
      </c>
      <c r="RF347" s="21">
        <f t="shared" ref="RF347:RM347" si="2948">IF($F$290, 0, IF($J$299, IF(AND(COLUMN($RF$347)-COLUMN($QH$343)=$Q$291,ROW($RF$347)-ROW($QH$343)=$K$291), U$290, RF347), RF347))</f>
        <v>0</v>
      </c>
      <c r="RG347" s="21">
        <f t="shared" si="2948"/>
        <v>0</v>
      </c>
      <c r="RH347" s="21">
        <f t="shared" si="2948"/>
        <v>0</v>
      </c>
      <c r="RI347" s="21">
        <f t="shared" si="2948"/>
        <v>0</v>
      </c>
      <c r="RJ347" s="21">
        <f t="shared" si="2948"/>
        <v>0</v>
      </c>
      <c r="RK347" s="21">
        <f t="shared" si="2948"/>
        <v>0</v>
      </c>
      <c r="RL347" s="21">
        <f t="shared" si="2948"/>
        <v>0</v>
      </c>
      <c r="RM347" s="21">
        <f t="shared" si="2948"/>
        <v>0</v>
      </c>
      <c r="RN347" s="21">
        <f t="shared" ref="RN347:RU347" si="2949">IF($F$290, 0, IF($J$299, IF(AND(COLUMN($RN$347)-COLUMN($QH$343)=$Q$291,ROW($RN$347)-ROW($QH$343)=$K$291), U$290, RN347), RN347))</f>
        <v>0</v>
      </c>
      <c r="RO347" s="21">
        <f t="shared" si="2949"/>
        <v>0</v>
      </c>
      <c r="RP347" s="21">
        <f t="shared" si="2949"/>
        <v>0</v>
      </c>
      <c r="RQ347" s="21">
        <f t="shared" si="2949"/>
        <v>0</v>
      </c>
      <c r="RR347" s="21">
        <f t="shared" si="2949"/>
        <v>0</v>
      </c>
      <c r="RS347" s="21">
        <f t="shared" si="2949"/>
        <v>0</v>
      </c>
      <c r="RT347" s="21">
        <f t="shared" si="2949"/>
        <v>0</v>
      </c>
      <c r="RU347" s="21">
        <f t="shared" si="2949"/>
        <v>0</v>
      </c>
      <c r="RV347" s="21">
        <f t="shared" ref="RV347:SC347" si="2950">IF($F$290, 0, IF($J$299, IF(AND(COLUMN($RV$347)-COLUMN($QH$343)=$Q$291,ROW($RV$347)-ROW($QH$343)=$K$291), U$290, RV347), RV347))</f>
        <v>0</v>
      </c>
      <c r="RW347" s="21">
        <f t="shared" si="2950"/>
        <v>0</v>
      </c>
      <c r="RX347" s="21">
        <f t="shared" si="2950"/>
        <v>0</v>
      </c>
      <c r="RY347" s="21">
        <f t="shared" si="2950"/>
        <v>0</v>
      </c>
      <c r="RZ347" s="21">
        <f t="shared" si="2950"/>
        <v>0</v>
      </c>
      <c r="SA347" s="21">
        <f t="shared" si="2950"/>
        <v>0</v>
      </c>
      <c r="SB347" s="21">
        <f t="shared" si="2950"/>
        <v>0</v>
      </c>
      <c r="SC347" s="21">
        <f t="shared" si="2950"/>
        <v>0</v>
      </c>
      <c r="SD347" s="21">
        <f t="shared" ref="SD347:SK347" si="2951">IF($F$290, 0, IF($J$299, IF(AND(COLUMN($SD$347)-COLUMN($QH$343)=$Q$291,ROW($SD$347)-ROW($QH$343)=$K$291), U$290, SD347), SD347))</f>
        <v>0</v>
      </c>
      <c r="SE347" s="21">
        <f t="shared" si="2951"/>
        <v>0</v>
      </c>
      <c r="SF347" s="21">
        <f t="shared" si="2951"/>
        <v>0</v>
      </c>
      <c r="SG347" s="21">
        <f t="shared" si="2951"/>
        <v>0</v>
      </c>
      <c r="SH347" s="21">
        <f t="shared" si="2951"/>
        <v>0</v>
      </c>
      <c r="SI347" s="21">
        <f t="shared" si="2951"/>
        <v>0</v>
      </c>
      <c r="SJ347" s="21">
        <f t="shared" si="2951"/>
        <v>0</v>
      </c>
      <c r="SK347" s="21">
        <f t="shared" si="2951"/>
        <v>0</v>
      </c>
      <c r="SL347" s="21">
        <f t="shared" ref="SL347:SS347" si="2952">IF($F$290, 0, IF($J$299, IF(AND(COLUMN($SL$347)-COLUMN($QH$343)=$Q$291,ROW($SL$347)-ROW($QH$343)=$K$291), U$290, SL347), SL347))</f>
        <v>0</v>
      </c>
      <c r="SM347" s="21">
        <f t="shared" si="2952"/>
        <v>0</v>
      </c>
      <c r="SN347" s="21">
        <f t="shared" si="2952"/>
        <v>0</v>
      </c>
      <c r="SO347" s="21">
        <f t="shared" si="2952"/>
        <v>0</v>
      </c>
      <c r="SP347" s="21">
        <f t="shared" si="2952"/>
        <v>0</v>
      </c>
      <c r="SQ347" s="21">
        <f t="shared" si="2952"/>
        <v>0</v>
      </c>
      <c r="SR347" s="21">
        <f t="shared" si="2952"/>
        <v>0</v>
      </c>
      <c r="SS347" s="21">
        <f t="shared" si="2952"/>
        <v>0</v>
      </c>
    </row>
    <row r="348" spans="2:513" ht="15" customHeight="1" x14ac:dyDescent="0.25">
      <c r="B348" s="21">
        <f t="shared" ref="B348:I348" si="2953">IF($F$290, 0, IF($C$299, IF(AND(COLUMN($B$348)-COLUMN($B$343)=$Q$291,ROW($B$348)-ROW($B$343)=$K$291), U$290, B348), B348))</f>
        <v>0</v>
      </c>
      <c r="C348" s="21">
        <f t="shared" si="2953"/>
        <v>0</v>
      </c>
      <c r="D348" s="21">
        <f t="shared" si="2953"/>
        <v>0</v>
      </c>
      <c r="E348" s="21">
        <f t="shared" si="2953"/>
        <v>0</v>
      </c>
      <c r="F348" s="21">
        <f t="shared" si="2953"/>
        <v>0</v>
      </c>
      <c r="G348" s="21">
        <f t="shared" si="2953"/>
        <v>0</v>
      </c>
      <c r="H348" s="21">
        <f t="shared" si="2953"/>
        <v>0</v>
      </c>
      <c r="I348" s="21">
        <f t="shared" si="2953"/>
        <v>0</v>
      </c>
      <c r="J348" s="21">
        <f t="shared" ref="J348:Q348" si="2954">IF($F$290, 0, IF($C$299, IF(AND(COLUMN($J$348)-COLUMN($B$343)=$Q$291,ROW($J$348)-ROW($B$343)=$K$291), U$290, J348), J348))</f>
        <v>0</v>
      </c>
      <c r="K348" s="21">
        <f t="shared" si="2954"/>
        <v>0</v>
      </c>
      <c r="L348" s="21">
        <f t="shared" si="2954"/>
        <v>0</v>
      </c>
      <c r="M348" s="21">
        <f t="shared" si="2954"/>
        <v>0</v>
      </c>
      <c r="N348" s="21">
        <f t="shared" si="2954"/>
        <v>0</v>
      </c>
      <c r="O348" s="21">
        <f t="shared" si="2954"/>
        <v>0</v>
      </c>
      <c r="P348" s="21">
        <f t="shared" si="2954"/>
        <v>0</v>
      </c>
      <c r="Q348" s="21">
        <f t="shared" si="2954"/>
        <v>0</v>
      </c>
      <c r="R348" s="21">
        <f>IF($F$290, 0, IF($C$299, IF(AND(COLUMN($R$348)-COLUMN($B$343)=$Q$291,ROW($R$348)-ROW($B$343)=$K$291), U$290, R348), R348))</f>
        <v>0</v>
      </c>
      <c r="S348" s="21">
        <f t="shared" ref="S348:Y348" si="2955">IF($F$290, 0, IF($C$299, IF(AND(COLUMN($R$348)-COLUMN($B$343)=$Q$291,ROW($R$348)-ROW($B$343)=$K$291), V$290, S348), S348))</f>
        <v>0</v>
      </c>
      <c r="T348" s="21">
        <f t="shared" si="2955"/>
        <v>0</v>
      </c>
      <c r="U348" s="21">
        <f t="shared" si="2955"/>
        <v>0</v>
      </c>
      <c r="V348" s="21">
        <f t="shared" si="2955"/>
        <v>0</v>
      </c>
      <c r="W348" s="21">
        <f t="shared" si="2955"/>
        <v>0</v>
      </c>
      <c r="X348" s="21">
        <f t="shared" si="2955"/>
        <v>0</v>
      </c>
      <c r="Y348" s="21">
        <f t="shared" si="2955"/>
        <v>0</v>
      </c>
      <c r="Z348" s="21">
        <f t="shared" ref="Z348:AG348" si="2956">IF($F$290, 0, IF($C$299, IF(AND(COLUMN($Z$348)-COLUMN($B$343)=$Q$291,ROW($Z$348)-ROW($B$343)=$K$291), U$290, Z348), Z348))</f>
        <v>0</v>
      </c>
      <c r="AA348" s="21">
        <f t="shared" si="2956"/>
        <v>0</v>
      </c>
      <c r="AB348" s="21">
        <f t="shared" si="2956"/>
        <v>0</v>
      </c>
      <c r="AC348" s="21">
        <f t="shared" si="2956"/>
        <v>0</v>
      </c>
      <c r="AD348" s="21">
        <f t="shared" si="2956"/>
        <v>0</v>
      </c>
      <c r="AE348" s="21">
        <f t="shared" si="2956"/>
        <v>0</v>
      </c>
      <c r="AF348" s="21">
        <f t="shared" si="2956"/>
        <v>0</v>
      </c>
      <c r="AG348" s="21">
        <f t="shared" si="2956"/>
        <v>0</v>
      </c>
      <c r="AH348" s="21">
        <f t="shared" ref="AH348:AO348" si="2957">IF($F$290, 0, IF($C$299, IF(AND(COLUMN($AH$348)-COLUMN($B$343)=$Q$291,ROW($AH$348)-ROW($B$343)=$K$291), U$290, AH348), AH348))</f>
        <v>0</v>
      </c>
      <c r="AI348" s="21">
        <f t="shared" si="2957"/>
        <v>0</v>
      </c>
      <c r="AJ348" s="21">
        <f t="shared" si="2957"/>
        <v>0</v>
      </c>
      <c r="AK348" s="21">
        <f t="shared" si="2957"/>
        <v>0</v>
      </c>
      <c r="AL348" s="21">
        <f t="shared" si="2957"/>
        <v>0</v>
      </c>
      <c r="AM348" s="21">
        <f t="shared" si="2957"/>
        <v>0</v>
      </c>
      <c r="AN348" s="21">
        <f t="shared" si="2957"/>
        <v>0</v>
      </c>
      <c r="AO348" s="21">
        <f t="shared" si="2957"/>
        <v>0</v>
      </c>
      <c r="AP348" s="21">
        <f t="shared" ref="AP348:AW348" si="2958">IF($F$290, 0, IF($C$299, IF(AND(COLUMN($AP$348)-COLUMN($B$343)=$Q$291,ROW($AP$348)-ROW($B$343)=$K$291), U$290, AP348), AP348))</f>
        <v>0</v>
      </c>
      <c r="AQ348" s="21">
        <f t="shared" si="2958"/>
        <v>0</v>
      </c>
      <c r="AR348" s="21">
        <f t="shared" si="2958"/>
        <v>0</v>
      </c>
      <c r="AS348" s="21">
        <f t="shared" si="2958"/>
        <v>0</v>
      </c>
      <c r="AT348" s="21">
        <f t="shared" si="2958"/>
        <v>0</v>
      </c>
      <c r="AU348" s="21">
        <f t="shared" si="2958"/>
        <v>0</v>
      </c>
      <c r="AV348" s="21">
        <f t="shared" si="2958"/>
        <v>0</v>
      </c>
      <c r="AW348" s="21">
        <f t="shared" si="2958"/>
        <v>0</v>
      </c>
      <c r="AX348" s="21">
        <f t="shared" ref="AX348:BE348" si="2959">IF($F$290, 0, IF($C$299, IF(AND(COLUMN($AX$348)-COLUMN($B$343)=$Q$291,ROW($AX$348)-ROW($B$343)=$K$291), U$290, AX348), AX348))</f>
        <v>0</v>
      </c>
      <c r="AY348" s="21">
        <f t="shared" si="2959"/>
        <v>0</v>
      </c>
      <c r="AZ348" s="21">
        <f t="shared" si="2959"/>
        <v>0</v>
      </c>
      <c r="BA348" s="21">
        <f t="shared" si="2959"/>
        <v>0</v>
      </c>
      <c r="BB348" s="21">
        <f t="shared" si="2959"/>
        <v>0</v>
      </c>
      <c r="BC348" s="21">
        <f t="shared" si="2959"/>
        <v>0</v>
      </c>
      <c r="BD348" s="21">
        <f t="shared" si="2959"/>
        <v>0</v>
      </c>
      <c r="BE348" s="21">
        <f t="shared" si="2959"/>
        <v>0</v>
      </c>
      <c r="BF348" s="21">
        <f t="shared" ref="BF348:BM348" si="2960">IF($F$290, 0, IF($C$299, IF(AND(COLUMN($BF$348)-COLUMN($B$343)=$Q$291,ROW($BF$348)-ROW($B$343)=$K$291), U$290, BF348), BF348))</f>
        <v>0</v>
      </c>
      <c r="BG348" s="21">
        <f t="shared" si="2960"/>
        <v>0</v>
      </c>
      <c r="BH348" s="21">
        <f t="shared" si="2960"/>
        <v>0</v>
      </c>
      <c r="BI348" s="21">
        <f t="shared" si="2960"/>
        <v>0</v>
      </c>
      <c r="BJ348" s="21">
        <f t="shared" si="2960"/>
        <v>0</v>
      </c>
      <c r="BK348" s="21">
        <f t="shared" si="2960"/>
        <v>0</v>
      </c>
      <c r="BL348" s="21">
        <f t="shared" si="2960"/>
        <v>0</v>
      </c>
      <c r="BM348" s="21">
        <f t="shared" si="2960"/>
        <v>0</v>
      </c>
      <c r="BN348" s="21">
        <f t="shared" ref="BN348:BU348" si="2961">IF($F$290, 0, IF($D$299, IF(AND(COLUMN($BN$348)-COLUMN($BN$343)=$Q$291,ROW($BN$348)-ROW($BN$343)=$K$291), U$290, BN348), BN348))</f>
        <v>0</v>
      </c>
      <c r="BO348" s="21">
        <f t="shared" si="2961"/>
        <v>0</v>
      </c>
      <c r="BP348" s="21">
        <f t="shared" si="2961"/>
        <v>0</v>
      </c>
      <c r="BQ348" s="21">
        <f t="shared" si="2961"/>
        <v>0</v>
      </c>
      <c r="BR348" s="21">
        <f t="shared" si="2961"/>
        <v>0</v>
      </c>
      <c r="BS348" s="21">
        <f t="shared" si="2961"/>
        <v>0</v>
      </c>
      <c r="BT348" s="21">
        <f t="shared" si="2961"/>
        <v>0</v>
      </c>
      <c r="BU348" s="21">
        <f t="shared" si="2961"/>
        <v>0</v>
      </c>
      <c r="BV348" s="21">
        <f t="shared" ref="BV348:CC348" si="2962">IF($F$290, 0, IF($D$299, IF(AND(COLUMN($BV$348)-COLUMN($BN$343)=$Q$291,ROW($BV$348)-ROW($BN$343)=$K$291), U$290, BV348), BV348))</f>
        <v>0</v>
      </c>
      <c r="BW348" s="21">
        <f t="shared" si="2962"/>
        <v>0</v>
      </c>
      <c r="BX348" s="21">
        <f t="shared" si="2962"/>
        <v>0</v>
      </c>
      <c r="BY348" s="21">
        <f t="shared" si="2962"/>
        <v>0</v>
      </c>
      <c r="BZ348" s="21">
        <f t="shared" si="2962"/>
        <v>0</v>
      </c>
      <c r="CA348" s="21">
        <f t="shared" si="2962"/>
        <v>0</v>
      </c>
      <c r="CB348" s="21">
        <f t="shared" si="2962"/>
        <v>0</v>
      </c>
      <c r="CC348" s="21">
        <f t="shared" si="2962"/>
        <v>0</v>
      </c>
      <c r="CD348" s="21">
        <f t="shared" ref="CD348:CK348" si="2963">IF($F$290, 0, IF($D$299, IF(AND(COLUMN($CD$348)-COLUMN($BN$343)=$Q$291,ROW($CD$348)-ROW($BN$343)=$K$291), U$290, CD348), CD348))</f>
        <v>0</v>
      </c>
      <c r="CE348" s="21">
        <f t="shared" si="2963"/>
        <v>0</v>
      </c>
      <c r="CF348" s="21">
        <f t="shared" si="2963"/>
        <v>0</v>
      </c>
      <c r="CG348" s="21">
        <f t="shared" si="2963"/>
        <v>0</v>
      </c>
      <c r="CH348" s="21">
        <f t="shared" si="2963"/>
        <v>0</v>
      </c>
      <c r="CI348" s="21">
        <f t="shared" si="2963"/>
        <v>0</v>
      </c>
      <c r="CJ348" s="21">
        <f t="shared" si="2963"/>
        <v>0</v>
      </c>
      <c r="CK348" s="21">
        <f t="shared" si="2963"/>
        <v>0</v>
      </c>
      <c r="CL348" s="21">
        <f t="shared" ref="CL348:CS348" si="2964">IF($F$290, 0, IF($D$299, IF(AND(COLUMN($CL$348)-COLUMN($BN$343)=$Q$291,ROW($CL$348)-ROW($BN$343)=$K$291), U$290, CL348), CL348))</f>
        <v>0</v>
      </c>
      <c r="CM348" s="21">
        <f t="shared" si="2964"/>
        <v>0</v>
      </c>
      <c r="CN348" s="21">
        <f t="shared" si="2964"/>
        <v>0</v>
      </c>
      <c r="CO348" s="21">
        <f t="shared" si="2964"/>
        <v>0</v>
      </c>
      <c r="CP348" s="21">
        <f t="shared" si="2964"/>
        <v>0</v>
      </c>
      <c r="CQ348" s="21">
        <f t="shared" si="2964"/>
        <v>0</v>
      </c>
      <c r="CR348" s="21">
        <f t="shared" si="2964"/>
        <v>0</v>
      </c>
      <c r="CS348" s="21">
        <f t="shared" si="2964"/>
        <v>0</v>
      </c>
      <c r="CT348" s="21">
        <f t="shared" ref="CT348:DA348" si="2965">IF($F$290, 0, IF($D$299, IF(AND(COLUMN($CT$348)-COLUMN($BN$343)=$Q$291,ROW($CT$348)-ROW($BN$343)=$K$291), U$290, CT348), CT348))</f>
        <v>0</v>
      </c>
      <c r="CU348" s="21">
        <f t="shared" si="2965"/>
        <v>0</v>
      </c>
      <c r="CV348" s="21">
        <f t="shared" si="2965"/>
        <v>0</v>
      </c>
      <c r="CW348" s="21">
        <f t="shared" si="2965"/>
        <v>0</v>
      </c>
      <c r="CX348" s="21">
        <f t="shared" si="2965"/>
        <v>0</v>
      </c>
      <c r="CY348" s="21">
        <f t="shared" si="2965"/>
        <v>0</v>
      </c>
      <c r="CZ348" s="21">
        <f t="shared" si="2965"/>
        <v>0</v>
      </c>
      <c r="DA348" s="21">
        <f t="shared" si="2965"/>
        <v>0</v>
      </c>
      <c r="DB348" s="21">
        <f t="shared" ref="DB348:DI348" si="2966">IF($F$290, 0, IF($D$299, IF(AND(COLUMN($DB$348)-COLUMN($BN$343)=$Q$291,ROW($DB$348)-ROW($BN$343)=$K$291), U$290, DB348), DB348))</f>
        <v>0</v>
      </c>
      <c r="DC348" s="21">
        <f t="shared" si="2966"/>
        <v>0</v>
      </c>
      <c r="DD348" s="21">
        <f t="shared" si="2966"/>
        <v>0</v>
      </c>
      <c r="DE348" s="21">
        <f t="shared" si="2966"/>
        <v>0</v>
      </c>
      <c r="DF348" s="21">
        <f t="shared" si="2966"/>
        <v>0</v>
      </c>
      <c r="DG348" s="21">
        <f t="shared" si="2966"/>
        <v>0</v>
      </c>
      <c r="DH348" s="21">
        <f t="shared" si="2966"/>
        <v>0</v>
      </c>
      <c r="DI348" s="21">
        <f t="shared" si="2966"/>
        <v>0</v>
      </c>
      <c r="DJ348" s="21">
        <f t="shared" ref="DJ348:DQ348" si="2967">IF($F$290, 0, IF($D$299, IF(AND(COLUMN($DJ$348)-COLUMN($BN$343)=$Q$291,ROW($DJ$348)-ROW($BN$343)=$K$291), U$290, DJ348), DJ348))</f>
        <v>0</v>
      </c>
      <c r="DK348" s="21">
        <f t="shared" si="2967"/>
        <v>0</v>
      </c>
      <c r="DL348" s="21">
        <f t="shared" si="2967"/>
        <v>0</v>
      </c>
      <c r="DM348" s="21">
        <f t="shared" si="2967"/>
        <v>0</v>
      </c>
      <c r="DN348" s="21">
        <f t="shared" si="2967"/>
        <v>0</v>
      </c>
      <c r="DO348" s="21">
        <f t="shared" si="2967"/>
        <v>0</v>
      </c>
      <c r="DP348" s="21">
        <f t="shared" si="2967"/>
        <v>0</v>
      </c>
      <c r="DQ348" s="21">
        <f t="shared" si="2967"/>
        <v>0</v>
      </c>
      <c r="DR348" s="21">
        <f t="shared" ref="DR348:DY348" si="2968">IF($F$290, 0, IF($D$299, IF(AND(COLUMN($DR$348)-COLUMN($BN$343)=$Q$291,ROW($DR$348)-ROW($BN$343)=$K$291), U$290, DR348), DR348))</f>
        <v>0</v>
      </c>
      <c r="DS348" s="21">
        <f t="shared" si="2968"/>
        <v>0</v>
      </c>
      <c r="DT348" s="21">
        <f t="shared" si="2968"/>
        <v>0</v>
      </c>
      <c r="DU348" s="21">
        <f t="shared" si="2968"/>
        <v>0</v>
      </c>
      <c r="DV348" s="21">
        <f t="shared" si="2968"/>
        <v>0</v>
      </c>
      <c r="DW348" s="21">
        <f t="shared" si="2968"/>
        <v>0</v>
      </c>
      <c r="DX348" s="21">
        <f t="shared" si="2968"/>
        <v>0</v>
      </c>
      <c r="DY348" s="21">
        <f t="shared" si="2968"/>
        <v>0</v>
      </c>
      <c r="DZ348" s="21">
        <f t="shared" ref="DZ348:EG348" si="2969">IF($F$290, 0, IF($E$299, IF(AND(COLUMN($DZ$348)-COLUMN($DZ$343)=$Q$291,ROW($DZ$348)-ROW($DZ$343)=$K$291), U$290, DZ348), DZ348))</f>
        <v>0</v>
      </c>
      <c r="EA348" s="21">
        <f t="shared" si="2969"/>
        <v>0</v>
      </c>
      <c r="EB348" s="21">
        <f t="shared" si="2969"/>
        <v>0</v>
      </c>
      <c r="EC348" s="21">
        <f t="shared" si="2969"/>
        <v>0</v>
      </c>
      <c r="ED348" s="21">
        <f t="shared" si="2969"/>
        <v>0</v>
      </c>
      <c r="EE348" s="21">
        <f t="shared" si="2969"/>
        <v>0</v>
      </c>
      <c r="EF348" s="21">
        <f t="shared" si="2969"/>
        <v>0</v>
      </c>
      <c r="EG348" s="21">
        <f t="shared" si="2969"/>
        <v>0</v>
      </c>
      <c r="EH348" s="21">
        <f t="shared" ref="EH348:EO348" si="2970">IF($F$290, 0, IF($E$299, IF(AND(COLUMN($EH$348)-COLUMN($DZ$343)=$Q$291,ROW($EH$348)-ROW($DZ$343)=$K$291), U$290, EH348), EH348))</f>
        <v>0</v>
      </c>
      <c r="EI348" s="21">
        <f t="shared" si="2970"/>
        <v>0</v>
      </c>
      <c r="EJ348" s="21">
        <f t="shared" si="2970"/>
        <v>0</v>
      </c>
      <c r="EK348" s="21">
        <f t="shared" si="2970"/>
        <v>0</v>
      </c>
      <c r="EL348" s="21">
        <f t="shared" si="2970"/>
        <v>0</v>
      </c>
      <c r="EM348" s="21">
        <f t="shared" si="2970"/>
        <v>0</v>
      </c>
      <c r="EN348" s="21">
        <f t="shared" si="2970"/>
        <v>0</v>
      </c>
      <c r="EO348" s="21">
        <f t="shared" si="2970"/>
        <v>0</v>
      </c>
      <c r="EP348" s="21">
        <f t="shared" ref="EP348:EW348" si="2971">IF($F$290, 0, IF($E$299, IF(AND(COLUMN($EP$348)-COLUMN($DZ$343)=$Q$291,ROW($EP$348)-ROW($DZ$343)=$K$291), U$290, EP348), EP348))</f>
        <v>0</v>
      </c>
      <c r="EQ348" s="21">
        <f t="shared" si="2971"/>
        <v>0</v>
      </c>
      <c r="ER348" s="21">
        <f t="shared" si="2971"/>
        <v>0</v>
      </c>
      <c r="ES348" s="21">
        <f t="shared" si="2971"/>
        <v>0</v>
      </c>
      <c r="ET348" s="21">
        <f t="shared" si="2971"/>
        <v>0</v>
      </c>
      <c r="EU348" s="21">
        <f t="shared" si="2971"/>
        <v>0</v>
      </c>
      <c r="EV348" s="21">
        <f t="shared" si="2971"/>
        <v>0</v>
      </c>
      <c r="EW348" s="21">
        <f t="shared" si="2971"/>
        <v>0</v>
      </c>
      <c r="EX348" s="21">
        <f t="shared" ref="EX348:FE348" si="2972">IF($F$290, 0, IF($E$299, IF(AND(COLUMN($EX$348)-COLUMN($DZ$343)=$Q$291,ROW($EX$348)-ROW($DZ$343)=$K$291), U$290, EX348), EX348))</f>
        <v>0</v>
      </c>
      <c r="EY348" s="21">
        <f t="shared" si="2972"/>
        <v>0</v>
      </c>
      <c r="EZ348" s="21">
        <f t="shared" si="2972"/>
        <v>0</v>
      </c>
      <c r="FA348" s="21">
        <f t="shared" si="2972"/>
        <v>0</v>
      </c>
      <c r="FB348" s="21">
        <f t="shared" si="2972"/>
        <v>0</v>
      </c>
      <c r="FC348" s="21">
        <f t="shared" si="2972"/>
        <v>0</v>
      </c>
      <c r="FD348" s="21">
        <f t="shared" si="2972"/>
        <v>0</v>
      </c>
      <c r="FE348" s="21">
        <f t="shared" si="2972"/>
        <v>0</v>
      </c>
      <c r="FF348" s="21">
        <f t="shared" ref="FF348:FM348" si="2973">IF($F$290, 0, IF($E$299, IF(AND(COLUMN($FF$348)-COLUMN($DZ$343)=$Q$291,ROW($FF$348)-ROW($DZ$343)=$K$291), U$290, FF348), FF348))</f>
        <v>0</v>
      </c>
      <c r="FG348" s="21">
        <f t="shared" si="2973"/>
        <v>0</v>
      </c>
      <c r="FH348" s="21">
        <f t="shared" si="2973"/>
        <v>0</v>
      </c>
      <c r="FI348" s="21">
        <f t="shared" si="2973"/>
        <v>0</v>
      </c>
      <c r="FJ348" s="21">
        <f t="shared" si="2973"/>
        <v>0</v>
      </c>
      <c r="FK348" s="21">
        <f t="shared" si="2973"/>
        <v>0</v>
      </c>
      <c r="FL348" s="21">
        <f t="shared" si="2973"/>
        <v>0</v>
      </c>
      <c r="FM348" s="21">
        <f t="shared" si="2973"/>
        <v>0</v>
      </c>
      <c r="FN348" s="21">
        <f t="shared" ref="FN348:FU348" si="2974">IF($F$290, 0, IF($E$299, IF(AND(COLUMN($FN$348)-COLUMN($DZ$343)=$Q$291,ROW($FN$348)-ROW($DZ$343)=$K$291), U$290, FN348), FN348))</f>
        <v>0</v>
      </c>
      <c r="FO348" s="21">
        <f t="shared" si="2974"/>
        <v>0</v>
      </c>
      <c r="FP348" s="21">
        <f t="shared" si="2974"/>
        <v>0</v>
      </c>
      <c r="FQ348" s="21">
        <f t="shared" si="2974"/>
        <v>0</v>
      </c>
      <c r="FR348" s="21">
        <f t="shared" si="2974"/>
        <v>0</v>
      </c>
      <c r="FS348" s="21">
        <f t="shared" si="2974"/>
        <v>0</v>
      </c>
      <c r="FT348" s="21">
        <f t="shared" si="2974"/>
        <v>0</v>
      </c>
      <c r="FU348" s="21">
        <f t="shared" si="2974"/>
        <v>0</v>
      </c>
      <c r="FV348" s="21">
        <f t="shared" ref="FV348:GC348" si="2975">IF($F$290, 0, IF($E$299, IF(AND(COLUMN($FV$348)-COLUMN($DZ$343)=$Q$291,ROW($FV$348)-ROW($DZ$343)=$K$291), U$290, FV348), FV348))</f>
        <v>0</v>
      </c>
      <c r="FW348" s="21">
        <f t="shared" si="2975"/>
        <v>0</v>
      </c>
      <c r="FX348" s="21">
        <f t="shared" si="2975"/>
        <v>0</v>
      </c>
      <c r="FY348" s="21">
        <f t="shared" si="2975"/>
        <v>0</v>
      </c>
      <c r="FZ348" s="21">
        <f t="shared" si="2975"/>
        <v>0</v>
      </c>
      <c r="GA348" s="21">
        <f t="shared" si="2975"/>
        <v>0</v>
      </c>
      <c r="GB348" s="21">
        <f t="shared" si="2975"/>
        <v>0</v>
      </c>
      <c r="GC348" s="21">
        <f t="shared" si="2975"/>
        <v>0</v>
      </c>
      <c r="GD348" s="21">
        <f t="shared" ref="GD348:GK348" si="2976">IF($F$290, 0, IF($E$299, IF(AND(COLUMN($GD$348)-COLUMN($DZ$343)=$Q$291,ROW($GD$348)-ROW($DZ$343)=$K$291), U$290, GD348), GD348))</f>
        <v>0</v>
      </c>
      <c r="GE348" s="21">
        <f t="shared" si="2976"/>
        <v>0</v>
      </c>
      <c r="GF348" s="21">
        <f t="shared" si="2976"/>
        <v>0</v>
      </c>
      <c r="GG348" s="21">
        <f t="shared" si="2976"/>
        <v>0</v>
      </c>
      <c r="GH348" s="21">
        <f t="shared" si="2976"/>
        <v>0</v>
      </c>
      <c r="GI348" s="21">
        <f t="shared" si="2976"/>
        <v>0</v>
      </c>
      <c r="GJ348" s="21">
        <f t="shared" si="2976"/>
        <v>0</v>
      </c>
      <c r="GK348" s="21">
        <f t="shared" si="2976"/>
        <v>0</v>
      </c>
      <c r="GL348" s="21">
        <f t="shared" ref="GL348:GS348" si="2977">IF($F$290, 0, IF($F$299, IF(AND(COLUMN($GL$348)-COLUMN($GL$343)=$Q$291,ROW($GL$348)-ROW($GL$343)=$K$291), U$290, GL348), GL348))</f>
        <v>0</v>
      </c>
      <c r="GM348" s="21">
        <f t="shared" si="2977"/>
        <v>0</v>
      </c>
      <c r="GN348" s="21">
        <f t="shared" si="2977"/>
        <v>0</v>
      </c>
      <c r="GO348" s="21">
        <f t="shared" si="2977"/>
        <v>0</v>
      </c>
      <c r="GP348" s="21">
        <f t="shared" si="2977"/>
        <v>0</v>
      </c>
      <c r="GQ348" s="21">
        <f t="shared" si="2977"/>
        <v>0</v>
      </c>
      <c r="GR348" s="21">
        <f t="shared" si="2977"/>
        <v>0</v>
      </c>
      <c r="GS348" s="21">
        <f t="shared" si="2977"/>
        <v>0</v>
      </c>
      <c r="GT348" s="21">
        <f t="shared" ref="GT348:HA348" si="2978">IF($F$290, 0, IF($F$299, IF(AND(COLUMN($GT$348)-COLUMN($GL$343)=$Q$291,ROW($GT$348)-ROW($GL$343)=$K$291), U$290, GT348), GT348))</f>
        <v>0</v>
      </c>
      <c r="GU348" s="21">
        <f t="shared" si="2978"/>
        <v>0</v>
      </c>
      <c r="GV348" s="21">
        <f t="shared" si="2978"/>
        <v>0</v>
      </c>
      <c r="GW348" s="21">
        <f t="shared" si="2978"/>
        <v>0</v>
      </c>
      <c r="GX348" s="21">
        <f t="shared" si="2978"/>
        <v>0</v>
      </c>
      <c r="GY348" s="21">
        <f t="shared" si="2978"/>
        <v>0</v>
      </c>
      <c r="GZ348" s="21">
        <f t="shared" si="2978"/>
        <v>0</v>
      </c>
      <c r="HA348" s="21">
        <f t="shared" si="2978"/>
        <v>0</v>
      </c>
      <c r="HB348" s="21">
        <f t="shared" ref="HB348:HI348" si="2979">IF($F$290, 0, IF($F$299, IF(AND(COLUMN($HB$348)-COLUMN($GL$343)=$Q$291,ROW($HB$348)-ROW($GL$343)=$K$291), U$290, HB348), HB348))</f>
        <v>0</v>
      </c>
      <c r="HC348" s="21">
        <f t="shared" si="2979"/>
        <v>0</v>
      </c>
      <c r="HD348" s="21">
        <f t="shared" si="2979"/>
        <v>0</v>
      </c>
      <c r="HE348" s="21">
        <f t="shared" si="2979"/>
        <v>0</v>
      </c>
      <c r="HF348" s="21">
        <f t="shared" si="2979"/>
        <v>0</v>
      </c>
      <c r="HG348" s="21">
        <f t="shared" si="2979"/>
        <v>0</v>
      </c>
      <c r="HH348" s="21">
        <f t="shared" si="2979"/>
        <v>0</v>
      </c>
      <c r="HI348" s="21">
        <f t="shared" si="2979"/>
        <v>0</v>
      </c>
      <c r="HJ348" s="21">
        <f t="shared" ref="HJ348:HQ348" si="2980">IF($F$290, 0, IF($F$299, IF(AND(COLUMN($HJ$348)-COLUMN($GL$343)=$Q$291,ROW($HJ$348)-ROW($GL$343)=$K$291), U$290, HJ348), HJ348))</f>
        <v>0</v>
      </c>
      <c r="HK348" s="21">
        <f t="shared" si="2980"/>
        <v>0</v>
      </c>
      <c r="HL348" s="21">
        <f t="shared" si="2980"/>
        <v>0</v>
      </c>
      <c r="HM348" s="21">
        <f t="shared" si="2980"/>
        <v>0</v>
      </c>
      <c r="HN348" s="21">
        <f t="shared" si="2980"/>
        <v>0</v>
      </c>
      <c r="HO348" s="21">
        <f t="shared" si="2980"/>
        <v>0</v>
      </c>
      <c r="HP348" s="21">
        <f t="shared" si="2980"/>
        <v>0</v>
      </c>
      <c r="HQ348" s="21">
        <f t="shared" si="2980"/>
        <v>0</v>
      </c>
      <c r="HR348" s="21">
        <f t="shared" ref="HR348:HY348" si="2981">IF($F$290, 0, IF($F$299, IF(AND(COLUMN($HR$348)-COLUMN($GL$343)=$Q$291,ROW($HR$348)-ROW($GL$343)=$K$291), U$290, HR348), HR348))</f>
        <v>0</v>
      </c>
      <c r="HS348" s="21">
        <f t="shared" si="2981"/>
        <v>0</v>
      </c>
      <c r="HT348" s="21">
        <f t="shared" si="2981"/>
        <v>0</v>
      </c>
      <c r="HU348" s="21">
        <f t="shared" si="2981"/>
        <v>0</v>
      </c>
      <c r="HV348" s="21">
        <f t="shared" si="2981"/>
        <v>0</v>
      </c>
      <c r="HW348" s="21">
        <f t="shared" si="2981"/>
        <v>0</v>
      </c>
      <c r="HX348" s="21">
        <f t="shared" si="2981"/>
        <v>0</v>
      </c>
      <c r="HY348" s="21">
        <f t="shared" si="2981"/>
        <v>0</v>
      </c>
      <c r="HZ348" s="21">
        <f t="shared" ref="HZ348:IG348" si="2982">IF($F$290, 0, IF($F$299, IF(AND(COLUMN($HZ$348)-COLUMN($GL$343)=$Q$291,ROW($HZ$348)-ROW($GL$343)=$K$291), U$290, HZ348), HZ348))</f>
        <v>0</v>
      </c>
      <c r="IA348" s="21">
        <f t="shared" si="2982"/>
        <v>0</v>
      </c>
      <c r="IB348" s="21">
        <f t="shared" si="2982"/>
        <v>0</v>
      </c>
      <c r="IC348" s="21">
        <f t="shared" si="2982"/>
        <v>0</v>
      </c>
      <c r="ID348" s="21">
        <f t="shared" si="2982"/>
        <v>0</v>
      </c>
      <c r="IE348" s="21">
        <f t="shared" si="2982"/>
        <v>0</v>
      </c>
      <c r="IF348" s="21">
        <f t="shared" si="2982"/>
        <v>0</v>
      </c>
      <c r="IG348" s="21">
        <f t="shared" si="2982"/>
        <v>0</v>
      </c>
      <c r="IH348" s="21">
        <f t="shared" ref="IH348:IO348" si="2983">IF($F$290, 0, IF($F$299, IF(AND(COLUMN($IH$348)-COLUMN($GL$343)=$Q$291,ROW($IH$348)-ROW($GL$343)=$K$291), U$290, IH348), IH348))</f>
        <v>0</v>
      </c>
      <c r="II348" s="21">
        <f t="shared" si="2983"/>
        <v>0</v>
      </c>
      <c r="IJ348" s="21">
        <f t="shared" si="2983"/>
        <v>0</v>
      </c>
      <c r="IK348" s="21">
        <f t="shared" si="2983"/>
        <v>0</v>
      </c>
      <c r="IL348" s="21">
        <f t="shared" si="2983"/>
        <v>0</v>
      </c>
      <c r="IM348" s="21">
        <f t="shared" si="2983"/>
        <v>0</v>
      </c>
      <c r="IN348" s="21">
        <f t="shared" si="2983"/>
        <v>0</v>
      </c>
      <c r="IO348" s="21">
        <f t="shared" si="2983"/>
        <v>0</v>
      </c>
      <c r="IP348" s="21">
        <f t="shared" ref="IP348:IW348" si="2984">IF($F$290, 0, IF($F$299, IF(AND(COLUMN($IP$348)-COLUMN($GL$343)=$Q$291,ROW($IP$348)-ROW($GL$343)=$K$291), U$290, IP348), IP348))</f>
        <v>0</v>
      </c>
      <c r="IQ348" s="21">
        <f t="shared" si="2984"/>
        <v>0</v>
      </c>
      <c r="IR348" s="21">
        <f t="shared" si="2984"/>
        <v>0</v>
      </c>
      <c r="IS348" s="21">
        <f t="shared" si="2984"/>
        <v>0</v>
      </c>
      <c r="IT348" s="21">
        <f t="shared" si="2984"/>
        <v>0</v>
      </c>
      <c r="IU348" s="21">
        <f t="shared" si="2984"/>
        <v>0</v>
      </c>
      <c r="IV348" s="21">
        <f t="shared" si="2984"/>
        <v>0</v>
      </c>
      <c r="IW348" s="21">
        <f t="shared" si="2984"/>
        <v>0</v>
      </c>
      <c r="IX348" s="21">
        <f t="shared" ref="IX348:JE348" si="2985">IF($F$290, 0, IF($G$299, IF(AND(COLUMN($IX$348)-COLUMN($IX$343)=$Q$291,ROW($IX$348)-ROW($IX$343)=$K$291), U$290, IX348), IX348))</f>
        <v>0</v>
      </c>
      <c r="IY348" s="21">
        <f t="shared" si="2985"/>
        <v>0</v>
      </c>
      <c r="IZ348" s="21">
        <f t="shared" si="2985"/>
        <v>0</v>
      </c>
      <c r="JA348" s="21">
        <f t="shared" si="2985"/>
        <v>0</v>
      </c>
      <c r="JB348" s="21">
        <f t="shared" si="2985"/>
        <v>0</v>
      </c>
      <c r="JC348" s="21">
        <f t="shared" si="2985"/>
        <v>0</v>
      </c>
      <c r="JD348" s="21">
        <f t="shared" si="2985"/>
        <v>0</v>
      </c>
      <c r="JE348" s="21">
        <f t="shared" si="2985"/>
        <v>0</v>
      </c>
      <c r="JF348" s="21">
        <f t="shared" ref="JF348:JM348" si="2986">IF($F$290, 0, IF($G$299, IF(AND(COLUMN($JF$348)-COLUMN($IX$343)=$Q$291,ROW($JF$348)-ROW($IX$343)=$K$291), U$290, JF348), JF348))</f>
        <v>0</v>
      </c>
      <c r="JG348" s="21">
        <f t="shared" si="2986"/>
        <v>0</v>
      </c>
      <c r="JH348" s="21">
        <f t="shared" si="2986"/>
        <v>0</v>
      </c>
      <c r="JI348" s="21">
        <f t="shared" si="2986"/>
        <v>0</v>
      </c>
      <c r="JJ348" s="21">
        <f t="shared" si="2986"/>
        <v>0</v>
      </c>
      <c r="JK348" s="21">
        <f t="shared" si="2986"/>
        <v>0</v>
      </c>
      <c r="JL348" s="21">
        <f t="shared" si="2986"/>
        <v>0</v>
      </c>
      <c r="JM348" s="21">
        <f t="shared" si="2986"/>
        <v>0</v>
      </c>
      <c r="JN348" s="21">
        <f t="shared" ref="JN348:JU348" si="2987">IF($F$290, 0, IF($G$299, IF(AND(COLUMN($JN$348)-COLUMN($IX$343)=$Q$291,ROW($JN$348)-ROW($IX$343)=$K$291), U$290, JN348), JN348))</f>
        <v>0</v>
      </c>
      <c r="JO348" s="21">
        <f t="shared" si="2987"/>
        <v>0</v>
      </c>
      <c r="JP348" s="21">
        <f t="shared" si="2987"/>
        <v>0</v>
      </c>
      <c r="JQ348" s="21">
        <f t="shared" si="2987"/>
        <v>0</v>
      </c>
      <c r="JR348" s="21">
        <f t="shared" si="2987"/>
        <v>0</v>
      </c>
      <c r="JS348" s="21">
        <f t="shared" si="2987"/>
        <v>0</v>
      </c>
      <c r="JT348" s="21">
        <f t="shared" si="2987"/>
        <v>0</v>
      </c>
      <c r="JU348" s="21">
        <f t="shared" si="2987"/>
        <v>0</v>
      </c>
      <c r="JV348" s="21">
        <f t="shared" ref="JV348:KC348" si="2988">IF($F$290, 0, IF($G$299, IF(AND(COLUMN($JV$348)-COLUMN($IX$343)=$Q$291,ROW($JV$348)-ROW($IX$343)=$K$291), U$290, JV348), JV348))</f>
        <v>0</v>
      </c>
      <c r="JW348" s="21">
        <f t="shared" si="2988"/>
        <v>0</v>
      </c>
      <c r="JX348" s="21">
        <f t="shared" si="2988"/>
        <v>0</v>
      </c>
      <c r="JY348" s="21">
        <f t="shared" si="2988"/>
        <v>0</v>
      </c>
      <c r="JZ348" s="21">
        <f t="shared" si="2988"/>
        <v>0</v>
      </c>
      <c r="KA348" s="21">
        <f t="shared" si="2988"/>
        <v>0</v>
      </c>
      <c r="KB348" s="21">
        <f t="shared" si="2988"/>
        <v>0</v>
      </c>
      <c r="KC348" s="21">
        <f t="shared" si="2988"/>
        <v>0</v>
      </c>
      <c r="KD348" s="21">
        <f t="shared" ref="KD348:KK348" si="2989">IF($F$290, 0, IF($G$299, IF(AND(COLUMN($KD$348)-COLUMN($IX$343)=$Q$291,ROW($KD$348)-ROW($IX$343)=$K$291), U$290, KD348), KD348))</f>
        <v>0</v>
      </c>
      <c r="KE348" s="21">
        <f t="shared" si="2989"/>
        <v>0</v>
      </c>
      <c r="KF348" s="21">
        <f t="shared" si="2989"/>
        <v>0</v>
      </c>
      <c r="KG348" s="21">
        <f t="shared" si="2989"/>
        <v>0</v>
      </c>
      <c r="KH348" s="21">
        <f t="shared" si="2989"/>
        <v>0</v>
      </c>
      <c r="KI348" s="21">
        <f t="shared" si="2989"/>
        <v>0</v>
      </c>
      <c r="KJ348" s="21">
        <f t="shared" si="2989"/>
        <v>0</v>
      </c>
      <c r="KK348" s="21">
        <f t="shared" si="2989"/>
        <v>0</v>
      </c>
      <c r="KL348" s="21">
        <f t="shared" ref="KL348:KS348" si="2990">IF($F$290, 0, IF($G$299, IF(AND(COLUMN($KL$348)-COLUMN($IX$343)=$Q$291,ROW($KL$348)-ROW($IX$343)=$K$291), U$290, KL348), KL348))</f>
        <v>0</v>
      </c>
      <c r="KM348" s="21">
        <f t="shared" si="2990"/>
        <v>0</v>
      </c>
      <c r="KN348" s="21">
        <f t="shared" si="2990"/>
        <v>0</v>
      </c>
      <c r="KO348" s="21">
        <f t="shared" si="2990"/>
        <v>0</v>
      </c>
      <c r="KP348" s="21">
        <f t="shared" si="2990"/>
        <v>0</v>
      </c>
      <c r="KQ348" s="21">
        <f t="shared" si="2990"/>
        <v>0</v>
      </c>
      <c r="KR348" s="21">
        <f t="shared" si="2990"/>
        <v>0</v>
      </c>
      <c r="KS348" s="21">
        <f t="shared" si="2990"/>
        <v>0</v>
      </c>
      <c r="KT348" s="21">
        <f t="shared" ref="KT348:LA348" si="2991">IF($F$290, 0, IF($G$299, IF(AND(COLUMN($KT$348)-COLUMN($IX$343)=$Q$291,ROW($KT$348)-ROW($IX$343)=$K$291), U$290, KT348), KT348))</f>
        <v>0</v>
      </c>
      <c r="KU348" s="21">
        <f t="shared" si="2991"/>
        <v>0</v>
      </c>
      <c r="KV348" s="21">
        <f t="shared" si="2991"/>
        <v>0</v>
      </c>
      <c r="KW348" s="21">
        <f t="shared" si="2991"/>
        <v>0</v>
      </c>
      <c r="KX348" s="21">
        <f t="shared" si="2991"/>
        <v>0</v>
      </c>
      <c r="KY348" s="21">
        <f t="shared" si="2991"/>
        <v>0</v>
      </c>
      <c r="KZ348" s="21">
        <f t="shared" si="2991"/>
        <v>0</v>
      </c>
      <c r="LA348" s="21">
        <f t="shared" si="2991"/>
        <v>0</v>
      </c>
      <c r="LB348" s="21">
        <f t="shared" ref="LB348:LI348" si="2992">IF($F$290, 0, IF($G$299, IF(AND(COLUMN($LB$348)-COLUMN($IX$343)=$Q$291,ROW($LB$348)-ROW($IX$343)=$K$291), U$290, LB348), LB348))</f>
        <v>0</v>
      </c>
      <c r="LC348" s="21">
        <f t="shared" si="2992"/>
        <v>0</v>
      </c>
      <c r="LD348" s="21">
        <f t="shared" si="2992"/>
        <v>0</v>
      </c>
      <c r="LE348" s="21">
        <f t="shared" si="2992"/>
        <v>0</v>
      </c>
      <c r="LF348" s="21">
        <f t="shared" si="2992"/>
        <v>0</v>
      </c>
      <c r="LG348" s="21">
        <f t="shared" si="2992"/>
        <v>0</v>
      </c>
      <c r="LH348" s="21">
        <f t="shared" si="2992"/>
        <v>0</v>
      </c>
      <c r="LI348" s="21">
        <f t="shared" si="2992"/>
        <v>0</v>
      </c>
      <c r="LJ348" s="21">
        <f t="shared" ref="LJ348:LQ348" si="2993">IF($F$290, 0, IF($H$299, IF(AND(COLUMN($LJ$348)-COLUMN($LJ$343)=$Q$291,ROW($LJ$348)-ROW($LJ$343)=$K$291), U$290, LJ348), LJ348))</f>
        <v>0</v>
      </c>
      <c r="LK348" s="21">
        <f t="shared" si="2993"/>
        <v>0</v>
      </c>
      <c r="LL348" s="21">
        <f t="shared" si="2993"/>
        <v>0</v>
      </c>
      <c r="LM348" s="21">
        <f t="shared" si="2993"/>
        <v>0</v>
      </c>
      <c r="LN348" s="21">
        <f t="shared" si="2993"/>
        <v>0</v>
      </c>
      <c r="LO348" s="21">
        <f t="shared" si="2993"/>
        <v>0</v>
      </c>
      <c r="LP348" s="21">
        <f t="shared" si="2993"/>
        <v>0</v>
      </c>
      <c r="LQ348" s="21">
        <f t="shared" si="2993"/>
        <v>0</v>
      </c>
      <c r="LR348" s="21">
        <f t="shared" ref="LR348:LY348" si="2994">IF($F$290, 0, IF($H$299, IF(AND(COLUMN($LR$348)-COLUMN($LJ$343)=$Q$291,ROW($LR$348)-ROW($LJ$343)=$K$291), U$290, LR348), LR348))</f>
        <v>0</v>
      </c>
      <c r="LS348" s="21">
        <f t="shared" si="2994"/>
        <v>0</v>
      </c>
      <c r="LT348" s="21">
        <f t="shared" si="2994"/>
        <v>0</v>
      </c>
      <c r="LU348" s="21">
        <f t="shared" si="2994"/>
        <v>0</v>
      </c>
      <c r="LV348" s="21">
        <f t="shared" si="2994"/>
        <v>0</v>
      </c>
      <c r="LW348" s="21">
        <f t="shared" si="2994"/>
        <v>0</v>
      </c>
      <c r="LX348" s="21">
        <f t="shared" si="2994"/>
        <v>0</v>
      </c>
      <c r="LY348" s="21">
        <f t="shared" si="2994"/>
        <v>0</v>
      </c>
      <c r="LZ348" s="21">
        <f t="shared" ref="LZ348:MG348" si="2995">IF($F$290, 0, IF($H$299, IF(AND(COLUMN($LZ$348)-COLUMN($LJ$343)=$Q$291,ROW($LZ$348)-ROW($LJ$343)=$K$291), U$290, LZ348), LZ348))</f>
        <v>0</v>
      </c>
      <c r="MA348" s="21">
        <f t="shared" si="2995"/>
        <v>0</v>
      </c>
      <c r="MB348" s="21">
        <f t="shared" si="2995"/>
        <v>0</v>
      </c>
      <c r="MC348" s="21">
        <f t="shared" si="2995"/>
        <v>0</v>
      </c>
      <c r="MD348" s="21">
        <f t="shared" si="2995"/>
        <v>0</v>
      </c>
      <c r="ME348" s="21">
        <f t="shared" si="2995"/>
        <v>0</v>
      </c>
      <c r="MF348" s="21">
        <f t="shared" si="2995"/>
        <v>0</v>
      </c>
      <c r="MG348" s="21">
        <f t="shared" si="2995"/>
        <v>0</v>
      </c>
      <c r="MH348" s="21">
        <f t="shared" ref="MH348:MO348" si="2996">IF($F$290, 0, IF($H$299, IF(AND(COLUMN($MH$348)-COLUMN($LJ$343)=$Q$291,ROW($MH$348)-ROW($LJ$343)=$K$291), U$290, MH348), MH348))</f>
        <v>0</v>
      </c>
      <c r="MI348" s="21">
        <f t="shared" si="2996"/>
        <v>0</v>
      </c>
      <c r="MJ348" s="21">
        <f t="shared" si="2996"/>
        <v>0</v>
      </c>
      <c r="MK348" s="21">
        <f t="shared" si="2996"/>
        <v>0</v>
      </c>
      <c r="ML348" s="21">
        <f t="shared" si="2996"/>
        <v>0</v>
      </c>
      <c r="MM348" s="21">
        <f t="shared" si="2996"/>
        <v>0</v>
      </c>
      <c r="MN348" s="21">
        <f t="shared" si="2996"/>
        <v>0</v>
      </c>
      <c r="MO348" s="21">
        <f t="shared" si="2996"/>
        <v>0</v>
      </c>
      <c r="MP348" s="21">
        <f t="shared" ref="MP348:MW348" si="2997">IF($F$290, 0, IF($H$299, IF(AND(COLUMN($MP$348)-COLUMN($LJ$343)=$Q$291,ROW($MP$348)-ROW($LJ$343)=$K$291), U$290, MP348), MP348))</f>
        <v>0</v>
      </c>
      <c r="MQ348" s="21">
        <f t="shared" si="2997"/>
        <v>0</v>
      </c>
      <c r="MR348" s="21">
        <f t="shared" si="2997"/>
        <v>0</v>
      </c>
      <c r="MS348" s="21">
        <f t="shared" si="2997"/>
        <v>0</v>
      </c>
      <c r="MT348" s="21">
        <f t="shared" si="2997"/>
        <v>0</v>
      </c>
      <c r="MU348" s="21">
        <f t="shared" si="2997"/>
        <v>0</v>
      </c>
      <c r="MV348" s="21">
        <f t="shared" si="2997"/>
        <v>0</v>
      </c>
      <c r="MW348" s="21">
        <f t="shared" si="2997"/>
        <v>0</v>
      </c>
      <c r="MX348" s="21">
        <f t="shared" ref="MX348:NE348" si="2998">IF($F$290, 0, IF($H$299, IF(AND(COLUMN($MX$348)-COLUMN($LJ$343)=$Q$291,ROW($MX$348)-ROW($LJ$343)=$K$291), U$290, MX348), MX348))</f>
        <v>0</v>
      </c>
      <c r="MY348" s="21">
        <f t="shared" si="2998"/>
        <v>0</v>
      </c>
      <c r="MZ348" s="21">
        <f t="shared" si="2998"/>
        <v>0</v>
      </c>
      <c r="NA348" s="21">
        <f t="shared" si="2998"/>
        <v>0</v>
      </c>
      <c r="NB348" s="21">
        <f t="shared" si="2998"/>
        <v>0</v>
      </c>
      <c r="NC348" s="21">
        <f t="shared" si="2998"/>
        <v>0</v>
      </c>
      <c r="ND348" s="21">
        <f t="shared" si="2998"/>
        <v>0</v>
      </c>
      <c r="NE348" s="21">
        <f t="shared" si="2998"/>
        <v>0</v>
      </c>
      <c r="NF348" s="21">
        <f t="shared" ref="NF348:NM348" si="2999">IF($F$290, 0, IF($H$299, IF(AND(COLUMN($NF$348)-COLUMN($LJ$343)=$Q$291,ROW($NF$348)-ROW($LJ$343)=$K$291), U$290, NF348), NF348))</f>
        <v>0</v>
      </c>
      <c r="NG348" s="21">
        <f t="shared" si="2999"/>
        <v>0</v>
      </c>
      <c r="NH348" s="21">
        <f t="shared" si="2999"/>
        <v>0</v>
      </c>
      <c r="NI348" s="21">
        <f t="shared" si="2999"/>
        <v>0</v>
      </c>
      <c r="NJ348" s="21">
        <f t="shared" si="2999"/>
        <v>0</v>
      </c>
      <c r="NK348" s="21">
        <f t="shared" si="2999"/>
        <v>0</v>
      </c>
      <c r="NL348" s="21">
        <f t="shared" si="2999"/>
        <v>0</v>
      </c>
      <c r="NM348" s="21">
        <f t="shared" si="2999"/>
        <v>0</v>
      </c>
      <c r="NN348" s="21">
        <f t="shared" ref="NN348:NU348" si="3000">IF($F$290, 0, IF($H$299, IF(AND(COLUMN($NN$348)-COLUMN($LJ$343)=$Q$291,ROW($NN$348)-ROW($LJ$343)=$K$291), U$290, NN348), NN348))</f>
        <v>0</v>
      </c>
      <c r="NO348" s="21">
        <f t="shared" si="3000"/>
        <v>0</v>
      </c>
      <c r="NP348" s="21">
        <f t="shared" si="3000"/>
        <v>0</v>
      </c>
      <c r="NQ348" s="21">
        <f t="shared" si="3000"/>
        <v>0</v>
      </c>
      <c r="NR348" s="21">
        <f t="shared" si="3000"/>
        <v>0</v>
      </c>
      <c r="NS348" s="21">
        <f t="shared" si="3000"/>
        <v>0</v>
      </c>
      <c r="NT348" s="21">
        <f t="shared" si="3000"/>
        <v>0</v>
      </c>
      <c r="NU348" s="21">
        <f t="shared" si="3000"/>
        <v>0</v>
      </c>
      <c r="NV348" s="21">
        <f t="shared" ref="NV348:OC348" si="3001">IF($F$290, 0, IF($I$299, IF(AND(COLUMN($NV$348)-COLUMN($NV$343)=$Q$291,ROW($NV$348)-ROW($NV$343)=$K$291), U$290, NV348), NV348))</f>
        <v>0</v>
      </c>
      <c r="NW348" s="21">
        <f t="shared" si="3001"/>
        <v>0</v>
      </c>
      <c r="NX348" s="21">
        <f t="shared" si="3001"/>
        <v>0</v>
      </c>
      <c r="NY348" s="21">
        <f t="shared" si="3001"/>
        <v>0</v>
      </c>
      <c r="NZ348" s="21">
        <f t="shared" si="3001"/>
        <v>0</v>
      </c>
      <c r="OA348" s="21">
        <f t="shared" si="3001"/>
        <v>0</v>
      </c>
      <c r="OB348" s="21">
        <f t="shared" si="3001"/>
        <v>0</v>
      </c>
      <c r="OC348" s="21">
        <f t="shared" si="3001"/>
        <v>0</v>
      </c>
      <c r="OD348" s="21">
        <f t="shared" ref="OD348:OK348" si="3002">IF($F$290, 0, IF($I$299, IF(AND(COLUMN($OD$348)-COLUMN($NV$343)=$Q$291,ROW($OD$348)-ROW($NV$343)=$K$291), U$290, OD348), OD348))</f>
        <v>0</v>
      </c>
      <c r="OE348" s="21">
        <f t="shared" si="3002"/>
        <v>0</v>
      </c>
      <c r="OF348" s="21">
        <f t="shared" si="3002"/>
        <v>0</v>
      </c>
      <c r="OG348" s="21">
        <f t="shared" si="3002"/>
        <v>0</v>
      </c>
      <c r="OH348" s="21">
        <f t="shared" si="3002"/>
        <v>0</v>
      </c>
      <c r="OI348" s="21">
        <f t="shared" si="3002"/>
        <v>0</v>
      </c>
      <c r="OJ348" s="21">
        <f t="shared" si="3002"/>
        <v>0</v>
      </c>
      <c r="OK348" s="21">
        <f t="shared" si="3002"/>
        <v>0</v>
      </c>
      <c r="OL348" s="21">
        <f t="shared" ref="OL348:OS348" si="3003">IF($F$290, 0, IF($I$299, IF(AND(COLUMN($OL$348)-COLUMN($NV$343)=$Q$291,ROW($OL$348)-ROW($NV$343)=$K$291), U$290, OL348), OL348))</f>
        <v>0</v>
      </c>
      <c r="OM348" s="21">
        <f t="shared" si="3003"/>
        <v>0</v>
      </c>
      <c r="ON348" s="21">
        <f t="shared" si="3003"/>
        <v>0</v>
      </c>
      <c r="OO348" s="21">
        <f t="shared" si="3003"/>
        <v>0</v>
      </c>
      <c r="OP348" s="21">
        <f t="shared" si="3003"/>
        <v>0</v>
      </c>
      <c r="OQ348" s="21">
        <f t="shared" si="3003"/>
        <v>0</v>
      </c>
      <c r="OR348" s="21">
        <f t="shared" si="3003"/>
        <v>0</v>
      </c>
      <c r="OS348" s="21">
        <f t="shared" si="3003"/>
        <v>0</v>
      </c>
      <c r="OT348" s="21">
        <f t="shared" ref="OT348:PA348" si="3004">IF($F$290, 0, IF($I$299, IF(AND(COLUMN($OT$348)-COLUMN($NV$343)=$Q$291,ROW($OT$348)-ROW($NV$343)=$K$291), U$290, OT348), OT348))</f>
        <v>0</v>
      </c>
      <c r="OU348" s="21">
        <f t="shared" si="3004"/>
        <v>0</v>
      </c>
      <c r="OV348" s="21">
        <f t="shared" si="3004"/>
        <v>0</v>
      </c>
      <c r="OW348" s="21">
        <f t="shared" si="3004"/>
        <v>0</v>
      </c>
      <c r="OX348" s="21">
        <f t="shared" si="3004"/>
        <v>0</v>
      </c>
      <c r="OY348" s="21">
        <f t="shared" si="3004"/>
        <v>0</v>
      </c>
      <c r="OZ348" s="21">
        <f t="shared" si="3004"/>
        <v>0</v>
      </c>
      <c r="PA348" s="21">
        <f t="shared" si="3004"/>
        <v>0</v>
      </c>
      <c r="PB348" s="21">
        <f t="shared" ref="PB348:PI348" si="3005">IF($F$290, 0, IF($I$299, IF(AND(COLUMN($PB$348)-COLUMN($NV$343)=$Q$291,ROW($PB$348)-ROW($NV$343)=$K$291), U$290, PB348), PB348))</f>
        <v>0</v>
      </c>
      <c r="PC348" s="21">
        <f t="shared" si="3005"/>
        <v>0</v>
      </c>
      <c r="PD348" s="21">
        <f t="shared" si="3005"/>
        <v>0</v>
      </c>
      <c r="PE348" s="21">
        <f t="shared" si="3005"/>
        <v>0</v>
      </c>
      <c r="PF348" s="21">
        <f t="shared" si="3005"/>
        <v>0</v>
      </c>
      <c r="PG348" s="21">
        <f t="shared" si="3005"/>
        <v>0</v>
      </c>
      <c r="PH348" s="21">
        <f t="shared" si="3005"/>
        <v>0</v>
      </c>
      <c r="PI348" s="21">
        <f t="shared" si="3005"/>
        <v>0</v>
      </c>
      <c r="PJ348" s="21">
        <f t="shared" ref="PJ348:PQ348" si="3006">IF($F$290, 0, IF($I$299, IF(AND(COLUMN($PJ$348)-COLUMN($NV$343)=$Q$291,ROW($PJ$348)-ROW($NV$343)=$K$291), U$290, PJ348), PJ348))</f>
        <v>0</v>
      </c>
      <c r="PK348" s="21">
        <f t="shared" si="3006"/>
        <v>0</v>
      </c>
      <c r="PL348" s="21">
        <f t="shared" si="3006"/>
        <v>0</v>
      </c>
      <c r="PM348" s="21">
        <f t="shared" si="3006"/>
        <v>0</v>
      </c>
      <c r="PN348" s="21">
        <f t="shared" si="3006"/>
        <v>0</v>
      </c>
      <c r="PO348" s="21">
        <f t="shared" si="3006"/>
        <v>0</v>
      </c>
      <c r="PP348" s="21">
        <f t="shared" si="3006"/>
        <v>0</v>
      </c>
      <c r="PQ348" s="21">
        <f t="shared" si="3006"/>
        <v>0</v>
      </c>
      <c r="PR348" s="21">
        <f t="shared" ref="PR348:PY348" si="3007">IF($F$290, 0, IF($I$299, IF(AND(COLUMN($PR$348)-COLUMN($NV$343)=$Q$291,ROW($PR$348)-ROW($NV$343)=$K$291), U$290, PR348), PR348))</f>
        <v>0</v>
      </c>
      <c r="PS348" s="21">
        <f t="shared" si="3007"/>
        <v>0</v>
      </c>
      <c r="PT348" s="21">
        <f t="shared" si="3007"/>
        <v>0</v>
      </c>
      <c r="PU348" s="21">
        <f t="shared" si="3007"/>
        <v>0</v>
      </c>
      <c r="PV348" s="21">
        <f t="shared" si="3007"/>
        <v>0</v>
      </c>
      <c r="PW348" s="21">
        <f t="shared" si="3007"/>
        <v>0</v>
      </c>
      <c r="PX348" s="21">
        <f t="shared" si="3007"/>
        <v>0</v>
      </c>
      <c r="PY348" s="21">
        <f t="shared" si="3007"/>
        <v>0</v>
      </c>
      <c r="PZ348" s="21">
        <f t="shared" ref="PZ348:QG348" si="3008">IF($F$290, 0, IF($I$299, IF(AND(COLUMN($PZ$348)-COLUMN($NV$343)=$Q$291,ROW($PZ$348)-ROW($NV$343)=$K$291), U$290, PZ348), PZ348))</f>
        <v>0</v>
      </c>
      <c r="QA348" s="21">
        <f t="shared" si="3008"/>
        <v>0</v>
      </c>
      <c r="QB348" s="21">
        <f t="shared" si="3008"/>
        <v>0</v>
      </c>
      <c r="QC348" s="21">
        <f t="shared" si="3008"/>
        <v>0</v>
      </c>
      <c r="QD348" s="21">
        <f t="shared" si="3008"/>
        <v>0</v>
      </c>
      <c r="QE348" s="21">
        <f t="shared" si="3008"/>
        <v>0</v>
      </c>
      <c r="QF348" s="21">
        <f t="shared" si="3008"/>
        <v>0</v>
      </c>
      <c r="QG348" s="21">
        <f t="shared" si="3008"/>
        <v>0</v>
      </c>
      <c r="QH348" s="21">
        <f t="shared" ref="QH348:QO348" si="3009">IF($F$290, 0, IF($J$299, IF(AND(COLUMN($QH$348)-COLUMN($QH$343)=$Q$291,ROW($QH$348)-ROW($QH$343)=$K$291), U$290, QH348), QH348))</f>
        <v>0</v>
      </c>
      <c r="QI348" s="21">
        <f t="shared" si="3009"/>
        <v>0</v>
      </c>
      <c r="QJ348" s="21">
        <f t="shared" si="3009"/>
        <v>0</v>
      </c>
      <c r="QK348" s="21">
        <f t="shared" si="3009"/>
        <v>0</v>
      </c>
      <c r="QL348" s="21">
        <f t="shared" si="3009"/>
        <v>0</v>
      </c>
      <c r="QM348" s="21">
        <f t="shared" si="3009"/>
        <v>0</v>
      </c>
      <c r="QN348" s="21">
        <f t="shared" si="3009"/>
        <v>0</v>
      </c>
      <c r="QO348" s="21">
        <f t="shared" si="3009"/>
        <v>0</v>
      </c>
      <c r="QP348" s="21">
        <f t="shared" ref="QP348:QW348" si="3010">IF($F$290, 0, IF($J$299, IF(AND(COLUMN($QP$348)-COLUMN($QH$343)=$Q$291,ROW($QP$348)-ROW($QH$343)=$K$291), U$290, QP348), QP348))</f>
        <v>0</v>
      </c>
      <c r="QQ348" s="21">
        <f t="shared" si="3010"/>
        <v>0</v>
      </c>
      <c r="QR348" s="21">
        <f t="shared" si="3010"/>
        <v>0</v>
      </c>
      <c r="QS348" s="21">
        <f t="shared" si="3010"/>
        <v>0</v>
      </c>
      <c r="QT348" s="21">
        <f t="shared" si="3010"/>
        <v>0</v>
      </c>
      <c r="QU348" s="21">
        <f t="shared" si="3010"/>
        <v>0</v>
      </c>
      <c r="QV348" s="21">
        <f t="shared" si="3010"/>
        <v>0</v>
      </c>
      <c r="QW348" s="21">
        <f t="shared" si="3010"/>
        <v>0</v>
      </c>
      <c r="QX348" s="21">
        <f t="shared" ref="QX348:RE348" si="3011">IF($F$290, 0, IF($J$299, IF(AND(COLUMN($QX$348)-COLUMN($QH$343)=$Q$291,ROW($QX$348)-ROW($QH$343)=$K$291), U$290, QX348), QX348))</f>
        <v>0</v>
      </c>
      <c r="QY348" s="21">
        <f t="shared" si="3011"/>
        <v>0</v>
      </c>
      <c r="QZ348" s="21">
        <f t="shared" si="3011"/>
        <v>0</v>
      </c>
      <c r="RA348" s="21">
        <f t="shared" si="3011"/>
        <v>0</v>
      </c>
      <c r="RB348" s="21">
        <f t="shared" si="3011"/>
        <v>0</v>
      </c>
      <c r="RC348" s="21">
        <f t="shared" si="3011"/>
        <v>0</v>
      </c>
      <c r="RD348" s="21">
        <f t="shared" si="3011"/>
        <v>0</v>
      </c>
      <c r="RE348" s="21">
        <f t="shared" si="3011"/>
        <v>0</v>
      </c>
      <c r="RF348" s="21">
        <f t="shared" ref="RF348:RM348" si="3012">IF($F$290, 0, IF($J$299, IF(AND(COLUMN($RF$348)-COLUMN($QH$343)=$Q$291,ROW($RF$348)-ROW($QH$343)=$K$291), U$290, RF348), RF348))</f>
        <v>0</v>
      </c>
      <c r="RG348" s="21">
        <f t="shared" si="3012"/>
        <v>0</v>
      </c>
      <c r="RH348" s="21">
        <f t="shared" si="3012"/>
        <v>0</v>
      </c>
      <c r="RI348" s="21">
        <f t="shared" si="3012"/>
        <v>0</v>
      </c>
      <c r="RJ348" s="21">
        <f t="shared" si="3012"/>
        <v>0</v>
      </c>
      <c r="RK348" s="21">
        <f t="shared" si="3012"/>
        <v>0</v>
      </c>
      <c r="RL348" s="21">
        <f t="shared" si="3012"/>
        <v>0</v>
      </c>
      <c r="RM348" s="21">
        <f t="shared" si="3012"/>
        <v>0</v>
      </c>
      <c r="RN348" s="21">
        <f t="shared" ref="RN348:RU348" si="3013">IF($F$290, 0, IF($J$299, IF(AND(COLUMN($RN$348)-COLUMN($QH$343)=$Q$291,ROW($RN$348)-ROW($QH$343)=$K$291), U$290, RN348), RN348))</f>
        <v>0</v>
      </c>
      <c r="RO348" s="21">
        <f t="shared" si="3013"/>
        <v>0</v>
      </c>
      <c r="RP348" s="21">
        <f t="shared" si="3013"/>
        <v>0</v>
      </c>
      <c r="RQ348" s="21">
        <f t="shared" si="3013"/>
        <v>0</v>
      </c>
      <c r="RR348" s="21">
        <f t="shared" si="3013"/>
        <v>0</v>
      </c>
      <c r="RS348" s="21">
        <f t="shared" si="3013"/>
        <v>0</v>
      </c>
      <c r="RT348" s="21">
        <f t="shared" si="3013"/>
        <v>0</v>
      </c>
      <c r="RU348" s="21">
        <f t="shared" si="3013"/>
        <v>0</v>
      </c>
      <c r="RV348" s="21">
        <f t="shared" ref="RV348:SC348" si="3014">IF($F$290, 0, IF($J$299, IF(AND(COLUMN($RV$348)-COLUMN($QH$343)=$Q$291,ROW($RV$348)-ROW($QH$343)=$K$291), U$290, RV348), RV348))</f>
        <v>0</v>
      </c>
      <c r="RW348" s="21">
        <f t="shared" si="3014"/>
        <v>0</v>
      </c>
      <c r="RX348" s="21">
        <f t="shared" si="3014"/>
        <v>0</v>
      </c>
      <c r="RY348" s="21">
        <f t="shared" si="3014"/>
        <v>0</v>
      </c>
      <c r="RZ348" s="21">
        <f t="shared" si="3014"/>
        <v>0</v>
      </c>
      <c r="SA348" s="21">
        <f t="shared" si="3014"/>
        <v>0</v>
      </c>
      <c r="SB348" s="21">
        <f t="shared" si="3014"/>
        <v>0</v>
      </c>
      <c r="SC348" s="21">
        <f t="shared" si="3014"/>
        <v>0</v>
      </c>
      <c r="SD348" s="21">
        <f t="shared" ref="SD348:SK348" si="3015">IF($F$290, 0, IF($J$299, IF(AND(COLUMN($SD$348)-COLUMN($QH$343)=$Q$291,ROW($SD$348)-ROW($QH$343)=$K$291), U$290, SD348), SD348))</f>
        <v>0</v>
      </c>
      <c r="SE348" s="21">
        <f t="shared" si="3015"/>
        <v>0</v>
      </c>
      <c r="SF348" s="21">
        <f t="shared" si="3015"/>
        <v>0</v>
      </c>
      <c r="SG348" s="21">
        <f t="shared" si="3015"/>
        <v>0</v>
      </c>
      <c r="SH348" s="21">
        <f t="shared" si="3015"/>
        <v>0</v>
      </c>
      <c r="SI348" s="21">
        <f t="shared" si="3015"/>
        <v>0</v>
      </c>
      <c r="SJ348" s="21">
        <f t="shared" si="3015"/>
        <v>0</v>
      </c>
      <c r="SK348" s="21">
        <f t="shared" si="3015"/>
        <v>0</v>
      </c>
      <c r="SL348" s="21">
        <f t="shared" ref="SL348:SS348" si="3016">IF($F$290, 0, IF($J$299, IF(AND(COLUMN($SL$348)-COLUMN($QH$343)=$Q$291,ROW($SL$348)-ROW($QH$343)=$K$291), U$290, SL348), SL348))</f>
        <v>0</v>
      </c>
      <c r="SM348" s="21">
        <f t="shared" si="3016"/>
        <v>0</v>
      </c>
      <c r="SN348" s="21">
        <f t="shared" si="3016"/>
        <v>0</v>
      </c>
      <c r="SO348" s="21">
        <f t="shared" si="3016"/>
        <v>0</v>
      </c>
      <c r="SP348" s="21">
        <f t="shared" si="3016"/>
        <v>0</v>
      </c>
      <c r="SQ348" s="21">
        <f t="shared" si="3016"/>
        <v>0</v>
      </c>
      <c r="SR348" s="21">
        <f t="shared" si="3016"/>
        <v>0</v>
      </c>
      <c r="SS348" s="21">
        <f t="shared" si="3016"/>
        <v>0</v>
      </c>
    </row>
    <row r="349" spans="2:513" ht="15" customHeight="1" x14ac:dyDescent="0.25">
      <c r="B349" s="21">
        <f t="shared" ref="B349:I349" si="3017">IF($F$290, 0, IF($C$299, IF(AND(COLUMN($B$349)-COLUMN($B$343)=$Q$291,ROW($B$349)-ROW($B$343)=$K$291), U$290, B349), B349))</f>
        <v>0</v>
      </c>
      <c r="C349" s="21">
        <f t="shared" si="3017"/>
        <v>0</v>
      </c>
      <c r="D349" s="21">
        <f t="shared" si="3017"/>
        <v>0</v>
      </c>
      <c r="E349" s="21">
        <f t="shared" si="3017"/>
        <v>0</v>
      </c>
      <c r="F349" s="21">
        <f t="shared" si="3017"/>
        <v>0</v>
      </c>
      <c r="G349" s="21">
        <f t="shared" si="3017"/>
        <v>0</v>
      </c>
      <c r="H349" s="21">
        <f t="shared" si="3017"/>
        <v>0</v>
      </c>
      <c r="I349" s="21">
        <f t="shared" si="3017"/>
        <v>0</v>
      </c>
      <c r="J349" s="21">
        <f t="shared" ref="J349:Q349" si="3018">IF($F$290, 0, IF($C$299, IF(AND(COLUMN($J$349)-COLUMN($B$343)=$Q$291,ROW($J$349)-ROW($B$343)=$K$291), U$290, J349), J349))</f>
        <v>0</v>
      </c>
      <c r="K349" s="21">
        <f t="shared" si="3018"/>
        <v>0</v>
      </c>
      <c r="L349" s="21">
        <f t="shared" si="3018"/>
        <v>0</v>
      </c>
      <c r="M349" s="21">
        <f t="shared" si="3018"/>
        <v>0</v>
      </c>
      <c r="N349" s="21">
        <f t="shared" si="3018"/>
        <v>0</v>
      </c>
      <c r="O349" s="21">
        <f t="shared" si="3018"/>
        <v>0</v>
      </c>
      <c r="P349" s="21">
        <f t="shared" si="3018"/>
        <v>0</v>
      </c>
      <c r="Q349" s="21">
        <f t="shared" si="3018"/>
        <v>0</v>
      </c>
      <c r="R349" s="21">
        <f>IF($F$290, 0, IF($C$299, IF(AND(COLUMN($R$349)-COLUMN($B$343)=$Q$291,ROW($R$349)-ROW($B$343)=$K$291), U$290, R349), R349))</f>
        <v>0</v>
      </c>
      <c r="S349" s="21">
        <f t="shared" ref="S349:Y349" si="3019">IF($F$290, 0, IF($C$299, IF(AND(COLUMN($R$349)-COLUMN($B$343)=$Q$291,ROW($R$349)-ROW($B$343)=$K$291), V$290, S349), S349))</f>
        <v>0</v>
      </c>
      <c r="T349" s="21">
        <f t="shared" si="3019"/>
        <v>0</v>
      </c>
      <c r="U349" s="21">
        <f t="shared" si="3019"/>
        <v>0</v>
      </c>
      <c r="V349" s="21">
        <f t="shared" si="3019"/>
        <v>0</v>
      </c>
      <c r="W349" s="21">
        <f t="shared" si="3019"/>
        <v>0</v>
      </c>
      <c r="X349" s="21">
        <f t="shared" si="3019"/>
        <v>0</v>
      </c>
      <c r="Y349" s="21">
        <f t="shared" si="3019"/>
        <v>0</v>
      </c>
      <c r="Z349" s="21">
        <f t="shared" ref="Z349:AG349" si="3020">IF($F$290, 0, IF($C$299, IF(AND(COLUMN($Z$349)-COLUMN($B$343)=$Q$291,ROW($Z$349)-ROW($B$343)=$K$291), U$290, Z349), Z349))</f>
        <v>0</v>
      </c>
      <c r="AA349" s="21">
        <f t="shared" si="3020"/>
        <v>0</v>
      </c>
      <c r="AB349" s="21">
        <f t="shared" si="3020"/>
        <v>0</v>
      </c>
      <c r="AC349" s="21">
        <f t="shared" si="3020"/>
        <v>0</v>
      </c>
      <c r="AD349" s="21">
        <f t="shared" si="3020"/>
        <v>0</v>
      </c>
      <c r="AE349" s="21">
        <f t="shared" si="3020"/>
        <v>0</v>
      </c>
      <c r="AF349" s="21">
        <f t="shared" si="3020"/>
        <v>0</v>
      </c>
      <c r="AG349" s="21">
        <f t="shared" si="3020"/>
        <v>0</v>
      </c>
      <c r="AH349" s="21">
        <f t="shared" ref="AH349:AO349" si="3021">IF($F$290, 0, IF($C$299, IF(AND(COLUMN($AH$349)-COLUMN($B$343)=$Q$291,ROW($AH$349)-ROW($B$343)=$K$291), U$290, AH349), AH349))</f>
        <v>0</v>
      </c>
      <c r="AI349" s="21">
        <f t="shared" si="3021"/>
        <v>0</v>
      </c>
      <c r="AJ349" s="21">
        <f t="shared" si="3021"/>
        <v>0</v>
      </c>
      <c r="AK349" s="21">
        <f t="shared" si="3021"/>
        <v>0</v>
      </c>
      <c r="AL349" s="21">
        <f t="shared" si="3021"/>
        <v>0</v>
      </c>
      <c r="AM349" s="21">
        <f t="shared" si="3021"/>
        <v>0</v>
      </c>
      <c r="AN349" s="21">
        <f t="shared" si="3021"/>
        <v>0</v>
      </c>
      <c r="AO349" s="21">
        <f t="shared" si="3021"/>
        <v>0</v>
      </c>
      <c r="AP349" s="21">
        <f t="shared" ref="AP349:AW349" si="3022">IF($F$290, 0, IF($C$299, IF(AND(COLUMN($AP$349)-COLUMN($B$343)=$Q$291,ROW($AP$349)-ROW($B$343)=$K$291), U$290, AP349), AP349))</f>
        <v>0</v>
      </c>
      <c r="AQ349" s="21">
        <f t="shared" si="3022"/>
        <v>0</v>
      </c>
      <c r="AR349" s="21">
        <f t="shared" si="3022"/>
        <v>0</v>
      </c>
      <c r="AS349" s="21">
        <f t="shared" si="3022"/>
        <v>0</v>
      </c>
      <c r="AT349" s="21">
        <f t="shared" si="3022"/>
        <v>0</v>
      </c>
      <c r="AU349" s="21">
        <f t="shared" si="3022"/>
        <v>0</v>
      </c>
      <c r="AV349" s="21">
        <f t="shared" si="3022"/>
        <v>0</v>
      </c>
      <c r="AW349" s="21">
        <f t="shared" si="3022"/>
        <v>0</v>
      </c>
      <c r="AX349" s="21">
        <f t="shared" ref="AX349:BE349" si="3023">IF($F$290, 0, IF($C$299, IF(AND(COLUMN($AX$349)-COLUMN($B$343)=$Q$291,ROW($AX$349)-ROW($B$343)=$K$291), U$290, AX349), AX349))</f>
        <v>0</v>
      </c>
      <c r="AY349" s="21">
        <f t="shared" si="3023"/>
        <v>0</v>
      </c>
      <c r="AZ349" s="21">
        <f t="shared" si="3023"/>
        <v>0</v>
      </c>
      <c r="BA349" s="21">
        <f t="shared" si="3023"/>
        <v>0</v>
      </c>
      <c r="BB349" s="21">
        <f t="shared" si="3023"/>
        <v>0</v>
      </c>
      <c r="BC349" s="21">
        <f t="shared" si="3023"/>
        <v>0</v>
      </c>
      <c r="BD349" s="21">
        <f t="shared" si="3023"/>
        <v>0</v>
      </c>
      <c r="BE349" s="21">
        <f t="shared" si="3023"/>
        <v>0</v>
      </c>
      <c r="BF349" s="21">
        <f t="shared" ref="BF349:BM349" si="3024">IF($F$290, 0, IF($C$299, IF(AND(COLUMN($BF$349)-COLUMN($B$343)=$Q$291,ROW($BF$349)-ROW($B$343)=$K$291), U$290, BF349), BF349))</f>
        <v>0</v>
      </c>
      <c r="BG349" s="21">
        <f t="shared" si="3024"/>
        <v>0</v>
      </c>
      <c r="BH349" s="21">
        <f t="shared" si="3024"/>
        <v>0</v>
      </c>
      <c r="BI349" s="21">
        <f t="shared" si="3024"/>
        <v>0</v>
      </c>
      <c r="BJ349" s="21">
        <f t="shared" si="3024"/>
        <v>0</v>
      </c>
      <c r="BK349" s="21">
        <f t="shared" si="3024"/>
        <v>0</v>
      </c>
      <c r="BL349" s="21">
        <f t="shared" si="3024"/>
        <v>0</v>
      </c>
      <c r="BM349" s="21">
        <f t="shared" si="3024"/>
        <v>0</v>
      </c>
      <c r="BN349" s="21">
        <f t="shared" ref="BN349:BU349" si="3025">IF($F$290, 0, IF($D$299, IF(AND(COLUMN($BN$349)-COLUMN($BN$343)=$Q$291,ROW($BN$349)-ROW($BN$343)=$K$291), U$290, BN349), BN349))</f>
        <v>0</v>
      </c>
      <c r="BO349" s="21">
        <f t="shared" si="3025"/>
        <v>0</v>
      </c>
      <c r="BP349" s="21">
        <f t="shared" si="3025"/>
        <v>0</v>
      </c>
      <c r="BQ349" s="21">
        <f t="shared" si="3025"/>
        <v>0</v>
      </c>
      <c r="BR349" s="21">
        <f t="shared" si="3025"/>
        <v>0</v>
      </c>
      <c r="BS349" s="21">
        <f t="shared" si="3025"/>
        <v>0</v>
      </c>
      <c r="BT349" s="21">
        <f t="shared" si="3025"/>
        <v>0</v>
      </c>
      <c r="BU349" s="21">
        <f t="shared" si="3025"/>
        <v>0</v>
      </c>
      <c r="BV349" s="21">
        <f t="shared" ref="BV349:CC349" si="3026">IF($F$290, 0, IF($D$299, IF(AND(COLUMN($BV$349)-COLUMN($BN$343)=$Q$291,ROW($BV$349)-ROW($BN$343)=$K$291), U$290, BV349), BV349))</f>
        <v>0</v>
      </c>
      <c r="BW349" s="21">
        <f t="shared" si="3026"/>
        <v>0</v>
      </c>
      <c r="BX349" s="21">
        <f t="shared" si="3026"/>
        <v>0</v>
      </c>
      <c r="BY349" s="21">
        <f t="shared" si="3026"/>
        <v>0</v>
      </c>
      <c r="BZ349" s="21">
        <f t="shared" si="3026"/>
        <v>0</v>
      </c>
      <c r="CA349" s="21">
        <f t="shared" si="3026"/>
        <v>0</v>
      </c>
      <c r="CB349" s="21">
        <f t="shared" si="3026"/>
        <v>0</v>
      </c>
      <c r="CC349" s="21">
        <f t="shared" si="3026"/>
        <v>0</v>
      </c>
      <c r="CD349" s="21">
        <f t="shared" ref="CD349:CK349" si="3027">IF($F$290, 0, IF($D$299, IF(AND(COLUMN($CD$349)-COLUMN($BN$343)=$Q$291,ROW($CD$349)-ROW($BN$343)=$K$291), U$290, CD349), CD349))</f>
        <v>0</v>
      </c>
      <c r="CE349" s="21">
        <f t="shared" si="3027"/>
        <v>0</v>
      </c>
      <c r="CF349" s="21">
        <f t="shared" si="3027"/>
        <v>0</v>
      </c>
      <c r="CG349" s="21">
        <f t="shared" si="3027"/>
        <v>0</v>
      </c>
      <c r="CH349" s="21">
        <f t="shared" si="3027"/>
        <v>0</v>
      </c>
      <c r="CI349" s="21">
        <f t="shared" si="3027"/>
        <v>0</v>
      </c>
      <c r="CJ349" s="21">
        <f t="shared" si="3027"/>
        <v>0</v>
      </c>
      <c r="CK349" s="21">
        <f t="shared" si="3027"/>
        <v>0</v>
      </c>
      <c r="CL349" s="21">
        <f t="shared" ref="CL349:CS349" si="3028">IF($F$290, 0, IF($D$299, IF(AND(COLUMN($CL$349)-COLUMN($BN$343)=$Q$291,ROW($CL$349)-ROW($BN$343)=$K$291), U$290, CL349), CL349))</f>
        <v>0</v>
      </c>
      <c r="CM349" s="21">
        <f t="shared" si="3028"/>
        <v>0</v>
      </c>
      <c r="CN349" s="21">
        <f t="shared" si="3028"/>
        <v>0</v>
      </c>
      <c r="CO349" s="21">
        <f t="shared" si="3028"/>
        <v>0</v>
      </c>
      <c r="CP349" s="21">
        <f t="shared" si="3028"/>
        <v>0</v>
      </c>
      <c r="CQ349" s="21">
        <f t="shared" si="3028"/>
        <v>0</v>
      </c>
      <c r="CR349" s="21">
        <f t="shared" si="3028"/>
        <v>0</v>
      </c>
      <c r="CS349" s="21">
        <f t="shared" si="3028"/>
        <v>0</v>
      </c>
      <c r="CT349" s="21">
        <f t="shared" ref="CT349:DA349" si="3029">IF($F$290, 0, IF($D$299, IF(AND(COLUMN($CT$349)-COLUMN($BN$343)=$Q$291,ROW($CT$349)-ROW($BN$343)=$K$291), U$290, CT349), CT349))</f>
        <v>0</v>
      </c>
      <c r="CU349" s="21">
        <f t="shared" si="3029"/>
        <v>0</v>
      </c>
      <c r="CV349" s="21">
        <f t="shared" si="3029"/>
        <v>0</v>
      </c>
      <c r="CW349" s="21">
        <f t="shared" si="3029"/>
        <v>0</v>
      </c>
      <c r="CX349" s="21">
        <f t="shared" si="3029"/>
        <v>0</v>
      </c>
      <c r="CY349" s="21">
        <f t="shared" si="3029"/>
        <v>0</v>
      </c>
      <c r="CZ349" s="21">
        <f t="shared" si="3029"/>
        <v>0</v>
      </c>
      <c r="DA349" s="21">
        <f t="shared" si="3029"/>
        <v>0</v>
      </c>
      <c r="DB349" s="21">
        <f t="shared" ref="DB349:DI349" si="3030">IF($F$290, 0, IF($D$299, IF(AND(COLUMN($DB$349)-COLUMN($BN$343)=$Q$291,ROW($DB$349)-ROW($BN$343)=$K$291), U$290, DB349), DB349))</f>
        <v>0</v>
      </c>
      <c r="DC349" s="21">
        <f t="shared" si="3030"/>
        <v>0</v>
      </c>
      <c r="DD349" s="21">
        <f t="shared" si="3030"/>
        <v>0</v>
      </c>
      <c r="DE349" s="21">
        <f t="shared" si="3030"/>
        <v>0</v>
      </c>
      <c r="DF349" s="21">
        <f t="shared" si="3030"/>
        <v>0</v>
      </c>
      <c r="DG349" s="21">
        <f t="shared" si="3030"/>
        <v>0</v>
      </c>
      <c r="DH349" s="21">
        <f t="shared" si="3030"/>
        <v>0</v>
      </c>
      <c r="DI349" s="21">
        <f t="shared" si="3030"/>
        <v>0</v>
      </c>
      <c r="DJ349" s="21">
        <f t="shared" ref="DJ349:DQ349" si="3031">IF($F$290, 0, IF($D$299, IF(AND(COLUMN($DJ$349)-COLUMN($BN$343)=$Q$291,ROW($DJ$349)-ROW($BN$343)=$K$291), U$290, DJ349), DJ349))</f>
        <v>0</v>
      </c>
      <c r="DK349" s="21">
        <f t="shared" si="3031"/>
        <v>0</v>
      </c>
      <c r="DL349" s="21">
        <f t="shared" si="3031"/>
        <v>0</v>
      </c>
      <c r="DM349" s="21">
        <f t="shared" si="3031"/>
        <v>0</v>
      </c>
      <c r="DN349" s="21">
        <f t="shared" si="3031"/>
        <v>0</v>
      </c>
      <c r="DO349" s="21">
        <f t="shared" si="3031"/>
        <v>0</v>
      </c>
      <c r="DP349" s="21">
        <f t="shared" si="3031"/>
        <v>0</v>
      </c>
      <c r="DQ349" s="21">
        <f t="shared" si="3031"/>
        <v>0</v>
      </c>
      <c r="DR349" s="21">
        <f t="shared" ref="DR349:DY349" si="3032">IF($F$290, 0, IF($D$299, IF(AND(COLUMN($DR$349)-COLUMN($BN$343)=$Q$291,ROW($DR$349)-ROW($BN$343)=$K$291), U$290, DR349), DR349))</f>
        <v>0</v>
      </c>
      <c r="DS349" s="21">
        <f t="shared" si="3032"/>
        <v>0</v>
      </c>
      <c r="DT349" s="21">
        <f t="shared" si="3032"/>
        <v>0</v>
      </c>
      <c r="DU349" s="21">
        <f t="shared" si="3032"/>
        <v>0</v>
      </c>
      <c r="DV349" s="21">
        <f t="shared" si="3032"/>
        <v>0</v>
      </c>
      <c r="DW349" s="21">
        <f t="shared" si="3032"/>
        <v>0</v>
      </c>
      <c r="DX349" s="21">
        <f t="shared" si="3032"/>
        <v>0</v>
      </c>
      <c r="DY349" s="21">
        <f t="shared" si="3032"/>
        <v>0</v>
      </c>
      <c r="DZ349" s="21">
        <f t="shared" ref="DZ349:EG349" si="3033">IF($F$290, 0, IF($E$299, IF(AND(COLUMN($DZ$349)-COLUMN($DZ$343)=$Q$291,ROW($DZ$349)-ROW($DZ$343)=$K$291), U$290, DZ349), DZ349))</f>
        <v>0</v>
      </c>
      <c r="EA349" s="21">
        <f t="shared" si="3033"/>
        <v>0</v>
      </c>
      <c r="EB349" s="21">
        <f t="shared" si="3033"/>
        <v>0</v>
      </c>
      <c r="EC349" s="21">
        <f t="shared" si="3033"/>
        <v>0</v>
      </c>
      <c r="ED349" s="21">
        <f t="shared" si="3033"/>
        <v>0</v>
      </c>
      <c r="EE349" s="21">
        <f t="shared" si="3033"/>
        <v>0</v>
      </c>
      <c r="EF349" s="21">
        <f t="shared" si="3033"/>
        <v>0</v>
      </c>
      <c r="EG349" s="21">
        <f t="shared" si="3033"/>
        <v>0</v>
      </c>
      <c r="EH349" s="21">
        <f t="shared" ref="EH349:EO349" si="3034">IF($F$290, 0, IF($E$299, IF(AND(COLUMN($EH$349)-COLUMN($DZ$343)=$Q$291,ROW($EH$349)-ROW($DZ$343)=$K$291), U$290, EH349), EH349))</f>
        <v>0</v>
      </c>
      <c r="EI349" s="21">
        <f t="shared" si="3034"/>
        <v>0</v>
      </c>
      <c r="EJ349" s="21">
        <f t="shared" si="3034"/>
        <v>0</v>
      </c>
      <c r="EK349" s="21">
        <f t="shared" si="3034"/>
        <v>0</v>
      </c>
      <c r="EL349" s="21">
        <f t="shared" si="3034"/>
        <v>0</v>
      </c>
      <c r="EM349" s="21">
        <f t="shared" si="3034"/>
        <v>0</v>
      </c>
      <c r="EN349" s="21">
        <f t="shared" si="3034"/>
        <v>0</v>
      </c>
      <c r="EO349" s="21">
        <f t="shared" si="3034"/>
        <v>0</v>
      </c>
      <c r="EP349" s="21">
        <f t="shared" ref="EP349:EW349" si="3035">IF($F$290, 0, IF($E$299, IF(AND(COLUMN($EP$349)-COLUMN($DZ$343)=$Q$291,ROW($EP$349)-ROW($DZ$343)=$K$291), U$290, EP349), EP349))</f>
        <v>0</v>
      </c>
      <c r="EQ349" s="21">
        <f t="shared" si="3035"/>
        <v>0</v>
      </c>
      <c r="ER349" s="21">
        <f t="shared" si="3035"/>
        <v>0</v>
      </c>
      <c r="ES349" s="21">
        <f t="shared" si="3035"/>
        <v>0</v>
      </c>
      <c r="ET349" s="21">
        <f t="shared" si="3035"/>
        <v>0</v>
      </c>
      <c r="EU349" s="21">
        <f t="shared" si="3035"/>
        <v>0</v>
      </c>
      <c r="EV349" s="21">
        <f t="shared" si="3035"/>
        <v>0</v>
      </c>
      <c r="EW349" s="21">
        <f t="shared" si="3035"/>
        <v>0</v>
      </c>
      <c r="EX349" s="21">
        <f t="shared" ref="EX349:FE349" si="3036">IF($F$290, 0, IF($E$299, IF(AND(COLUMN($EX$349)-COLUMN($DZ$343)=$Q$291,ROW($EX$349)-ROW($DZ$343)=$K$291), U$290, EX349), EX349))</f>
        <v>0</v>
      </c>
      <c r="EY349" s="21">
        <f t="shared" si="3036"/>
        <v>0</v>
      </c>
      <c r="EZ349" s="21">
        <f t="shared" si="3036"/>
        <v>0</v>
      </c>
      <c r="FA349" s="21">
        <f t="shared" si="3036"/>
        <v>0</v>
      </c>
      <c r="FB349" s="21">
        <f t="shared" si="3036"/>
        <v>0</v>
      </c>
      <c r="FC349" s="21">
        <f t="shared" si="3036"/>
        <v>0</v>
      </c>
      <c r="FD349" s="21">
        <f t="shared" si="3036"/>
        <v>0</v>
      </c>
      <c r="FE349" s="21">
        <f t="shared" si="3036"/>
        <v>0</v>
      </c>
      <c r="FF349" s="21">
        <f t="shared" ref="FF349:FM349" si="3037">IF($F$290, 0, IF($E$299, IF(AND(COLUMN($FF$349)-COLUMN($DZ$343)=$Q$291,ROW($FF$349)-ROW($DZ$343)=$K$291), U$290, FF349), FF349))</f>
        <v>0</v>
      </c>
      <c r="FG349" s="21">
        <f t="shared" si="3037"/>
        <v>0</v>
      </c>
      <c r="FH349" s="21">
        <f t="shared" si="3037"/>
        <v>0</v>
      </c>
      <c r="FI349" s="21">
        <f t="shared" si="3037"/>
        <v>0</v>
      </c>
      <c r="FJ349" s="21">
        <f t="shared" si="3037"/>
        <v>0</v>
      </c>
      <c r="FK349" s="21">
        <f t="shared" si="3037"/>
        <v>0</v>
      </c>
      <c r="FL349" s="21">
        <f t="shared" si="3037"/>
        <v>0</v>
      </c>
      <c r="FM349" s="21">
        <f t="shared" si="3037"/>
        <v>0</v>
      </c>
      <c r="FN349" s="21">
        <f t="shared" ref="FN349:FU349" si="3038">IF($F$290, 0, IF($E$299, IF(AND(COLUMN($FN$349)-COLUMN($DZ$343)=$Q$291,ROW($FN$349)-ROW($DZ$343)=$K$291), U$290, FN349), FN349))</f>
        <v>0</v>
      </c>
      <c r="FO349" s="21">
        <f t="shared" si="3038"/>
        <v>0</v>
      </c>
      <c r="FP349" s="21">
        <f t="shared" si="3038"/>
        <v>0</v>
      </c>
      <c r="FQ349" s="21">
        <f t="shared" si="3038"/>
        <v>0</v>
      </c>
      <c r="FR349" s="21">
        <f t="shared" si="3038"/>
        <v>0</v>
      </c>
      <c r="FS349" s="21">
        <f t="shared" si="3038"/>
        <v>0</v>
      </c>
      <c r="FT349" s="21">
        <f t="shared" si="3038"/>
        <v>0</v>
      </c>
      <c r="FU349" s="21">
        <f t="shared" si="3038"/>
        <v>0</v>
      </c>
      <c r="FV349" s="21">
        <f t="shared" ref="FV349:GC349" si="3039">IF($F$290, 0, IF($E$299, IF(AND(COLUMN($FV$349)-COLUMN($DZ$343)=$Q$291,ROW($FV$349)-ROW($DZ$343)=$K$291), U$290, FV349), FV349))</f>
        <v>0</v>
      </c>
      <c r="FW349" s="21">
        <f t="shared" si="3039"/>
        <v>0</v>
      </c>
      <c r="FX349" s="21">
        <f t="shared" si="3039"/>
        <v>0</v>
      </c>
      <c r="FY349" s="21">
        <f t="shared" si="3039"/>
        <v>0</v>
      </c>
      <c r="FZ349" s="21">
        <f t="shared" si="3039"/>
        <v>0</v>
      </c>
      <c r="GA349" s="21">
        <f t="shared" si="3039"/>
        <v>0</v>
      </c>
      <c r="GB349" s="21">
        <f t="shared" si="3039"/>
        <v>0</v>
      </c>
      <c r="GC349" s="21">
        <f t="shared" si="3039"/>
        <v>0</v>
      </c>
      <c r="GD349" s="21">
        <f t="shared" ref="GD349:GK349" si="3040">IF($F$290, 0, IF($E$299, IF(AND(COLUMN($GD$349)-COLUMN($DZ$343)=$Q$291,ROW($GD$349)-ROW($DZ$343)=$K$291), U$290, GD349), GD349))</f>
        <v>0</v>
      </c>
      <c r="GE349" s="21">
        <f t="shared" si="3040"/>
        <v>0</v>
      </c>
      <c r="GF349" s="21">
        <f t="shared" si="3040"/>
        <v>0</v>
      </c>
      <c r="GG349" s="21">
        <f t="shared" si="3040"/>
        <v>0</v>
      </c>
      <c r="GH349" s="21">
        <f t="shared" si="3040"/>
        <v>0</v>
      </c>
      <c r="GI349" s="21">
        <f t="shared" si="3040"/>
        <v>0</v>
      </c>
      <c r="GJ349" s="21">
        <f t="shared" si="3040"/>
        <v>0</v>
      </c>
      <c r="GK349" s="21">
        <f t="shared" si="3040"/>
        <v>0</v>
      </c>
      <c r="GL349" s="21">
        <f t="shared" ref="GL349:GS349" si="3041">IF($F$290, 0, IF($F$299, IF(AND(COLUMN($GL$349)-COLUMN($GL$343)=$Q$291,ROW($GL$349)-ROW($GL$343)=$K$291), U$290, GL349), GL349))</f>
        <v>0</v>
      </c>
      <c r="GM349" s="21">
        <f t="shared" si="3041"/>
        <v>0</v>
      </c>
      <c r="GN349" s="21">
        <f t="shared" si="3041"/>
        <v>0</v>
      </c>
      <c r="GO349" s="21">
        <f t="shared" si="3041"/>
        <v>0</v>
      </c>
      <c r="GP349" s="21">
        <f t="shared" si="3041"/>
        <v>0</v>
      </c>
      <c r="GQ349" s="21">
        <f t="shared" si="3041"/>
        <v>0</v>
      </c>
      <c r="GR349" s="21">
        <f t="shared" si="3041"/>
        <v>0</v>
      </c>
      <c r="GS349" s="21">
        <f t="shared" si="3041"/>
        <v>0</v>
      </c>
      <c r="GT349" s="21">
        <f t="shared" ref="GT349:HA349" si="3042">IF($F$290, 0, IF($F$299, IF(AND(COLUMN($GT$349)-COLUMN($GL$343)=$Q$291,ROW($GT$349)-ROW($GL$343)=$K$291), U$290, GT349), GT349))</f>
        <v>0</v>
      </c>
      <c r="GU349" s="21">
        <f t="shared" si="3042"/>
        <v>0</v>
      </c>
      <c r="GV349" s="21">
        <f t="shared" si="3042"/>
        <v>0</v>
      </c>
      <c r="GW349" s="21">
        <f t="shared" si="3042"/>
        <v>0</v>
      </c>
      <c r="GX349" s="21">
        <f t="shared" si="3042"/>
        <v>0</v>
      </c>
      <c r="GY349" s="21">
        <f t="shared" si="3042"/>
        <v>0</v>
      </c>
      <c r="GZ349" s="21">
        <f t="shared" si="3042"/>
        <v>0</v>
      </c>
      <c r="HA349" s="21">
        <f t="shared" si="3042"/>
        <v>0</v>
      </c>
      <c r="HB349" s="21">
        <f t="shared" ref="HB349:HI349" si="3043">IF($F$290, 0, IF($F$299, IF(AND(COLUMN($HB$349)-COLUMN($GL$343)=$Q$291,ROW($HB$349)-ROW($GL$343)=$K$291), U$290, HB349), HB349))</f>
        <v>0</v>
      </c>
      <c r="HC349" s="21">
        <f t="shared" si="3043"/>
        <v>0</v>
      </c>
      <c r="HD349" s="21">
        <f t="shared" si="3043"/>
        <v>0</v>
      </c>
      <c r="HE349" s="21">
        <f t="shared" si="3043"/>
        <v>0</v>
      </c>
      <c r="HF349" s="21">
        <f t="shared" si="3043"/>
        <v>0</v>
      </c>
      <c r="HG349" s="21">
        <f t="shared" si="3043"/>
        <v>0</v>
      </c>
      <c r="HH349" s="21">
        <f t="shared" si="3043"/>
        <v>0</v>
      </c>
      <c r="HI349" s="21">
        <f t="shared" si="3043"/>
        <v>0</v>
      </c>
      <c r="HJ349" s="21">
        <f t="shared" ref="HJ349:HQ349" si="3044">IF($F$290, 0, IF($F$299, IF(AND(COLUMN($HJ$349)-COLUMN($GL$343)=$Q$291,ROW($HJ$349)-ROW($GL$343)=$K$291), U$290, HJ349), HJ349))</f>
        <v>0</v>
      </c>
      <c r="HK349" s="21">
        <f t="shared" si="3044"/>
        <v>0</v>
      </c>
      <c r="HL349" s="21">
        <f t="shared" si="3044"/>
        <v>0</v>
      </c>
      <c r="HM349" s="21">
        <f t="shared" si="3044"/>
        <v>0</v>
      </c>
      <c r="HN349" s="21">
        <f t="shared" si="3044"/>
        <v>0</v>
      </c>
      <c r="HO349" s="21">
        <f t="shared" si="3044"/>
        <v>0</v>
      </c>
      <c r="HP349" s="21">
        <f t="shared" si="3044"/>
        <v>0</v>
      </c>
      <c r="HQ349" s="21">
        <f t="shared" si="3044"/>
        <v>0</v>
      </c>
      <c r="HR349" s="21">
        <f t="shared" ref="HR349:HY349" si="3045">IF($F$290, 0, IF($F$299, IF(AND(COLUMN($HR$349)-COLUMN($GL$343)=$Q$291,ROW($HR$349)-ROW($GL$343)=$K$291), U$290, HR349), HR349))</f>
        <v>0</v>
      </c>
      <c r="HS349" s="21">
        <f t="shared" si="3045"/>
        <v>0</v>
      </c>
      <c r="HT349" s="21">
        <f t="shared" si="3045"/>
        <v>0</v>
      </c>
      <c r="HU349" s="21">
        <f t="shared" si="3045"/>
        <v>0</v>
      </c>
      <c r="HV349" s="21">
        <f t="shared" si="3045"/>
        <v>0</v>
      </c>
      <c r="HW349" s="21">
        <f t="shared" si="3045"/>
        <v>0</v>
      </c>
      <c r="HX349" s="21">
        <f t="shared" si="3045"/>
        <v>0</v>
      </c>
      <c r="HY349" s="21">
        <f t="shared" si="3045"/>
        <v>0</v>
      </c>
      <c r="HZ349" s="21">
        <f t="shared" ref="HZ349:IG349" si="3046">IF($F$290, 0, IF($F$299, IF(AND(COLUMN($HZ$349)-COLUMN($GL$343)=$Q$291,ROW($HZ$349)-ROW($GL$343)=$K$291), U$290, HZ349), HZ349))</f>
        <v>0</v>
      </c>
      <c r="IA349" s="21">
        <f t="shared" si="3046"/>
        <v>0</v>
      </c>
      <c r="IB349" s="21">
        <f t="shared" si="3046"/>
        <v>0</v>
      </c>
      <c r="IC349" s="21">
        <f t="shared" si="3046"/>
        <v>0</v>
      </c>
      <c r="ID349" s="21">
        <f t="shared" si="3046"/>
        <v>0</v>
      </c>
      <c r="IE349" s="21">
        <f t="shared" si="3046"/>
        <v>0</v>
      </c>
      <c r="IF349" s="21">
        <f t="shared" si="3046"/>
        <v>0</v>
      </c>
      <c r="IG349" s="21">
        <f t="shared" si="3046"/>
        <v>0</v>
      </c>
      <c r="IH349" s="21">
        <f t="shared" ref="IH349:IO349" si="3047">IF($F$290, 0, IF($F$299, IF(AND(COLUMN($IH$349)-COLUMN($GL$343)=$Q$291,ROW($IH$349)-ROW($GL$343)=$K$291), U$290, IH349), IH349))</f>
        <v>0</v>
      </c>
      <c r="II349" s="21">
        <f t="shared" si="3047"/>
        <v>0</v>
      </c>
      <c r="IJ349" s="21">
        <f t="shared" si="3047"/>
        <v>0</v>
      </c>
      <c r="IK349" s="21">
        <f t="shared" si="3047"/>
        <v>0</v>
      </c>
      <c r="IL349" s="21">
        <f t="shared" si="3047"/>
        <v>0</v>
      </c>
      <c r="IM349" s="21">
        <f t="shared" si="3047"/>
        <v>0</v>
      </c>
      <c r="IN349" s="21">
        <f t="shared" si="3047"/>
        <v>0</v>
      </c>
      <c r="IO349" s="21">
        <f t="shared" si="3047"/>
        <v>0</v>
      </c>
      <c r="IP349" s="21">
        <f t="shared" ref="IP349:IW349" si="3048">IF($F$290, 0, IF($F$299, IF(AND(COLUMN($IP$349)-COLUMN($GL$343)=$Q$291,ROW($IP$349)-ROW($GL$343)=$K$291), U$290, IP349), IP349))</f>
        <v>0</v>
      </c>
      <c r="IQ349" s="21">
        <f t="shared" si="3048"/>
        <v>0</v>
      </c>
      <c r="IR349" s="21">
        <f t="shared" si="3048"/>
        <v>0</v>
      </c>
      <c r="IS349" s="21">
        <f t="shared" si="3048"/>
        <v>0</v>
      </c>
      <c r="IT349" s="21">
        <f t="shared" si="3048"/>
        <v>0</v>
      </c>
      <c r="IU349" s="21">
        <f t="shared" si="3048"/>
        <v>0</v>
      </c>
      <c r="IV349" s="21">
        <f t="shared" si="3048"/>
        <v>0</v>
      </c>
      <c r="IW349" s="21">
        <f t="shared" si="3048"/>
        <v>0</v>
      </c>
      <c r="IX349" s="21">
        <f t="shared" ref="IX349:JE349" si="3049">IF($F$290, 0, IF($G$299, IF(AND(COLUMN($IX$349)-COLUMN($IX$343)=$Q$291,ROW($IX$349)-ROW($IX$343)=$K$291), U$290, IX349), IX349))</f>
        <v>0</v>
      </c>
      <c r="IY349" s="21">
        <f t="shared" si="3049"/>
        <v>0</v>
      </c>
      <c r="IZ349" s="21">
        <f t="shared" si="3049"/>
        <v>0</v>
      </c>
      <c r="JA349" s="21">
        <f t="shared" si="3049"/>
        <v>0</v>
      </c>
      <c r="JB349" s="21">
        <f t="shared" si="3049"/>
        <v>0</v>
      </c>
      <c r="JC349" s="21">
        <f t="shared" si="3049"/>
        <v>0</v>
      </c>
      <c r="JD349" s="21">
        <f t="shared" si="3049"/>
        <v>0</v>
      </c>
      <c r="JE349" s="21">
        <f t="shared" si="3049"/>
        <v>0</v>
      </c>
      <c r="JF349" s="21">
        <f t="shared" ref="JF349:JM349" si="3050">IF($F$290, 0, IF($G$299, IF(AND(COLUMN($JF$349)-COLUMN($IX$343)=$Q$291,ROW($JF$349)-ROW($IX$343)=$K$291), U$290, JF349), JF349))</f>
        <v>0</v>
      </c>
      <c r="JG349" s="21">
        <f t="shared" si="3050"/>
        <v>0</v>
      </c>
      <c r="JH349" s="21">
        <f t="shared" si="3050"/>
        <v>0</v>
      </c>
      <c r="JI349" s="21">
        <f t="shared" si="3050"/>
        <v>0</v>
      </c>
      <c r="JJ349" s="21">
        <f t="shared" si="3050"/>
        <v>0</v>
      </c>
      <c r="JK349" s="21">
        <f t="shared" si="3050"/>
        <v>0</v>
      </c>
      <c r="JL349" s="21">
        <f t="shared" si="3050"/>
        <v>0</v>
      </c>
      <c r="JM349" s="21">
        <f t="shared" si="3050"/>
        <v>0</v>
      </c>
      <c r="JN349" s="21">
        <f t="shared" ref="JN349:JU349" si="3051">IF($F$290, 0, IF($G$299, IF(AND(COLUMN($JN$349)-COLUMN($IX$343)=$Q$291,ROW($JN$349)-ROW($IX$343)=$K$291), U$290, JN349), JN349))</f>
        <v>0</v>
      </c>
      <c r="JO349" s="21">
        <f t="shared" si="3051"/>
        <v>0</v>
      </c>
      <c r="JP349" s="21">
        <f t="shared" si="3051"/>
        <v>0</v>
      </c>
      <c r="JQ349" s="21">
        <f t="shared" si="3051"/>
        <v>0</v>
      </c>
      <c r="JR349" s="21">
        <f t="shared" si="3051"/>
        <v>0</v>
      </c>
      <c r="JS349" s="21">
        <f t="shared" si="3051"/>
        <v>0</v>
      </c>
      <c r="JT349" s="21">
        <f t="shared" si="3051"/>
        <v>0</v>
      </c>
      <c r="JU349" s="21">
        <f t="shared" si="3051"/>
        <v>0</v>
      </c>
      <c r="JV349" s="21">
        <f t="shared" ref="JV349:KC349" si="3052">IF($F$290, 0, IF($G$299, IF(AND(COLUMN($JV$349)-COLUMN($IX$343)=$Q$291,ROW($JV$349)-ROW($IX$343)=$K$291), U$290, JV349), JV349))</f>
        <v>0</v>
      </c>
      <c r="JW349" s="21">
        <f t="shared" si="3052"/>
        <v>0</v>
      </c>
      <c r="JX349" s="21">
        <f t="shared" si="3052"/>
        <v>0</v>
      </c>
      <c r="JY349" s="21">
        <f t="shared" si="3052"/>
        <v>0</v>
      </c>
      <c r="JZ349" s="21">
        <f t="shared" si="3052"/>
        <v>0</v>
      </c>
      <c r="KA349" s="21">
        <f t="shared" si="3052"/>
        <v>0</v>
      </c>
      <c r="KB349" s="21">
        <f t="shared" si="3052"/>
        <v>0</v>
      </c>
      <c r="KC349" s="21">
        <f t="shared" si="3052"/>
        <v>0</v>
      </c>
      <c r="KD349" s="21">
        <f t="shared" ref="KD349:KK349" si="3053">IF($F$290, 0, IF($G$299, IF(AND(COLUMN($KD$349)-COLUMN($IX$343)=$Q$291,ROW($KD$349)-ROW($IX$343)=$K$291), U$290, KD349), KD349))</f>
        <v>0</v>
      </c>
      <c r="KE349" s="21">
        <f t="shared" si="3053"/>
        <v>0</v>
      </c>
      <c r="KF349" s="21">
        <f t="shared" si="3053"/>
        <v>0</v>
      </c>
      <c r="KG349" s="21">
        <f t="shared" si="3053"/>
        <v>0</v>
      </c>
      <c r="KH349" s="21">
        <f t="shared" si="3053"/>
        <v>0</v>
      </c>
      <c r="KI349" s="21">
        <f t="shared" si="3053"/>
        <v>0</v>
      </c>
      <c r="KJ349" s="21">
        <f t="shared" si="3053"/>
        <v>0</v>
      </c>
      <c r="KK349" s="21">
        <f t="shared" si="3053"/>
        <v>0</v>
      </c>
      <c r="KL349" s="21">
        <f t="shared" ref="KL349:KS349" si="3054">IF($F$290, 0, IF($G$299, IF(AND(COLUMN($KL$349)-COLUMN($IX$343)=$Q$291,ROW($KL$349)-ROW($IX$343)=$K$291), U$290, KL349), KL349))</f>
        <v>0</v>
      </c>
      <c r="KM349" s="21">
        <f t="shared" si="3054"/>
        <v>0</v>
      </c>
      <c r="KN349" s="21">
        <f t="shared" si="3054"/>
        <v>0</v>
      </c>
      <c r="KO349" s="21">
        <f t="shared" si="3054"/>
        <v>0</v>
      </c>
      <c r="KP349" s="21">
        <f t="shared" si="3054"/>
        <v>0</v>
      </c>
      <c r="KQ349" s="21">
        <f t="shared" si="3054"/>
        <v>0</v>
      </c>
      <c r="KR349" s="21">
        <f t="shared" si="3054"/>
        <v>0</v>
      </c>
      <c r="KS349" s="21">
        <f t="shared" si="3054"/>
        <v>0</v>
      </c>
      <c r="KT349" s="21">
        <f t="shared" ref="KT349:LA349" si="3055">IF($F$290, 0, IF($G$299, IF(AND(COLUMN($KT$349)-COLUMN($IX$343)=$Q$291,ROW($KT$349)-ROW($IX$343)=$K$291), U$290, KT349), KT349))</f>
        <v>0</v>
      </c>
      <c r="KU349" s="21">
        <f t="shared" si="3055"/>
        <v>0</v>
      </c>
      <c r="KV349" s="21">
        <f t="shared" si="3055"/>
        <v>0</v>
      </c>
      <c r="KW349" s="21">
        <f t="shared" si="3055"/>
        <v>0</v>
      </c>
      <c r="KX349" s="21">
        <f t="shared" si="3055"/>
        <v>0</v>
      </c>
      <c r="KY349" s="21">
        <f t="shared" si="3055"/>
        <v>0</v>
      </c>
      <c r="KZ349" s="21">
        <f t="shared" si="3055"/>
        <v>0</v>
      </c>
      <c r="LA349" s="21">
        <f t="shared" si="3055"/>
        <v>0</v>
      </c>
      <c r="LB349" s="21">
        <f t="shared" ref="LB349:LI349" si="3056">IF($F$290, 0, IF($G$299, IF(AND(COLUMN($LB$349)-COLUMN($IX$343)=$Q$291,ROW($LB$349)-ROW($IX$343)=$K$291), U$290, LB349), LB349))</f>
        <v>0</v>
      </c>
      <c r="LC349" s="21">
        <f t="shared" si="3056"/>
        <v>0</v>
      </c>
      <c r="LD349" s="21">
        <f t="shared" si="3056"/>
        <v>0</v>
      </c>
      <c r="LE349" s="21">
        <f t="shared" si="3056"/>
        <v>0</v>
      </c>
      <c r="LF349" s="21">
        <f t="shared" si="3056"/>
        <v>0</v>
      </c>
      <c r="LG349" s="21">
        <f t="shared" si="3056"/>
        <v>0</v>
      </c>
      <c r="LH349" s="21">
        <f t="shared" si="3056"/>
        <v>0</v>
      </c>
      <c r="LI349" s="21">
        <f t="shared" si="3056"/>
        <v>0</v>
      </c>
      <c r="LJ349" s="21">
        <f t="shared" ref="LJ349:LQ349" si="3057">IF($F$290, 0, IF($H$299, IF(AND(COLUMN($LJ$349)-COLUMN($LJ$343)=$Q$291,ROW($LJ$349)-ROW($LJ$343)=$K$291), U$290, LJ349), LJ349))</f>
        <v>0</v>
      </c>
      <c r="LK349" s="21">
        <f t="shared" si="3057"/>
        <v>0</v>
      </c>
      <c r="LL349" s="21">
        <f t="shared" si="3057"/>
        <v>0</v>
      </c>
      <c r="LM349" s="21">
        <f t="shared" si="3057"/>
        <v>0</v>
      </c>
      <c r="LN349" s="21">
        <f t="shared" si="3057"/>
        <v>0</v>
      </c>
      <c r="LO349" s="21">
        <f t="shared" si="3057"/>
        <v>0</v>
      </c>
      <c r="LP349" s="21">
        <f t="shared" si="3057"/>
        <v>0</v>
      </c>
      <c r="LQ349" s="21">
        <f t="shared" si="3057"/>
        <v>0</v>
      </c>
      <c r="LR349" s="21">
        <f t="shared" ref="LR349:LY349" si="3058">IF($F$290, 0, IF($H$299, IF(AND(COLUMN($LR$349)-COLUMN($LJ$343)=$Q$291,ROW($LR$349)-ROW($LJ$343)=$K$291), U$290, LR349), LR349))</f>
        <v>0</v>
      </c>
      <c r="LS349" s="21">
        <f t="shared" si="3058"/>
        <v>0</v>
      </c>
      <c r="LT349" s="21">
        <f t="shared" si="3058"/>
        <v>0</v>
      </c>
      <c r="LU349" s="21">
        <f t="shared" si="3058"/>
        <v>0</v>
      </c>
      <c r="LV349" s="21">
        <f t="shared" si="3058"/>
        <v>0</v>
      </c>
      <c r="LW349" s="21">
        <f t="shared" si="3058"/>
        <v>0</v>
      </c>
      <c r="LX349" s="21">
        <f t="shared" si="3058"/>
        <v>0</v>
      </c>
      <c r="LY349" s="21">
        <f t="shared" si="3058"/>
        <v>0</v>
      </c>
      <c r="LZ349" s="21">
        <f t="shared" ref="LZ349:MG349" si="3059">IF($F$290, 0, IF($H$299, IF(AND(COLUMN($LZ$349)-COLUMN($LJ$343)=$Q$291,ROW($LZ$349)-ROW($LJ$343)=$K$291), U$290, LZ349), LZ349))</f>
        <v>0</v>
      </c>
      <c r="MA349" s="21">
        <f t="shared" si="3059"/>
        <v>0</v>
      </c>
      <c r="MB349" s="21">
        <f t="shared" si="3059"/>
        <v>0</v>
      </c>
      <c r="MC349" s="21">
        <f t="shared" si="3059"/>
        <v>0</v>
      </c>
      <c r="MD349" s="21">
        <f t="shared" si="3059"/>
        <v>0</v>
      </c>
      <c r="ME349" s="21">
        <f t="shared" si="3059"/>
        <v>0</v>
      </c>
      <c r="MF349" s="21">
        <f t="shared" si="3059"/>
        <v>0</v>
      </c>
      <c r="MG349" s="21">
        <f t="shared" si="3059"/>
        <v>0</v>
      </c>
      <c r="MH349" s="21">
        <f t="shared" ref="MH349:MO349" si="3060">IF($F$290, 0, IF($H$299, IF(AND(COLUMN($MH$349)-COLUMN($LJ$343)=$Q$291,ROW($MH$349)-ROW($LJ$343)=$K$291), U$290, MH349), MH349))</f>
        <v>0</v>
      </c>
      <c r="MI349" s="21">
        <f t="shared" si="3060"/>
        <v>0</v>
      </c>
      <c r="MJ349" s="21">
        <f t="shared" si="3060"/>
        <v>0</v>
      </c>
      <c r="MK349" s="21">
        <f t="shared" si="3060"/>
        <v>0</v>
      </c>
      <c r="ML349" s="21">
        <f t="shared" si="3060"/>
        <v>0</v>
      </c>
      <c r="MM349" s="21">
        <f t="shared" si="3060"/>
        <v>0</v>
      </c>
      <c r="MN349" s="21">
        <f t="shared" si="3060"/>
        <v>0</v>
      </c>
      <c r="MO349" s="21">
        <f t="shared" si="3060"/>
        <v>0</v>
      </c>
      <c r="MP349" s="21">
        <f t="shared" ref="MP349:MW349" si="3061">IF($F$290, 0, IF($H$299, IF(AND(COLUMN($MP$349)-COLUMN($LJ$343)=$Q$291,ROW($MP$349)-ROW($LJ$343)=$K$291), U$290, MP349), MP349))</f>
        <v>0</v>
      </c>
      <c r="MQ349" s="21">
        <f t="shared" si="3061"/>
        <v>0</v>
      </c>
      <c r="MR349" s="21">
        <f t="shared" si="3061"/>
        <v>0</v>
      </c>
      <c r="MS349" s="21">
        <f t="shared" si="3061"/>
        <v>0</v>
      </c>
      <c r="MT349" s="21">
        <f t="shared" si="3061"/>
        <v>0</v>
      </c>
      <c r="MU349" s="21">
        <f t="shared" si="3061"/>
        <v>0</v>
      </c>
      <c r="MV349" s="21">
        <f t="shared" si="3061"/>
        <v>0</v>
      </c>
      <c r="MW349" s="21">
        <f t="shared" si="3061"/>
        <v>0</v>
      </c>
      <c r="MX349" s="21">
        <f t="shared" ref="MX349:NE349" si="3062">IF($F$290, 0, IF($H$299, IF(AND(COLUMN($MX$349)-COLUMN($LJ$343)=$Q$291,ROW($MX$349)-ROW($LJ$343)=$K$291), U$290, MX349), MX349))</f>
        <v>0</v>
      </c>
      <c r="MY349" s="21">
        <f t="shared" si="3062"/>
        <v>0</v>
      </c>
      <c r="MZ349" s="21">
        <f t="shared" si="3062"/>
        <v>0</v>
      </c>
      <c r="NA349" s="21">
        <f t="shared" si="3062"/>
        <v>0</v>
      </c>
      <c r="NB349" s="21">
        <f t="shared" si="3062"/>
        <v>0</v>
      </c>
      <c r="NC349" s="21">
        <f t="shared" si="3062"/>
        <v>0</v>
      </c>
      <c r="ND349" s="21">
        <f t="shared" si="3062"/>
        <v>0</v>
      </c>
      <c r="NE349" s="21">
        <f t="shared" si="3062"/>
        <v>0</v>
      </c>
      <c r="NF349" s="21">
        <f t="shared" ref="NF349:NM349" si="3063">IF($F$290, 0, IF($H$299, IF(AND(COLUMN($NF$349)-COLUMN($LJ$343)=$Q$291,ROW($NF$349)-ROW($LJ$343)=$K$291), U$290, NF349), NF349))</f>
        <v>0</v>
      </c>
      <c r="NG349" s="21">
        <f t="shared" si="3063"/>
        <v>0</v>
      </c>
      <c r="NH349" s="21">
        <f t="shared" si="3063"/>
        <v>0</v>
      </c>
      <c r="NI349" s="21">
        <f t="shared" si="3063"/>
        <v>0</v>
      </c>
      <c r="NJ349" s="21">
        <f t="shared" si="3063"/>
        <v>0</v>
      </c>
      <c r="NK349" s="21">
        <f t="shared" si="3063"/>
        <v>0</v>
      </c>
      <c r="NL349" s="21">
        <f t="shared" si="3063"/>
        <v>0</v>
      </c>
      <c r="NM349" s="21">
        <f t="shared" si="3063"/>
        <v>0</v>
      </c>
      <c r="NN349" s="21">
        <f t="shared" ref="NN349:NU349" si="3064">IF($F$290, 0, IF($H$299, IF(AND(COLUMN($NN$349)-COLUMN($LJ$343)=$Q$291,ROW($NN$349)-ROW($LJ$343)=$K$291), U$290, NN349), NN349))</f>
        <v>0</v>
      </c>
      <c r="NO349" s="21">
        <f t="shared" si="3064"/>
        <v>0</v>
      </c>
      <c r="NP349" s="21">
        <f t="shared" si="3064"/>
        <v>0</v>
      </c>
      <c r="NQ349" s="21">
        <f t="shared" si="3064"/>
        <v>0</v>
      </c>
      <c r="NR349" s="21">
        <f t="shared" si="3064"/>
        <v>0</v>
      </c>
      <c r="NS349" s="21">
        <f t="shared" si="3064"/>
        <v>0</v>
      </c>
      <c r="NT349" s="21">
        <f t="shared" si="3064"/>
        <v>0</v>
      </c>
      <c r="NU349" s="21">
        <f t="shared" si="3064"/>
        <v>0</v>
      </c>
      <c r="NV349" s="21">
        <f t="shared" ref="NV349:OC349" si="3065">IF($F$290, 0, IF($I$299, IF(AND(COLUMN($NV$349)-COLUMN($NV$343)=$Q$291,ROW($NV$349)-ROW($NV$343)=$K$291), U$290, NV349), NV349))</f>
        <v>0</v>
      </c>
      <c r="NW349" s="21">
        <f t="shared" si="3065"/>
        <v>0</v>
      </c>
      <c r="NX349" s="21">
        <f t="shared" si="3065"/>
        <v>0</v>
      </c>
      <c r="NY349" s="21">
        <f t="shared" si="3065"/>
        <v>0</v>
      </c>
      <c r="NZ349" s="21">
        <f t="shared" si="3065"/>
        <v>0</v>
      </c>
      <c r="OA349" s="21">
        <f t="shared" si="3065"/>
        <v>0</v>
      </c>
      <c r="OB349" s="21">
        <f t="shared" si="3065"/>
        <v>0</v>
      </c>
      <c r="OC349" s="21">
        <f t="shared" si="3065"/>
        <v>0</v>
      </c>
      <c r="OD349" s="21">
        <f t="shared" ref="OD349:OK349" si="3066">IF($F$290, 0, IF($I$299, IF(AND(COLUMN($OD$349)-COLUMN($NV$343)=$Q$291,ROW($OD$349)-ROW($NV$343)=$K$291), U$290, OD349), OD349))</f>
        <v>0</v>
      </c>
      <c r="OE349" s="21">
        <f t="shared" si="3066"/>
        <v>0</v>
      </c>
      <c r="OF349" s="21">
        <f t="shared" si="3066"/>
        <v>0</v>
      </c>
      <c r="OG349" s="21">
        <f t="shared" si="3066"/>
        <v>0</v>
      </c>
      <c r="OH349" s="21">
        <f t="shared" si="3066"/>
        <v>0</v>
      </c>
      <c r="OI349" s="21">
        <f t="shared" si="3066"/>
        <v>0</v>
      </c>
      <c r="OJ349" s="21">
        <f t="shared" si="3066"/>
        <v>0</v>
      </c>
      <c r="OK349" s="21">
        <f t="shared" si="3066"/>
        <v>0</v>
      </c>
      <c r="OL349" s="21">
        <f t="shared" ref="OL349:OS349" si="3067">IF($F$290, 0, IF($I$299, IF(AND(COLUMN($OL$349)-COLUMN($NV$343)=$Q$291,ROW($OL$349)-ROW($NV$343)=$K$291), U$290, OL349), OL349))</f>
        <v>0</v>
      </c>
      <c r="OM349" s="21">
        <f t="shared" si="3067"/>
        <v>0</v>
      </c>
      <c r="ON349" s="21">
        <f t="shared" si="3067"/>
        <v>0</v>
      </c>
      <c r="OO349" s="21">
        <f t="shared" si="3067"/>
        <v>0</v>
      </c>
      <c r="OP349" s="21">
        <f t="shared" si="3067"/>
        <v>0</v>
      </c>
      <c r="OQ349" s="21">
        <f t="shared" si="3067"/>
        <v>0</v>
      </c>
      <c r="OR349" s="21">
        <f t="shared" si="3067"/>
        <v>0</v>
      </c>
      <c r="OS349" s="21">
        <f t="shared" si="3067"/>
        <v>0</v>
      </c>
      <c r="OT349" s="21">
        <f t="shared" ref="OT349:PA349" si="3068">IF($F$290, 0, IF($I$299, IF(AND(COLUMN($OT$349)-COLUMN($NV$343)=$Q$291,ROW($OT$349)-ROW($NV$343)=$K$291), U$290, OT349), OT349))</f>
        <v>0</v>
      </c>
      <c r="OU349" s="21">
        <f t="shared" si="3068"/>
        <v>0</v>
      </c>
      <c r="OV349" s="21">
        <f t="shared" si="3068"/>
        <v>0</v>
      </c>
      <c r="OW349" s="21">
        <f t="shared" si="3068"/>
        <v>0</v>
      </c>
      <c r="OX349" s="21">
        <f t="shared" si="3068"/>
        <v>0</v>
      </c>
      <c r="OY349" s="21">
        <f t="shared" si="3068"/>
        <v>0</v>
      </c>
      <c r="OZ349" s="21">
        <f t="shared" si="3068"/>
        <v>0</v>
      </c>
      <c r="PA349" s="21">
        <f t="shared" si="3068"/>
        <v>0</v>
      </c>
      <c r="PB349" s="21">
        <f t="shared" ref="PB349:PI349" si="3069">IF($F$290, 0, IF($I$299, IF(AND(COLUMN($PB$349)-COLUMN($NV$343)=$Q$291,ROW($PB$349)-ROW($NV$343)=$K$291), U$290, PB349), PB349))</f>
        <v>0</v>
      </c>
      <c r="PC349" s="21">
        <f t="shared" si="3069"/>
        <v>0</v>
      </c>
      <c r="PD349" s="21">
        <f t="shared" si="3069"/>
        <v>0</v>
      </c>
      <c r="PE349" s="21">
        <f t="shared" si="3069"/>
        <v>0</v>
      </c>
      <c r="PF349" s="21">
        <f t="shared" si="3069"/>
        <v>0</v>
      </c>
      <c r="PG349" s="21">
        <f t="shared" si="3069"/>
        <v>0</v>
      </c>
      <c r="PH349" s="21">
        <f t="shared" si="3069"/>
        <v>0</v>
      </c>
      <c r="PI349" s="21">
        <f t="shared" si="3069"/>
        <v>0</v>
      </c>
      <c r="PJ349" s="21">
        <f t="shared" ref="PJ349:PQ349" si="3070">IF($F$290, 0, IF($I$299, IF(AND(COLUMN($PJ$349)-COLUMN($NV$343)=$Q$291,ROW($PJ$349)-ROW($NV$343)=$K$291), U$290, PJ349), PJ349))</f>
        <v>0</v>
      </c>
      <c r="PK349" s="21">
        <f t="shared" si="3070"/>
        <v>0</v>
      </c>
      <c r="PL349" s="21">
        <f t="shared" si="3070"/>
        <v>0</v>
      </c>
      <c r="PM349" s="21">
        <f t="shared" si="3070"/>
        <v>0</v>
      </c>
      <c r="PN349" s="21">
        <f t="shared" si="3070"/>
        <v>0</v>
      </c>
      <c r="PO349" s="21">
        <f t="shared" si="3070"/>
        <v>0</v>
      </c>
      <c r="PP349" s="21">
        <f t="shared" si="3070"/>
        <v>0</v>
      </c>
      <c r="PQ349" s="21">
        <f t="shared" si="3070"/>
        <v>0</v>
      </c>
      <c r="PR349" s="21">
        <f t="shared" ref="PR349:PY349" si="3071">IF($F$290, 0, IF($I$299, IF(AND(COLUMN($PR$349)-COLUMN($NV$343)=$Q$291,ROW($PR$349)-ROW($NV$343)=$K$291), U$290, PR349), PR349))</f>
        <v>0</v>
      </c>
      <c r="PS349" s="21">
        <f t="shared" si="3071"/>
        <v>0</v>
      </c>
      <c r="PT349" s="21">
        <f t="shared" si="3071"/>
        <v>0</v>
      </c>
      <c r="PU349" s="21">
        <f t="shared" si="3071"/>
        <v>0</v>
      </c>
      <c r="PV349" s="21">
        <f t="shared" si="3071"/>
        <v>0</v>
      </c>
      <c r="PW349" s="21">
        <f t="shared" si="3071"/>
        <v>0</v>
      </c>
      <c r="PX349" s="21">
        <f t="shared" si="3071"/>
        <v>0</v>
      </c>
      <c r="PY349" s="21">
        <f t="shared" si="3071"/>
        <v>0</v>
      </c>
      <c r="PZ349" s="21">
        <f t="shared" ref="PZ349:QG349" si="3072">IF($F$290, 0, IF($I$299, IF(AND(COLUMN($PZ$349)-COLUMN($NV$343)=$Q$291,ROW($PZ$349)-ROW($NV$343)=$K$291), U$290, PZ349), PZ349))</f>
        <v>0</v>
      </c>
      <c r="QA349" s="21">
        <f t="shared" si="3072"/>
        <v>0</v>
      </c>
      <c r="QB349" s="21">
        <f t="shared" si="3072"/>
        <v>0</v>
      </c>
      <c r="QC349" s="21">
        <f t="shared" si="3072"/>
        <v>0</v>
      </c>
      <c r="QD349" s="21">
        <f t="shared" si="3072"/>
        <v>0</v>
      </c>
      <c r="QE349" s="21">
        <f t="shared" si="3072"/>
        <v>0</v>
      </c>
      <c r="QF349" s="21">
        <f t="shared" si="3072"/>
        <v>0</v>
      </c>
      <c r="QG349" s="21">
        <f t="shared" si="3072"/>
        <v>0</v>
      </c>
      <c r="QH349" s="21">
        <f t="shared" ref="QH349:QO349" si="3073">IF($F$290, 0, IF($J$299, IF(AND(COLUMN($QH$349)-COLUMN($QH$343)=$Q$291,ROW($QH$349)-ROW($QH$343)=$K$291), U$290, QH349), QH349))</f>
        <v>0</v>
      </c>
      <c r="QI349" s="21">
        <f t="shared" si="3073"/>
        <v>0</v>
      </c>
      <c r="QJ349" s="21">
        <f t="shared" si="3073"/>
        <v>0</v>
      </c>
      <c r="QK349" s="21">
        <f t="shared" si="3073"/>
        <v>0</v>
      </c>
      <c r="QL349" s="21">
        <f t="shared" si="3073"/>
        <v>0</v>
      </c>
      <c r="QM349" s="21">
        <f t="shared" si="3073"/>
        <v>0</v>
      </c>
      <c r="QN349" s="21">
        <f t="shared" si="3073"/>
        <v>0</v>
      </c>
      <c r="QO349" s="21">
        <f t="shared" si="3073"/>
        <v>0</v>
      </c>
      <c r="QP349" s="21">
        <f t="shared" ref="QP349:QW349" si="3074">IF($F$290, 0, IF($J$299, IF(AND(COLUMN($QP$349)-COLUMN($QH$343)=$Q$291,ROW($QP$349)-ROW($QH$343)=$K$291), U$290, QP349), QP349))</f>
        <v>0</v>
      </c>
      <c r="QQ349" s="21">
        <f t="shared" si="3074"/>
        <v>0</v>
      </c>
      <c r="QR349" s="21">
        <f t="shared" si="3074"/>
        <v>0</v>
      </c>
      <c r="QS349" s="21">
        <f t="shared" si="3074"/>
        <v>0</v>
      </c>
      <c r="QT349" s="21">
        <f t="shared" si="3074"/>
        <v>0</v>
      </c>
      <c r="QU349" s="21">
        <f t="shared" si="3074"/>
        <v>0</v>
      </c>
      <c r="QV349" s="21">
        <f t="shared" si="3074"/>
        <v>0</v>
      </c>
      <c r="QW349" s="21">
        <f t="shared" si="3074"/>
        <v>0</v>
      </c>
      <c r="QX349" s="21">
        <f t="shared" ref="QX349:RE349" si="3075">IF($F$290, 0, IF($J$299, IF(AND(COLUMN($QX$349)-COLUMN($QH$343)=$Q$291,ROW($QX$349)-ROW($QH$343)=$K$291), U$290, QX349), QX349))</f>
        <v>0</v>
      </c>
      <c r="QY349" s="21">
        <f t="shared" si="3075"/>
        <v>0</v>
      </c>
      <c r="QZ349" s="21">
        <f t="shared" si="3075"/>
        <v>0</v>
      </c>
      <c r="RA349" s="21">
        <f t="shared" si="3075"/>
        <v>0</v>
      </c>
      <c r="RB349" s="21">
        <f t="shared" si="3075"/>
        <v>0</v>
      </c>
      <c r="RC349" s="21">
        <f t="shared" si="3075"/>
        <v>0</v>
      </c>
      <c r="RD349" s="21">
        <f t="shared" si="3075"/>
        <v>0</v>
      </c>
      <c r="RE349" s="21">
        <f t="shared" si="3075"/>
        <v>0</v>
      </c>
      <c r="RF349" s="21">
        <f t="shared" ref="RF349:RM349" si="3076">IF($F$290, 0, IF($J$299, IF(AND(COLUMN($RF$349)-COLUMN($QH$343)=$Q$291,ROW($RF$349)-ROW($QH$343)=$K$291), U$290, RF349), RF349))</f>
        <v>0</v>
      </c>
      <c r="RG349" s="21">
        <f t="shared" si="3076"/>
        <v>0</v>
      </c>
      <c r="RH349" s="21">
        <f t="shared" si="3076"/>
        <v>0</v>
      </c>
      <c r="RI349" s="21">
        <f t="shared" si="3076"/>
        <v>0</v>
      </c>
      <c r="RJ349" s="21">
        <f t="shared" si="3076"/>
        <v>0</v>
      </c>
      <c r="RK349" s="21">
        <f t="shared" si="3076"/>
        <v>0</v>
      </c>
      <c r="RL349" s="21">
        <f t="shared" si="3076"/>
        <v>0</v>
      </c>
      <c r="RM349" s="21">
        <f t="shared" si="3076"/>
        <v>0</v>
      </c>
      <c r="RN349" s="21">
        <f t="shared" ref="RN349:RU349" si="3077">IF($F$290, 0, IF($J$299, IF(AND(COLUMN($RN$349)-COLUMN($QH$343)=$Q$291,ROW($RN$349)-ROW($QH$343)=$K$291), U$290, RN349), RN349))</f>
        <v>0</v>
      </c>
      <c r="RO349" s="21">
        <f t="shared" si="3077"/>
        <v>0</v>
      </c>
      <c r="RP349" s="21">
        <f t="shared" si="3077"/>
        <v>0</v>
      </c>
      <c r="RQ349" s="21">
        <f t="shared" si="3077"/>
        <v>0</v>
      </c>
      <c r="RR349" s="21">
        <f t="shared" si="3077"/>
        <v>0</v>
      </c>
      <c r="RS349" s="21">
        <f t="shared" si="3077"/>
        <v>0</v>
      </c>
      <c r="RT349" s="21">
        <f t="shared" si="3077"/>
        <v>0</v>
      </c>
      <c r="RU349" s="21">
        <f t="shared" si="3077"/>
        <v>0</v>
      </c>
      <c r="RV349" s="21">
        <f t="shared" ref="RV349:SC349" si="3078">IF($F$290, 0, IF($J$299, IF(AND(COLUMN($RV$349)-COLUMN($QH$343)=$Q$291,ROW($RV$349)-ROW($QH$343)=$K$291), U$290, RV349), RV349))</f>
        <v>0</v>
      </c>
      <c r="RW349" s="21">
        <f t="shared" si="3078"/>
        <v>0</v>
      </c>
      <c r="RX349" s="21">
        <f t="shared" si="3078"/>
        <v>0</v>
      </c>
      <c r="RY349" s="21">
        <f t="shared" si="3078"/>
        <v>0</v>
      </c>
      <c r="RZ349" s="21">
        <f t="shared" si="3078"/>
        <v>0</v>
      </c>
      <c r="SA349" s="21">
        <f t="shared" si="3078"/>
        <v>0</v>
      </c>
      <c r="SB349" s="21">
        <f t="shared" si="3078"/>
        <v>0</v>
      </c>
      <c r="SC349" s="21">
        <f t="shared" si="3078"/>
        <v>0</v>
      </c>
      <c r="SD349" s="21">
        <f t="shared" ref="SD349:SK349" si="3079">IF($F$290, 0, IF($J$299, IF(AND(COLUMN($SD$349)-COLUMN($QH$343)=$Q$291,ROW($SD$349)-ROW($QH$343)=$K$291), U$290, SD349), SD349))</f>
        <v>0</v>
      </c>
      <c r="SE349" s="21">
        <f t="shared" si="3079"/>
        <v>0</v>
      </c>
      <c r="SF349" s="21">
        <f t="shared" si="3079"/>
        <v>0</v>
      </c>
      <c r="SG349" s="21">
        <f t="shared" si="3079"/>
        <v>0</v>
      </c>
      <c r="SH349" s="21">
        <f t="shared" si="3079"/>
        <v>0</v>
      </c>
      <c r="SI349" s="21">
        <f t="shared" si="3079"/>
        <v>0</v>
      </c>
      <c r="SJ349" s="21">
        <f t="shared" si="3079"/>
        <v>0</v>
      </c>
      <c r="SK349" s="21">
        <f t="shared" si="3079"/>
        <v>0</v>
      </c>
      <c r="SL349" s="21">
        <f t="shared" ref="SL349:SS349" si="3080">IF($F$290, 0, IF($J$299, IF(AND(COLUMN($SL$349)-COLUMN($QH$343)=$Q$291,ROW($SL$349)-ROW($QH$343)=$K$291), U$290, SL349), SL349))</f>
        <v>0</v>
      </c>
      <c r="SM349" s="21">
        <f t="shared" si="3080"/>
        <v>0</v>
      </c>
      <c r="SN349" s="21">
        <f t="shared" si="3080"/>
        <v>0</v>
      </c>
      <c r="SO349" s="21">
        <f t="shared" si="3080"/>
        <v>0</v>
      </c>
      <c r="SP349" s="21">
        <f t="shared" si="3080"/>
        <v>0</v>
      </c>
      <c r="SQ349" s="21">
        <f t="shared" si="3080"/>
        <v>0</v>
      </c>
      <c r="SR349" s="21">
        <f t="shared" si="3080"/>
        <v>0</v>
      </c>
      <c r="SS349" s="21">
        <f t="shared" si="3080"/>
        <v>0</v>
      </c>
    </row>
    <row r="350" spans="2:513" ht="15" customHeight="1" x14ac:dyDescent="0.25">
      <c r="B350" s="21">
        <f t="shared" ref="B350:I350" si="3081">IF($F$290, 0, IF($C$299, IF(AND(COLUMN($B$350)-COLUMN($B$343)=$Q$291,ROW($B$350)-ROW($B$343)=$K$291), U$290, B350), B350))</f>
        <v>0</v>
      </c>
      <c r="C350" s="21">
        <f t="shared" si="3081"/>
        <v>0</v>
      </c>
      <c r="D350" s="21">
        <f t="shared" si="3081"/>
        <v>0</v>
      </c>
      <c r="E350" s="21">
        <f t="shared" si="3081"/>
        <v>0</v>
      </c>
      <c r="F350" s="21">
        <f t="shared" si="3081"/>
        <v>0</v>
      </c>
      <c r="G350" s="21">
        <f t="shared" si="3081"/>
        <v>0</v>
      </c>
      <c r="H350" s="21">
        <f t="shared" si="3081"/>
        <v>0</v>
      </c>
      <c r="I350" s="21">
        <f t="shared" si="3081"/>
        <v>0</v>
      </c>
      <c r="J350" s="21">
        <f t="shared" ref="J350:Q350" si="3082">IF($F$290, 0, IF($C$299, IF(AND(COLUMN($J$350)-COLUMN($B$343)=$Q$291,ROW($J$350)-ROW($B$343)=$K$291), U$290, J350), J350))</f>
        <v>0</v>
      </c>
      <c r="K350" s="21">
        <f t="shared" si="3082"/>
        <v>0</v>
      </c>
      <c r="L350" s="21">
        <f t="shared" si="3082"/>
        <v>0</v>
      </c>
      <c r="M350" s="21">
        <f t="shared" si="3082"/>
        <v>0</v>
      </c>
      <c r="N350" s="21">
        <f t="shared" si="3082"/>
        <v>0</v>
      </c>
      <c r="O350" s="21">
        <f t="shared" si="3082"/>
        <v>0</v>
      </c>
      <c r="P350" s="21">
        <f t="shared" si="3082"/>
        <v>0</v>
      </c>
      <c r="Q350" s="21">
        <f t="shared" si="3082"/>
        <v>0</v>
      </c>
      <c r="R350" s="21">
        <f>IF($F$290, 0, IF($C$299, IF(AND(COLUMN($R$350)-COLUMN($B$343)=$Q$291,ROW($R$350)-ROW($B$343)=$K$291), U$290, R350), R350))</f>
        <v>0</v>
      </c>
      <c r="S350" s="21">
        <f t="shared" ref="S350:Y350" si="3083">IF($F$290, 0, IF($C$299, IF(AND(COLUMN($R$350)-COLUMN($B$343)=$Q$291,ROW($R$350)-ROW($B$343)=$K$291), V$290, S350), S350))</f>
        <v>0</v>
      </c>
      <c r="T350" s="21">
        <f t="shared" si="3083"/>
        <v>0</v>
      </c>
      <c r="U350" s="21">
        <f t="shared" si="3083"/>
        <v>0</v>
      </c>
      <c r="V350" s="21">
        <f t="shared" si="3083"/>
        <v>0</v>
      </c>
      <c r="W350" s="21">
        <f t="shared" si="3083"/>
        <v>0</v>
      </c>
      <c r="X350" s="21">
        <f t="shared" si="3083"/>
        <v>0</v>
      </c>
      <c r="Y350" s="21">
        <f t="shared" si="3083"/>
        <v>0</v>
      </c>
      <c r="Z350" s="21">
        <f t="shared" ref="Z350:AG350" si="3084">IF($F$290, 0, IF($C$299, IF(AND(COLUMN($Z$350)-COLUMN($B$343)=$Q$291,ROW($Z$350)-ROW($B$343)=$K$291), U$290, Z350), Z350))</f>
        <v>0</v>
      </c>
      <c r="AA350" s="21">
        <f t="shared" si="3084"/>
        <v>0</v>
      </c>
      <c r="AB350" s="21">
        <f t="shared" si="3084"/>
        <v>0</v>
      </c>
      <c r="AC350" s="21">
        <f t="shared" si="3084"/>
        <v>0</v>
      </c>
      <c r="AD350" s="21">
        <f t="shared" si="3084"/>
        <v>0</v>
      </c>
      <c r="AE350" s="21">
        <f t="shared" si="3084"/>
        <v>0</v>
      </c>
      <c r="AF350" s="21">
        <f t="shared" si="3084"/>
        <v>0</v>
      </c>
      <c r="AG350" s="21">
        <f t="shared" si="3084"/>
        <v>0</v>
      </c>
      <c r="AH350" s="21">
        <f t="shared" ref="AH350:AO350" si="3085">IF($F$290, 0, IF($C$299, IF(AND(COLUMN($AH$350)-COLUMN($B$343)=$Q$291,ROW($AH$350)-ROW($B$343)=$K$291), U$290, AH350), AH350))</f>
        <v>0</v>
      </c>
      <c r="AI350" s="21">
        <f t="shared" si="3085"/>
        <v>0</v>
      </c>
      <c r="AJ350" s="21">
        <f t="shared" si="3085"/>
        <v>0</v>
      </c>
      <c r="AK350" s="21">
        <f t="shared" si="3085"/>
        <v>0</v>
      </c>
      <c r="AL350" s="21">
        <f t="shared" si="3085"/>
        <v>0</v>
      </c>
      <c r="AM350" s="21">
        <f t="shared" si="3085"/>
        <v>0</v>
      </c>
      <c r="AN350" s="21">
        <f t="shared" si="3085"/>
        <v>0</v>
      </c>
      <c r="AO350" s="21">
        <f t="shared" si="3085"/>
        <v>0</v>
      </c>
      <c r="AP350" s="21">
        <f t="shared" ref="AP350:AW350" si="3086">IF($F$290, 0, IF($C$299, IF(AND(COLUMN($AP$350)-COLUMN($B$343)=$Q$291,ROW($AP$350)-ROW($B$343)=$K$291), U$290, AP350), AP350))</f>
        <v>0</v>
      </c>
      <c r="AQ350" s="21">
        <f t="shared" si="3086"/>
        <v>0</v>
      </c>
      <c r="AR350" s="21">
        <f t="shared" si="3086"/>
        <v>0</v>
      </c>
      <c r="AS350" s="21">
        <f t="shared" si="3086"/>
        <v>0</v>
      </c>
      <c r="AT350" s="21">
        <f t="shared" si="3086"/>
        <v>0</v>
      </c>
      <c r="AU350" s="21">
        <f t="shared" si="3086"/>
        <v>0</v>
      </c>
      <c r="AV350" s="21">
        <f t="shared" si="3086"/>
        <v>0</v>
      </c>
      <c r="AW350" s="21">
        <f t="shared" si="3086"/>
        <v>0</v>
      </c>
      <c r="AX350" s="21">
        <f t="shared" ref="AX350:BE350" si="3087">IF($F$290, 0, IF($C$299, IF(AND(COLUMN($AX$350)-COLUMN($B$343)=$Q$291,ROW($AX$350)-ROW($B$343)=$K$291), U$290, AX350), AX350))</f>
        <v>0</v>
      </c>
      <c r="AY350" s="21">
        <f t="shared" si="3087"/>
        <v>0</v>
      </c>
      <c r="AZ350" s="21">
        <f t="shared" si="3087"/>
        <v>0</v>
      </c>
      <c r="BA350" s="21">
        <f t="shared" si="3087"/>
        <v>0</v>
      </c>
      <c r="BB350" s="21">
        <f t="shared" si="3087"/>
        <v>0</v>
      </c>
      <c r="BC350" s="21">
        <f t="shared" si="3087"/>
        <v>0</v>
      </c>
      <c r="BD350" s="21">
        <f t="shared" si="3087"/>
        <v>0</v>
      </c>
      <c r="BE350" s="21">
        <f t="shared" si="3087"/>
        <v>0</v>
      </c>
      <c r="BF350" s="21">
        <f t="shared" ref="BF350:BM350" si="3088">IF($F$290, 0, IF($C$299, IF(AND(COLUMN($BF$350)-COLUMN($B$343)=$Q$291,ROW($BF$350)-ROW($B$343)=$K$291), U$290, BF350), BF350))</f>
        <v>0</v>
      </c>
      <c r="BG350" s="21">
        <f t="shared" si="3088"/>
        <v>0</v>
      </c>
      <c r="BH350" s="21">
        <f t="shared" si="3088"/>
        <v>0</v>
      </c>
      <c r="BI350" s="21">
        <f t="shared" si="3088"/>
        <v>0</v>
      </c>
      <c r="BJ350" s="21">
        <f t="shared" si="3088"/>
        <v>0</v>
      </c>
      <c r="BK350" s="21">
        <f t="shared" si="3088"/>
        <v>0</v>
      </c>
      <c r="BL350" s="21">
        <f t="shared" si="3088"/>
        <v>0</v>
      </c>
      <c r="BM350" s="21">
        <f t="shared" si="3088"/>
        <v>0</v>
      </c>
      <c r="BN350" s="21">
        <f t="shared" ref="BN350:BU350" si="3089">IF($F$290, 0, IF($D$299, IF(AND(COLUMN($BN$350)-COLUMN($BN$343)=$Q$291,ROW($BN$350)-ROW($BN$343)=$K$291), U$290, BN350), BN350))</f>
        <v>0</v>
      </c>
      <c r="BO350" s="21">
        <f t="shared" si="3089"/>
        <v>0</v>
      </c>
      <c r="BP350" s="21">
        <f t="shared" si="3089"/>
        <v>0</v>
      </c>
      <c r="BQ350" s="21">
        <f t="shared" si="3089"/>
        <v>0</v>
      </c>
      <c r="BR350" s="21">
        <f t="shared" si="3089"/>
        <v>0</v>
      </c>
      <c r="BS350" s="21">
        <f t="shared" si="3089"/>
        <v>0</v>
      </c>
      <c r="BT350" s="21">
        <f t="shared" si="3089"/>
        <v>0</v>
      </c>
      <c r="BU350" s="21">
        <f t="shared" si="3089"/>
        <v>0</v>
      </c>
      <c r="BV350" s="21">
        <f t="shared" ref="BV350:CC350" si="3090">IF($F$290, 0, IF($D$299, IF(AND(COLUMN($BV$350)-COLUMN($BN$343)=$Q$291,ROW($BV$350)-ROW($BN$343)=$K$291), U$290, BV350), BV350))</f>
        <v>0</v>
      </c>
      <c r="BW350" s="21">
        <f t="shared" si="3090"/>
        <v>0</v>
      </c>
      <c r="BX350" s="21">
        <f t="shared" si="3090"/>
        <v>0</v>
      </c>
      <c r="BY350" s="21">
        <f t="shared" si="3090"/>
        <v>0</v>
      </c>
      <c r="BZ350" s="21">
        <f t="shared" si="3090"/>
        <v>0</v>
      </c>
      <c r="CA350" s="21">
        <f t="shared" si="3090"/>
        <v>0</v>
      </c>
      <c r="CB350" s="21">
        <f t="shared" si="3090"/>
        <v>0</v>
      </c>
      <c r="CC350" s="21">
        <f t="shared" si="3090"/>
        <v>0</v>
      </c>
      <c r="CD350" s="21">
        <f t="shared" ref="CD350:CK350" si="3091">IF($F$290, 0, IF($D$299, IF(AND(COLUMN($CD$350)-COLUMN($BN$343)=$Q$291,ROW($CD$350)-ROW($BN$343)=$K$291), U$290, CD350), CD350))</f>
        <v>0</v>
      </c>
      <c r="CE350" s="21">
        <f t="shared" si="3091"/>
        <v>0</v>
      </c>
      <c r="CF350" s="21">
        <f t="shared" si="3091"/>
        <v>0</v>
      </c>
      <c r="CG350" s="21">
        <f t="shared" si="3091"/>
        <v>0</v>
      </c>
      <c r="CH350" s="21">
        <f t="shared" si="3091"/>
        <v>0</v>
      </c>
      <c r="CI350" s="21">
        <f t="shared" si="3091"/>
        <v>0</v>
      </c>
      <c r="CJ350" s="21">
        <f t="shared" si="3091"/>
        <v>0</v>
      </c>
      <c r="CK350" s="21">
        <f t="shared" si="3091"/>
        <v>0</v>
      </c>
      <c r="CL350" s="21">
        <f t="shared" ref="CL350:CS350" si="3092">IF($F$290, 0, IF($D$299, IF(AND(COLUMN($CL$350)-COLUMN($BN$343)=$Q$291,ROW($CL$350)-ROW($BN$343)=$K$291), U$290, CL350), CL350))</f>
        <v>0</v>
      </c>
      <c r="CM350" s="21">
        <f t="shared" si="3092"/>
        <v>0</v>
      </c>
      <c r="CN350" s="21">
        <f t="shared" si="3092"/>
        <v>0</v>
      </c>
      <c r="CO350" s="21">
        <f t="shared" si="3092"/>
        <v>0</v>
      </c>
      <c r="CP350" s="21">
        <f t="shared" si="3092"/>
        <v>0</v>
      </c>
      <c r="CQ350" s="21">
        <f t="shared" si="3092"/>
        <v>0</v>
      </c>
      <c r="CR350" s="21">
        <f t="shared" si="3092"/>
        <v>0</v>
      </c>
      <c r="CS350" s="21">
        <f t="shared" si="3092"/>
        <v>0</v>
      </c>
      <c r="CT350" s="21">
        <f t="shared" ref="CT350:DA350" si="3093">IF($F$290, 0, IF($D$299, IF(AND(COLUMN($CT$350)-COLUMN($BN$343)=$Q$291,ROW($CT$350)-ROW($BN$343)=$K$291), U$290, CT350), CT350))</f>
        <v>0</v>
      </c>
      <c r="CU350" s="21">
        <f t="shared" si="3093"/>
        <v>0</v>
      </c>
      <c r="CV350" s="21">
        <f t="shared" si="3093"/>
        <v>0</v>
      </c>
      <c r="CW350" s="21">
        <f t="shared" si="3093"/>
        <v>0</v>
      </c>
      <c r="CX350" s="21">
        <f t="shared" si="3093"/>
        <v>0</v>
      </c>
      <c r="CY350" s="21">
        <f t="shared" si="3093"/>
        <v>0</v>
      </c>
      <c r="CZ350" s="21">
        <f t="shared" si="3093"/>
        <v>0</v>
      </c>
      <c r="DA350" s="21">
        <f t="shared" si="3093"/>
        <v>0</v>
      </c>
      <c r="DB350" s="21">
        <f t="shared" ref="DB350:DI350" si="3094">IF($F$290, 0, IF($D$299, IF(AND(COLUMN($DB$350)-COLUMN($BN$343)=$Q$291,ROW($DB$350)-ROW($BN$343)=$K$291), U$290, DB350), DB350))</f>
        <v>0</v>
      </c>
      <c r="DC350" s="21">
        <f t="shared" si="3094"/>
        <v>0</v>
      </c>
      <c r="DD350" s="21">
        <f t="shared" si="3094"/>
        <v>0</v>
      </c>
      <c r="DE350" s="21">
        <f t="shared" si="3094"/>
        <v>0</v>
      </c>
      <c r="DF350" s="21">
        <f t="shared" si="3094"/>
        <v>0</v>
      </c>
      <c r="DG350" s="21">
        <f t="shared" si="3094"/>
        <v>0</v>
      </c>
      <c r="DH350" s="21">
        <f t="shared" si="3094"/>
        <v>0</v>
      </c>
      <c r="DI350" s="21">
        <f t="shared" si="3094"/>
        <v>0</v>
      </c>
      <c r="DJ350" s="21">
        <f t="shared" ref="DJ350:DQ350" si="3095">IF($F$290, 0, IF($D$299, IF(AND(COLUMN($DJ$350)-COLUMN($BN$343)=$Q$291,ROW($DJ$350)-ROW($BN$343)=$K$291), U$290, DJ350), DJ350))</f>
        <v>0</v>
      </c>
      <c r="DK350" s="21">
        <f t="shared" si="3095"/>
        <v>0</v>
      </c>
      <c r="DL350" s="21">
        <f t="shared" si="3095"/>
        <v>0</v>
      </c>
      <c r="DM350" s="21">
        <f t="shared" si="3095"/>
        <v>0</v>
      </c>
      <c r="DN350" s="21">
        <f t="shared" si="3095"/>
        <v>0</v>
      </c>
      <c r="DO350" s="21">
        <f t="shared" si="3095"/>
        <v>0</v>
      </c>
      <c r="DP350" s="21">
        <f t="shared" si="3095"/>
        <v>0</v>
      </c>
      <c r="DQ350" s="21">
        <f t="shared" si="3095"/>
        <v>0</v>
      </c>
      <c r="DR350" s="21">
        <f t="shared" ref="DR350:DY350" si="3096">IF($F$290, 0, IF($D$299, IF(AND(COLUMN($DR$350)-COLUMN($BN$343)=$Q$291,ROW($DR$350)-ROW($BN$343)=$K$291), U$290, DR350), DR350))</f>
        <v>0</v>
      </c>
      <c r="DS350" s="21">
        <f t="shared" si="3096"/>
        <v>0</v>
      </c>
      <c r="DT350" s="21">
        <f t="shared" si="3096"/>
        <v>0</v>
      </c>
      <c r="DU350" s="21">
        <f t="shared" si="3096"/>
        <v>0</v>
      </c>
      <c r="DV350" s="21">
        <f t="shared" si="3096"/>
        <v>0</v>
      </c>
      <c r="DW350" s="21">
        <f t="shared" si="3096"/>
        <v>0</v>
      </c>
      <c r="DX350" s="21">
        <f t="shared" si="3096"/>
        <v>0</v>
      </c>
      <c r="DY350" s="21">
        <f t="shared" si="3096"/>
        <v>0</v>
      </c>
      <c r="DZ350" s="21">
        <f t="shared" ref="DZ350:EG350" si="3097">IF($F$290, 0, IF($E$299, IF(AND(COLUMN($DZ$350)-COLUMN($DZ$343)=$Q$291,ROW($DZ$350)-ROW($DZ$343)=$K$291), U$290, DZ350), DZ350))</f>
        <v>0</v>
      </c>
      <c r="EA350" s="21">
        <f t="shared" si="3097"/>
        <v>0</v>
      </c>
      <c r="EB350" s="21">
        <f t="shared" si="3097"/>
        <v>0</v>
      </c>
      <c r="EC350" s="21">
        <f t="shared" si="3097"/>
        <v>0</v>
      </c>
      <c r="ED350" s="21">
        <f t="shared" si="3097"/>
        <v>0</v>
      </c>
      <c r="EE350" s="21">
        <f t="shared" si="3097"/>
        <v>0</v>
      </c>
      <c r="EF350" s="21">
        <f t="shared" si="3097"/>
        <v>0</v>
      </c>
      <c r="EG350" s="21">
        <f t="shared" si="3097"/>
        <v>0</v>
      </c>
      <c r="EH350" s="21">
        <f t="shared" ref="EH350:EO350" si="3098">IF($F$290, 0, IF($E$299, IF(AND(COLUMN($EH$350)-COLUMN($DZ$343)=$Q$291,ROW($EH$350)-ROW($DZ$343)=$K$291), U$290, EH350), EH350))</f>
        <v>0</v>
      </c>
      <c r="EI350" s="21">
        <f t="shared" si="3098"/>
        <v>0</v>
      </c>
      <c r="EJ350" s="21">
        <f t="shared" si="3098"/>
        <v>0</v>
      </c>
      <c r="EK350" s="21">
        <f t="shared" si="3098"/>
        <v>0</v>
      </c>
      <c r="EL350" s="21">
        <f t="shared" si="3098"/>
        <v>0</v>
      </c>
      <c r="EM350" s="21">
        <f t="shared" si="3098"/>
        <v>0</v>
      </c>
      <c r="EN350" s="21">
        <f t="shared" si="3098"/>
        <v>0</v>
      </c>
      <c r="EO350" s="21">
        <f t="shared" si="3098"/>
        <v>0</v>
      </c>
      <c r="EP350" s="21">
        <f t="shared" ref="EP350:EW350" si="3099">IF($F$290, 0, IF($E$299, IF(AND(COLUMN($EP$350)-COLUMN($DZ$343)=$Q$291,ROW($EP$350)-ROW($DZ$343)=$K$291), U$290, EP350), EP350))</f>
        <v>0</v>
      </c>
      <c r="EQ350" s="21">
        <f t="shared" si="3099"/>
        <v>0</v>
      </c>
      <c r="ER350" s="21">
        <f t="shared" si="3099"/>
        <v>0</v>
      </c>
      <c r="ES350" s="21">
        <f t="shared" si="3099"/>
        <v>0</v>
      </c>
      <c r="ET350" s="21">
        <f t="shared" si="3099"/>
        <v>0</v>
      </c>
      <c r="EU350" s="21">
        <f t="shared" si="3099"/>
        <v>0</v>
      </c>
      <c r="EV350" s="21">
        <f t="shared" si="3099"/>
        <v>0</v>
      </c>
      <c r="EW350" s="21">
        <f t="shared" si="3099"/>
        <v>0</v>
      </c>
      <c r="EX350" s="21">
        <f t="shared" ref="EX350:FE350" si="3100">IF($F$290, 0, IF($E$299, IF(AND(COLUMN($EX$350)-COLUMN($DZ$343)=$Q$291,ROW($EX$350)-ROW($DZ$343)=$K$291), U$290, EX350), EX350))</f>
        <v>0</v>
      </c>
      <c r="EY350" s="21">
        <f t="shared" si="3100"/>
        <v>0</v>
      </c>
      <c r="EZ350" s="21">
        <f t="shared" si="3100"/>
        <v>0</v>
      </c>
      <c r="FA350" s="21">
        <f t="shared" si="3100"/>
        <v>0</v>
      </c>
      <c r="FB350" s="21">
        <f t="shared" si="3100"/>
        <v>0</v>
      </c>
      <c r="FC350" s="21">
        <f t="shared" si="3100"/>
        <v>0</v>
      </c>
      <c r="FD350" s="21">
        <f t="shared" si="3100"/>
        <v>0</v>
      </c>
      <c r="FE350" s="21">
        <f t="shared" si="3100"/>
        <v>0</v>
      </c>
      <c r="FF350" s="21">
        <f t="shared" ref="FF350:FM350" si="3101">IF($F$290, 0, IF($E$299, IF(AND(COLUMN($FF$350)-COLUMN($DZ$343)=$Q$291,ROW($FF$350)-ROW($DZ$343)=$K$291), U$290, FF350), FF350))</f>
        <v>0</v>
      </c>
      <c r="FG350" s="21">
        <f t="shared" si="3101"/>
        <v>0</v>
      </c>
      <c r="FH350" s="21">
        <f t="shared" si="3101"/>
        <v>0</v>
      </c>
      <c r="FI350" s="21">
        <f t="shared" si="3101"/>
        <v>0</v>
      </c>
      <c r="FJ350" s="21">
        <f t="shared" si="3101"/>
        <v>0</v>
      </c>
      <c r="FK350" s="21">
        <f t="shared" si="3101"/>
        <v>0</v>
      </c>
      <c r="FL350" s="21">
        <f t="shared" si="3101"/>
        <v>0</v>
      </c>
      <c r="FM350" s="21">
        <f t="shared" si="3101"/>
        <v>0</v>
      </c>
      <c r="FN350" s="21">
        <f t="shared" ref="FN350:FU350" si="3102">IF($F$290, 0, IF($E$299, IF(AND(COLUMN($FN$350)-COLUMN($DZ$343)=$Q$291,ROW($FN$350)-ROW($DZ$343)=$K$291), U$290, FN350), FN350))</f>
        <v>0</v>
      </c>
      <c r="FO350" s="21">
        <f t="shared" si="3102"/>
        <v>0</v>
      </c>
      <c r="FP350" s="21">
        <f t="shared" si="3102"/>
        <v>0</v>
      </c>
      <c r="FQ350" s="21">
        <f t="shared" si="3102"/>
        <v>0</v>
      </c>
      <c r="FR350" s="21">
        <f t="shared" si="3102"/>
        <v>0</v>
      </c>
      <c r="FS350" s="21">
        <f t="shared" si="3102"/>
        <v>0</v>
      </c>
      <c r="FT350" s="21">
        <f t="shared" si="3102"/>
        <v>0</v>
      </c>
      <c r="FU350" s="21">
        <f t="shared" si="3102"/>
        <v>0</v>
      </c>
      <c r="FV350" s="21">
        <f t="shared" ref="FV350:GC350" si="3103">IF($F$290, 0, IF($E$299, IF(AND(COLUMN($FV$350)-COLUMN($DZ$343)=$Q$291,ROW($FV$350)-ROW($DZ$343)=$K$291), U$290, FV350), FV350))</f>
        <v>0</v>
      </c>
      <c r="FW350" s="21">
        <f t="shared" si="3103"/>
        <v>0</v>
      </c>
      <c r="FX350" s="21">
        <f t="shared" si="3103"/>
        <v>0</v>
      </c>
      <c r="FY350" s="21">
        <f t="shared" si="3103"/>
        <v>0</v>
      </c>
      <c r="FZ350" s="21">
        <f t="shared" si="3103"/>
        <v>0</v>
      </c>
      <c r="GA350" s="21">
        <f t="shared" si="3103"/>
        <v>0</v>
      </c>
      <c r="GB350" s="21">
        <f t="shared" si="3103"/>
        <v>0</v>
      </c>
      <c r="GC350" s="21">
        <f t="shared" si="3103"/>
        <v>0</v>
      </c>
      <c r="GD350" s="21">
        <f t="shared" ref="GD350:GK350" si="3104">IF($F$290, 0, IF($E$299, IF(AND(COLUMN($GD$350)-COLUMN($DZ$343)=$Q$291,ROW($GD$350)-ROW($DZ$343)=$K$291), U$290, GD350), GD350))</f>
        <v>0</v>
      </c>
      <c r="GE350" s="21">
        <f t="shared" si="3104"/>
        <v>0</v>
      </c>
      <c r="GF350" s="21">
        <f t="shared" si="3104"/>
        <v>0</v>
      </c>
      <c r="GG350" s="21">
        <f t="shared" si="3104"/>
        <v>0</v>
      </c>
      <c r="GH350" s="21">
        <f t="shared" si="3104"/>
        <v>0</v>
      </c>
      <c r="GI350" s="21">
        <f t="shared" si="3104"/>
        <v>0</v>
      </c>
      <c r="GJ350" s="21">
        <f t="shared" si="3104"/>
        <v>0</v>
      </c>
      <c r="GK350" s="21">
        <f t="shared" si="3104"/>
        <v>0</v>
      </c>
      <c r="GL350" s="21">
        <f t="shared" ref="GL350:GS350" si="3105">IF($F$290, 0, IF($F$299, IF(AND(COLUMN($GL$350)-COLUMN($GL$343)=$Q$291,ROW($GL$350)-ROW($GL$343)=$K$291), U$290, GL350), GL350))</f>
        <v>0</v>
      </c>
      <c r="GM350" s="21">
        <f t="shared" si="3105"/>
        <v>0</v>
      </c>
      <c r="GN350" s="21">
        <f t="shared" si="3105"/>
        <v>0</v>
      </c>
      <c r="GO350" s="21">
        <f t="shared" si="3105"/>
        <v>0</v>
      </c>
      <c r="GP350" s="21">
        <f t="shared" si="3105"/>
        <v>0</v>
      </c>
      <c r="GQ350" s="21">
        <f t="shared" si="3105"/>
        <v>0</v>
      </c>
      <c r="GR350" s="21">
        <f t="shared" si="3105"/>
        <v>0</v>
      </c>
      <c r="GS350" s="21">
        <f t="shared" si="3105"/>
        <v>0</v>
      </c>
      <c r="GT350" s="21">
        <f t="shared" ref="GT350:HA350" si="3106">IF($F$290, 0, IF($F$299, IF(AND(COLUMN($GT$350)-COLUMN($GL$343)=$Q$291,ROW($GT$350)-ROW($GL$343)=$K$291), U$290, GT350), GT350))</f>
        <v>0</v>
      </c>
      <c r="GU350" s="21">
        <f t="shared" si="3106"/>
        <v>0</v>
      </c>
      <c r="GV350" s="21">
        <f t="shared" si="3106"/>
        <v>0</v>
      </c>
      <c r="GW350" s="21">
        <f t="shared" si="3106"/>
        <v>0</v>
      </c>
      <c r="GX350" s="21">
        <f t="shared" si="3106"/>
        <v>0</v>
      </c>
      <c r="GY350" s="21">
        <f t="shared" si="3106"/>
        <v>0</v>
      </c>
      <c r="GZ350" s="21">
        <f t="shared" si="3106"/>
        <v>0</v>
      </c>
      <c r="HA350" s="21">
        <f t="shared" si="3106"/>
        <v>0</v>
      </c>
      <c r="HB350" s="21">
        <f t="shared" ref="HB350:HI350" si="3107">IF($F$290, 0, IF($F$299, IF(AND(COLUMN($HB$350)-COLUMN($GL$343)=$Q$291,ROW($HB$350)-ROW($GL$343)=$K$291), U$290, HB350), HB350))</f>
        <v>0</v>
      </c>
      <c r="HC350" s="21">
        <f t="shared" si="3107"/>
        <v>0</v>
      </c>
      <c r="HD350" s="21">
        <f t="shared" si="3107"/>
        <v>0</v>
      </c>
      <c r="HE350" s="21">
        <f t="shared" si="3107"/>
        <v>0</v>
      </c>
      <c r="HF350" s="21">
        <f t="shared" si="3107"/>
        <v>0</v>
      </c>
      <c r="HG350" s="21">
        <f t="shared" si="3107"/>
        <v>0</v>
      </c>
      <c r="HH350" s="21">
        <f t="shared" si="3107"/>
        <v>0</v>
      </c>
      <c r="HI350" s="21">
        <f t="shared" si="3107"/>
        <v>0</v>
      </c>
      <c r="HJ350" s="21">
        <f t="shared" ref="HJ350:HQ350" si="3108">IF($F$290, 0, IF($F$299, IF(AND(COLUMN($HJ$350)-COLUMN($GL$343)=$Q$291,ROW($HJ$350)-ROW($GL$343)=$K$291), U$290, HJ350), HJ350))</f>
        <v>0</v>
      </c>
      <c r="HK350" s="21">
        <f t="shared" si="3108"/>
        <v>0</v>
      </c>
      <c r="HL350" s="21">
        <f t="shared" si="3108"/>
        <v>0</v>
      </c>
      <c r="HM350" s="21">
        <f t="shared" si="3108"/>
        <v>0</v>
      </c>
      <c r="HN350" s="21">
        <f t="shared" si="3108"/>
        <v>0</v>
      </c>
      <c r="HO350" s="21">
        <f t="shared" si="3108"/>
        <v>0</v>
      </c>
      <c r="HP350" s="21">
        <f t="shared" si="3108"/>
        <v>0</v>
      </c>
      <c r="HQ350" s="21">
        <f t="shared" si="3108"/>
        <v>0</v>
      </c>
      <c r="HR350" s="21">
        <f t="shared" ref="HR350:HY350" si="3109">IF($F$290, 0, IF($F$299, IF(AND(COLUMN($HR$350)-COLUMN($GL$343)=$Q$291,ROW($HR$350)-ROW($GL$343)=$K$291), U$290, HR350), HR350))</f>
        <v>0</v>
      </c>
      <c r="HS350" s="21">
        <f t="shared" si="3109"/>
        <v>0</v>
      </c>
      <c r="HT350" s="21">
        <f t="shared" si="3109"/>
        <v>0</v>
      </c>
      <c r="HU350" s="21">
        <f t="shared" si="3109"/>
        <v>0</v>
      </c>
      <c r="HV350" s="21">
        <f t="shared" si="3109"/>
        <v>0</v>
      </c>
      <c r="HW350" s="21">
        <f t="shared" si="3109"/>
        <v>0</v>
      </c>
      <c r="HX350" s="21">
        <f t="shared" si="3109"/>
        <v>0</v>
      </c>
      <c r="HY350" s="21">
        <f t="shared" si="3109"/>
        <v>0</v>
      </c>
      <c r="HZ350" s="21">
        <f t="shared" ref="HZ350:IG350" si="3110">IF($F$290, 0, IF($F$299, IF(AND(COLUMN($HZ$350)-COLUMN($GL$343)=$Q$291,ROW($HZ$350)-ROW($GL$343)=$K$291), U$290, HZ350), HZ350))</f>
        <v>0</v>
      </c>
      <c r="IA350" s="21">
        <f t="shared" si="3110"/>
        <v>0</v>
      </c>
      <c r="IB350" s="21">
        <f t="shared" si="3110"/>
        <v>0</v>
      </c>
      <c r="IC350" s="21">
        <f t="shared" si="3110"/>
        <v>0</v>
      </c>
      <c r="ID350" s="21">
        <f t="shared" si="3110"/>
        <v>0</v>
      </c>
      <c r="IE350" s="21">
        <f t="shared" si="3110"/>
        <v>0</v>
      </c>
      <c r="IF350" s="21">
        <f t="shared" si="3110"/>
        <v>0</v>
      </c>
      <c r="IG350" s="21">
        <f t="shared" si="3110"/>
        <v>0</v>
      </c>
      <c r="IH350" s="21">
        <f t="shared" ref="IH350:IO350" si="3111">IF($F$290, 0, IF($F$299, IF(AND(COLUMN($IH$350)-COLUMN($GL$343)=$Q$291,ROW($IH$350)-ROW($GL$343)=$K$291), U$290, IH350), IH350))</f>
        <v>0</v>
      </c>
      <c r="II350" s="21">
        <f t="shared" si="3111"/>
        <v>0</v>
      </c>
      <c r="IJ350" s="21">
        <f t="shared" si="3111"/>
        <v>0</v>
      </c>
      <c r="IK350" s="21">
        <f t="shared" si="3111"/>
        <v>0</v>
      </c>
      <c r="IL350" s="21">
        <f t="shared" si="3111"/>
        <v>0</v>
      </c>
      <c r="IM350" s="21">
        <f t="shared" si="3111"/>
        <v>0</v>
      </c>
      <c r="IN350" s="21">
        <f t="shared" si="3111"/>
        <v>0</v>
      </c>
      <c r="IO350" s="21">
        <f t="shared" si="3111"/>
        <v>0</v>
      </c>
      <c r="IP350" s="21">
        <f t="shared" ref="IP350:IW350" si="3112">IF($F$290, 0, IF($F$299, IF(AND(COLUMN($IP$350)-COLUMN($GL$343)=$Q$291,ROW($IP$350)-ROW($GL$343)=$K$291), U$290, IP350), IP350))</f>
        <v>0</v>
      </c>
      <c r="IQ350" s="21">
        <f t="shared" si="3112"/>
        <v>0</v>
      </c>
      <c r="IR350" s="21">
        <f t="shared" si="3112"/>
        <v>0</v>
      </c>
      <c r="IS350" s="21">
        <f t="shared" si="3112"/>
        <v>0</v>
      </c>
      <c r="IT350" s="21">
        <f t="shared" si="3112"/>
        <v>0</v>
      </c>
      <c r="IU350" s="21">
        <f t="shared" si="3112"/>
        <v>0</v>
      </c>
      <c r="IV350" s="21">
        <f t="shared" si="3112"/>
        <v>0</v>
      </c>
      <c r="IW350" s="21">
        <f t="shared" si="3112"/>
        <v>0</v>
      </c>
      <c r="IX350" s="21">
        <f t="shared" ref="IX350:JE350" si="3113">IF($F$290, 0, IF($G$299, IF(AND(COLUMN($IX$350)-COLUMN($IX$343)=$Q$291,ROW($IX$350)-ROW($IX$343)=$K$291), U$290, IX350), IX350))</f>
        <v>0</v>
      </c>
      <c r="IY350" s="21">
        <f t="shared" si="3113"/>
        <v>0</v>
      </c>
      <c r="IZ350" s="21">
        <f t="shared" si="3113"/>
        <v>0</v>
      </c>
      <c r="JA350" s="21">
        <f t="shared" si="3113"/>
        <v>0</v>
      </c>
      <c r="JB350" s="21">
        <f t="shared" si="3113"/>
        <v>0</v>
      </c>
      <c r="JC350" s="21">
        <f t="shared" si="3113"/>
        <v>0</v>
      </c>
      <c r="JD350" s="21">
        <f t="shared" si="3113"/>
        <v>0</v>
      </c>
      <c r="JE350" s="21">
        <f t="shared" si="3113"/>
        <v>0</v>
      </c>
      <c r="JF350" s="21">
        <f t="shared" ref="JF350:JM350" si="3114">IF($F$290, 0, IF($G$299, IF(AND(COLUMN($JF$350)-COLUMN($IX$343)=$Q$291,ROW($JF$350)-ROW($IX$343)=$K$291), U$290, JF350), JF350))</f>
        <v>0</v>
      </c>
      <c r="JG350" s="21">
        <f t="shared" si="3114"/>
        <v>0</v>
      </c>
      <c r="JH350" s="21">
        <f t="shared" si="3114"/>
        <v>0</v>
      </c>
      <c r="JI350" s="21">
        <f t="shared" si="3114"/>
        <v>0</v>
      </c>
      <c r="JJ350" s="21">
        <f t="shared" si="3114"/>
        <v>0</v>
      </c>
      <c r="JK350" s="21">
        <f t="shared" si="3114"/>
        <v>0</v>
      </c>
      <c r="JL350" s="21">
        <f t="shared" si="3114"/>
        <v>0</v>
      </c>
      <c r="JM350" s="21">
        <f t="shared" si="3114"/>
        <v>0</v>
      </c>
      <c r="JN350" s="21">
        <f t="shared" ref="JN350:JU350" si="3115">IF($F$290, 0, IF($G$299, IF(AND(COLUMN($JN$350)-COLUMN($IX$343)=$Q$291,ROW($JN$350)-ROW($IX$343)=$K$291), U$290, JN350), JN350))</f>
        <v>0</v>
      </c>
      <c r="JO350" s="21">
        <f t="shared" si="3115"/>
        <v>0</v>
      </c>
      <c r="JP350" s="21">
        <f t="shared" si="3115"/>
        <v>0</v>
      </c>
      <c r="JQ350" s="21">
        <f t="shared" si="3115"/>
        <v>0</v>
      </c>
      <c r="JR350" s="21">
        <f t="shared" si="3115"/>
        <v>0</v>
      </c>
      <c r="JS350" s="21">
        <f t="shared" si="3115"/>
        <v>0</v>
      </c>
      <c r="JT350" s="21">
        <f t="shared" si="3115"/>
        <v>0</v>
      </c>
      <c r="JU350" s="21">
        <f t="shared" si="3115"/>
        <v>0</v>
      </c>
      <c r="JV350" s="21">
        <f t="shared" ref="JV350:KC350" si="3116">IF($F$290, 0, IF($G$299, IF(AND(COLUMN($JV$350)-COLUMN($IX$343)=$Q$291,ROW($JV$350)-ROW($IX$343)=$K$291), U$290, JV350), JV350))</f>
        <v>0</v>
      </c>
      <c r="JW350" s="21">
        <f t="shared" si="3116"/>
        <v>0</v>
      </c>
      <c r="JX350" s="21">
        <f t="shared" si="3116"/>
        <v>0</v>
      </c>
      <c r="JY350" s="21">
        <f t="shared" si="3116"/>
        <v>0</v>
      </c>
      <c r="JZ350" s="21">
        <f t="shared" si="3116"/>
        <v>0</v>
      </c>
      <c r="KA350" s="21">
        <f t="shared" si="3116"/>
        <v>0</v>
      </c>
      <c r="KB350" s="21">
        <f t="shared" si="3116"/>
        <v>0</v>
      </c>
      <c r="KC350" s="21">
        <f t="shared" si="3116"/>
        <v>0</v>
      </c>
      <c r="KD350" s="21">
        <f t="shared" ref="KD350:KK350" si="3117">IF($F$290, 0, IF($G$299, IF(AND(COLUMN($KD$350)-COLUMN($IX$343)=$Q$291,ROW($KD$350)-ROW($IX$343)=$K$291), U$290, KD350), KD350))</f>
        <v>0</v>
      </c>
      <c r="KE350" s="21">
        <f t="shared" si="3117"/>
        <v>0</v>
      </c>
      <c r="KF350" s="21">
        <f t="shared" si="3117"/>
        <v>0</v>
      </c>
      <c r="KG350" s="21">
        <f t="shared" si="3117"/>
        <v>0</v>
      </c>
      <c r="KH350" s="21">
        <f t="shared" si="3117"/>
        <v>0</v>
      </c>
      <c r="KI350" s="21">
        <f t="shared" si="3117"/>
        <v>0</v>
      </c>
      <c r="KJ350" s="21">
        <f t="shared" si="3117"/>
        <v>0</v>
      </c>
      <c r="KK350" s="21">
        <f t="shared" si="3117"/>
        <v>0</v>
      </c>
      <c r="KL350" s="21">
        <f t="shared" ref="KL350:KS350" si="3118">IF($F$290, 0, IF($G$299, IF(AND(COLUMN($KL$350)-COLUMN($IX$343)=$Q$291,ROW($KL$350)-ROW($IX$343)=$K$291), U$290, KL350), KL350))</f>
        <v>0</v>
      </c>
      <c r="KM350" s="21">
        <f t="shared" si="3118"/>
        <v>0</v>
      </c>
      <c r="KN350" s="21">
        <f t="shared" si="3118"/>
        <v>0</v>
      </c>
      <c r="KO350" s="21">
        <f t="shared" si="3118"/>
        <v>0</v>
      </c>
      <c r="KP350" s="21">
        <f t="shared" si="3118"/>
        <v>0</v>
      </c>
      <c r="KQ350" s="21">
        <f t="shared" si="3118"/>
        <v>0</v>
      </c>
      <c r="KR350" s="21">
        <f t="shared" si="3118"/>
        <v>0</v>
      </c>
      <c r="KS350" s="21">
        <f t="shared" si="3118"/>
        <v>0</v>
      </c>
      <c r="KT350" s="21">
        <f t="shared" ref="KT350:LA350" si="3119">IF($F$290, 0, IF($G$299, IF(AND(COLUMN($KT$350)-COLUMN($IX$343)=$Q$291,ROW($KT$350)-ROW($IX$343)=$K$291), U$290, KT350), KT350))</f>
        <v>0</v>
      </c>
      <c r="KU350" s="21">
        <f t="shared" si="3119"/>
        <v>0</v>
      </c>
      <c r="KV350" s="21">
        <f t="shared" si="3119"/>
        <v>0</v>
      </c>
      <c r="KW350" s="21">
        <f t="shared" si="3119"/>
        <v>0</v>
      </c>
      <c r="KX350" s="21">
        <f t="shared" si="3119"/>
        <v>0</v>
      </c>
      <c r="KY350" s="21">
        <f t="shared" si="3119"/>
        <v>0</v>
      </c>
      <c r="KZ350" s="21">
        <f t="shared" si="3119"/>
        <v>0</v>
      </c>
      <c r="LA350" s="21">
        <f t="shared" si="3119"/>
        <v>0</v>
      </c>
      <c r="LB350" s="21">
        <f t="shared" ref="LB350:LI350" si="3120">IF($F$290, 0, IF($G$299, IF(AND(COLUMN($LB$350)-COLUMN($IX$343)=$Q$291,ROW($LB$350)-ROW($IX$343)=$K$291), U$290, LB350), LB350))</f>
        <v>0</v>
      </c>
      <c r="LC350" s="21">
        <f t="shared" si="3120"/>
        <v>0</v>
      </c>
      <c r="LD350" s="21">
        <f t="shared" si="3120"/>
        <v>0</v>
      </c>
      <c r="LE350" s="21">
        <f t="shared" si="3120"/>
        <v>0</v>
      </c>
      <c r="LF350" s="21">
        <f t="shared" si="3120"/>
        <v>0</v>
      </c>
      <c r="LG350" s="21">
        <f t="shared" si="3120"/>
        <v>0</v>
      </c>
      <c r="LH350" s="21">
        <f t="shared" si="3120"/>
        <v>0</v>
      </c>
      <c r="LI350" s="21">
        <f t="shared" si="3120"/>
        <v>0</v>
      </c>
      <c r="LJ350" s="21">
        <f t="shared" ref="LJ350:LQ350" si="3121">IF($F$290, 0, IF($H$299, IF(AND(COLUMN($LJ$350)-COLUMN($LJ$343)=$Q$291,ROW($LJ$350)-ROW($LJ$343)=$K$291), U$290, LJ350), LJ350))</f>
        <v>0</v>
      </c>
      <c r="LK350" s="21">
        <f t="shared" si="3121"/>
        <v>0</v>
      </c>
      <c r="LL350" s="21">
        <f t="shared" si="3121"/>
        <v>0</v>
      </c>
      <c r="LM350" s="21">
        <f t="shared" si="3121"/>
        <v>0</v>
      </c>
      <c r="LN350" s="21">
        <f t="shared" si="3121"/>
        <v>0</v>
      </c>
      <c r="LO350" s="21">
        <f t="shared" si="3121"/>
        <v>0</v>
      </c>
      <c r="LP350" s="21">
        <f t="shared" si="3121"/>
        <v>0</v>
      </c>
      <c r="LQ350" s="21">
        <f t="shared" si="3121"/>
        <v>0</v>
      </c>
      <c r="LR350" s="21">
        <f t="shared" ref="LR350:LY350" si="3122">IF($F$290, 0, IF($H$299, IF(AND(COLUMN($LR$350)-COLUMN($LJ$343)=$Q$291,ROW($LR$350)-ROW($LJ$343)=$K$291), U$290, LR350), LR350))</f>
        <v>0</v>
      </c>
      <c r="LS350" s="21">
        <f t="shared" si="3122"/>
        <v>0</v>
      </c>
      <c r="LT350" s="21">
        <f t="shared" si="3122"/>
        <v>0</v>
      </c>
      <c r="LU350" s="21">
        <f t="shared" si="3122"/>
        <v>0</v>
      </c>
      <c r="LV350" s="21">
        <f t="shared" si="3122"/>
        <v>0</v>
      </c>
      <c r="LW350" s="21">
        <f t="shared" si="3122"/>
        <v>0</v>
      </c>
      <c r="LX350" s="21">
        <f t="shared" si="3122"/>
        <v>0</v>
      </c>
      <c r="LY350" s="21">
        <f t="shared" si="3122"/>
        <v>0</v>
      </c>
      <c r="LZ350" s="21">
        <f t="shared" ref="LZ350:MG350" si="3123">IF($F$290, 0, IF($H$299, IF(AND(COLUMN($LZ$350)-COLUMN($LJ$343)=$Q$291,ROW($LZ$350)-ROW($LJ$343)=$K$291), U$290, LZ350), LZ350))</f>
        <v>0</v>
      </c>
      <c r="MA350" s="21">
        <f t="shared" si="3123"/>
        <v>0</v>
      </c>
      <c r="MB350" s="21">
        <f t="shared" si="3123"/>
        <v>0</v>
      </c>
      <c r="MC350" s="21">
        <f t="shared" si="3123"/>
        <v>0</v>
      </c>
      <c r="MD350" s="21">
        <f t="shared" si="3123"/>
        <v>0</v>
      </c>
      <c r="ME350" s="21">
        <f t="shared" si="3123"/>
        <v>0</v>
      </c>
      <c r="MF350" s="21">
        <f t="shared" si="3123"/>
        <v>0</v>
      </c>
      <c r="MG350" s="21">
        <f t="shared" si="3123"/>
        <v>0</v>
      </c>
      <c r="MH350" s="21">
        <f t="shared" ref="MH350:MO350" si="3124">IF($F$290, 0, IF($H$299, IF(AND(COLUMN($MH$350)-COLUMN($LJ$343)=$Q$291,ROW($MH$350)-ROW($LJ$343)=$K$291), U$290, MH350), MH350))</f>
        <v>0</v>
      </c>
      <c r="MI350" s="21">
        <f t="shared" si="3124"/>
        <v>0</v>
      </c>
      <c r="MJ350" s="21">
        <f t="shared" si="3124"/>
        <v>0</v>
      </c>
      <c r="MK350" s="21">
        <f t="shared" si="3124"/>
        <v>0</v>
      </c>
      <c r="ML350" s="21">
        <f t="shared" si="3124"/>
        <v>0</v>
      </c>
      <c r="MM350" s="21">
        <f t="shared" si="3124"/>
        <v>0</v>
      </c>
      <c r="MN350" s="21">
        <f t="shared" si="3124"/>
        <v>0</v>
      </c>
      <c r="MO350" s="21">
        <f t="shared" si="3124"/>
        <v>0</v>
      </c>
      <c r="MP350" s="21">
        <f t="shared" ref="MP350:MW350" si="3125">IF($F$290, 0, IF($H$299, IF(AND(COLUMN($MP$350)-COLUMN($LJ$343)=$Q$291,ROW($MP$350)-ROW($LJ$343)=$K$291), U$290, MP350), MP350))</f>
        <v>0</v>
      </c>
      <c r="MQ350" s="21">
        <f t="shared" si="3125"/>
        <v>0</v>
      </c>
      <c r="MR350" s="21">
        <f t="shared" si="3125"/>
        <v>0</v>
      </c>
      <c r="MS350" s="21">
        <f t="shared" si="3125"/>
        <v>0</v>
      </c>
      <c r="MT350" s="21">
        <f t="shared" si="3125"/>
        <v>0</v>
      </c>
      <c r="MU350" s="21">
        <f t="shared" si="3125"/>
        <v>0</v>
      </c>
      <c r="MV350" s="21">
        <f t="shared" si="3125"/>
        <v>0</v>
      </c>
      <c r="MW350" s="21">
        <f t="shared" si="3125"/>
        <v>0</v>
      </c>
      <c r="MX350" s="21">
        <f t="shared" ref="MX350:NE350" si="3126">IF($F$290, 0, IF($H$299, IF(AND(COLUMN($MX$350)-COLUMN($LJ$343)=$Q$291,ROW($MX$350)-ROW($LJ$343)=$K$291), U$290, MX350), MX350))</f>
        <v>0</v>
      </c>
      <c r="MY350" s="21">
        <f t="shared" si="3126"/>
        <v>0</v>
      </c>
      <c r="MZ350" s="21">
        <f t="shared" si="3126"/>
        <v>0</v>
      </c>
      <c r="NA350" s="21">
        <f t="shared" si="3126"/>
        <v>0</v>
      </c>
      <c r="NB350" s="21">
        <f t="shared" si="3126"/>
        <v>0</v>
      </c>
      <c r="NC350" s="21">
        <f t="shared" si="3126"/>
        <v>0</v>
      </c>
      <c r="ND350" s="21">
        <f t="shared" si="3126"/>
        <v>0</v>
      </c>
      <c r="NE350" s="21">
        <f t="shared" si="3126"/>
        <v>0</v>
      </c>
      <c r="NF350" s="21">
        <f t="shared" ref="NF350:NM350" si="3127">IF($F$290, 0, IF($H$299, IF(AND(COLUMN($NF$350)-COLUMN($LJ$343)=$Q$291,ROW($NF$350)-ROW($LJ$343)=$K$291), U$290, NF350), NF350))</f>
        <v>0</v>
      </c>
      <c r="NG350" s="21">
        <f t="shared" si="3127"/>
        <v>0</v>
      </c>
      <c r="NH350" s="21">
        <f t="shared" si="3127"/>
        <v>0</v>
      </c>
      <c r="NI350" s="21">
        <f t="shared" si="3127"/>
        <v>0</v>
      </c>
      <c r="NJ350" s="21">
        <f t="shared" si="3127"/>
        <v>0</v>
      </c>
      <c r="NK350" s="21">
        <f t="shared" si="3127"/>
        <v>0</v>
      </c>
      <c r="NL350" s="21">
        <f t="shared" si="3127"/>
        <v>0</v>
      </c>
      <c r="NM350" s="21">
        <f t="shared" si="3127"/>
        <v>0</v>
      </c>
      <c r="NN350" s="21">
        <f t="shared" ref="NN350:NU350" si="3128">IF($F$290, 0, IF($H$299, IF(AND(COLUMN($NN$350)-COLUMN($LJ$343)=$Q$291,ROW($NN$350)-ROW($LJ$343)=$K$291), U$290, NN350), NN350))</f>
        <v>0</v>
      </c>
      <c r="NO350" s="21">
        <f t="shared" si="3128"/>
        <v>0</v>
      </c>
      <c r="NP350" s="21">
        <f t="shared" si="3128"/>
        <v>0</v>
      </c>
      <c r="NQ350" s="21">
        <f t="shared" si="3128"/>
        <v>0</v>
      </c>
      <c r="NR350" s="21">
        <f t="shared" si="3128"/>
        <v>0</v>
      </c>
      <c r="NS350" s="21">
        <f t="shared" si="3128"/>
        <v>0</v>
      </c>
      <c r="NT350" s="21">
        <f t="shared" si="3128"/>
        <v>0</v>
      </c>
      <c r="NU350" s="21">
        <f t="shared" si="3128"/>
        <v>0</v>
      </c>
      <c r="NV350" s="21">
        <f t="shared" ref="NV350:OC350" si="3129">IF($F$290, 0, IF($I$299, IF(AND(COLUMN($NV$350)-COLUMN($NV$343)=$Q$291,ROW($NV$350)-ROW($NV$343)=$K$291), U$290, NV350), NV350))</f>
        <v>0</v>
      </c>
      <c r="NW350" s="21">
        <f t="shared" si="3129"/>
        <v>0</v>
      </c>
      <c r="NX350" s="21">
        <f t="shared" si="3129"/>
        <v>0</v>
      </c>
      <c r="NY350" s="21">
        <f t="shared" si="3129"/>
        <v>0</v>
      </c>
      <c r="NZ350" s="21">
        <f t="shared" si="3129"/>
        <v>0</v>
      </c>
      <c r="OA350" s="21">
        <f t="shared" si="3129"/>
        <v>0</v>
      </c>
      <c r="OB350" s="21">
        <f t="shared" si="3129"/>
        <v>0</v>
      </c>
      <c r="OC350" s="21">
        <f t="shared" si="3129"/>
        <v>0</v>
      </c>
      <c r="OD350" s="21">
        <f t="shared" ref="OD350:OK350" si="3130">IF($F$290, 0, IF($I$299, IF(AND(COLUMN($OD$350)-COLUMN($NV$343)=$Q$291,ROW($OD$350)-ROW($NV$343)=$K$291), U$290, OD350), OD350))</f>
        <v>0</v>
      </c>
      <c r="OE350" s="21">
        <f t="shared" si="3130"/>
        <v>0</v>
      </c>
      <c r="OF350" s="21">
        <f t="shared" si="3130"/>
        <v>0</v>
      </c>
      <c r="OG350" s="21">
        <f t="shared" si="3130"/>
        <v>0</v>
      </c>
      <c r="OH350" s="21">
        <f t="shared" si="3130"/>
        <v>0</v>
      </c>
      <c r="OI350" s="21">
        <f t="shared" si="3130"/>
        <v>0</v>
      </c>
      <c r="OJ350" s="21">
        <f t="shared" si="3130"/>
        <v>0</v>
      </c>
      <c r="OK350" s="21">
        <f t="shared" si="3130"/>
        <v>0</v>
      </c>
      <c r="OL350" s="21">
        <f t="shared" ref="OL350:OS350" si="3131">IF($F$290, 0, IF($I$299, IF(AND(COLUMN($OL$350)-COLUMN($NV$343)=$Q$291,ROW($OL$350)-ROW($NV$343)=$K$291), U$290, OL350), OL350))</f>
        <v>0</v>
      </c>
      <c r="OM350" s="21">
        <f t="shared" si="3131"/>
        <v>0</v>
      </c>
      <c r="ON350" s="21">
        <f t="shared" si="3131"/>
        <v>0</v>
      </c>
      <c r="OO350" s="21">
        <f t="shared" si="3131"/>
        <v>0</v>
      </c>
      <c r="OP350" s="21">
        <f t="shared" si="3131"/>
        <v>0</v>
      </c>
      <c r="OQ350" s="21">
        <f t="shared" si="3131"/>
        <v>0</v>
      </c>
      <c r="OR350" s="21">
        <f t="shared" si="3131"/>
        <v>0</v>
      </c>
      <c r="OS350" s="21">
        <f t="shared" si="3131"/>
        <v>0</v>
      </c>
      <c r="OT350" s="21">
        <f t="shared" ref="OT350:PA350" si="3132">IF($F$290, 0, IF($I$299, IF(AND(COLUMN($OT$350)-COLUMN($NV$343)=$Q$291,ROW($OT$350)-ROW($NV$343)=$K$291), U$290, OT350), OT350))</f>
        <v>0</v>
      </c>
      <c r="OU350" s="21">
        <f t="shared" si="3132"/>
        <v>0</v>
      </c>
      <c r="OV350" s="21">
        <f t="shared" si="3132"/>
        <v>0</v>
      </c>
      <c r="OW350" s="21">
        <f t="shared" si="3132"/>
        <v>0</v>
      </c>
      <c r="OX350" s="21">
        <f t="shared" si="3132"/>
        <v>0</v>
      </c>
      <c r="OY350" s="21">
        <f t="shared" si="3132"/>
        <v>0</v>
      </c>
      <c r="OZ350" s="21">
        <f t="shared" si="3132"/>
        <v>0</v>
      </c>
      <c r="PA350" s="21">
        <f t="shared" si="3132"/>
        <v>0</v>
      </c>
      <c r="PB350" s="21">
        <f t="shared" ref="PB350:PI350" si="3133">IF($F$290, 0, IF($I$299, IF(AND(COLUMN($PB$350)-COLUMN($NV$343)=$Q$291,ROW($PB$350)-ROW($NV$343)=$K$291), U$290, PB350), PB350))</f>
        <v>0</v>
      </c>
      <c r="PC350" s="21">
        <f t="shared" si="3133"/>
        <v>0</v>
      </c>
      <c r="PD350" s="21">
        <f t="shared" si="3133"/>
        <v>0</v>
      </c>
      <c r="PE350" s="21">
        <f t="shared" si="3133"/>
        <v>0</v>
      </c>
      <c r="PF350" s="21">
        <f t="shared" si="3133"/>
        <v>0</v>
      </c>
      <c r="PG350" s="21">
        <f t="shared" si="3133"/>
        <v>0</v>
      </c>
      <c r="PH350" s="21">
        <f t="shared" si="3133"/>
        <v>0</v>
      </c>
      <c r="PI350" s="21">
        <f t="shared" si="3133"/>
        <v>0</v>
      </c>
      <c r="PJ350" s="21">
        <f t="shared" ref="PJ350:PQ350" si="3134">IF($F$290, 0, IF($I$299, IF(AND(COLUMN($PJ$350)-COLUMN($NV$343)=$Q$291,ROW($PJ$350)-ROW($NV$343)=$K$291), U$290, PJ350), PJ350))</f>
        <v>0</v>
      </c>
      <c r="PK350" s="21">
        <f t="shared" si="3134"/>
        <v>0</v>
      </c>
      <c r="PL350" s="21">
        <f t="shared" si="3134"/>
        <v>0</v>
      </c>
      <c r="PM350" s="21">
        <f t="shared" si="3134"/>
        <v>0</v>
      </c>
      <c r="PN350" s="21">
        <f t="shared" si="3134"/>
        <v>0</v>
      </c>
      <c r="PO350" s="21">
        <f t="shared" si="3134"/>
        <v>0</v>
      </c>
      <c r="PP350" s="21">
        <f t="shared" si="3134"/>
        <v>0</v>
      </c>
      <c r="PQ350" s="21">
        <f t="shared" si="3134"/>
        <v>0</v>
      </c>
      <c r="PR350" s="21">
        <f t="shared" ref="PR350:PY350" si="3135">IF($F$290, 0, IF($I$299, IF(AND(COLUMN($PR$350)-COLUMN($NV$343)=$Q$291,ROW($PR$350)-ROW($NV$343)=$K$291), U$290, PR350), PR350))</f>
        <v>0</v>
      </c>
      <c r="PS350" s="21">
        <f t="shared" si="3135"/>
        <v>0</v>
      </c>
      <c r="PT350" s="21">
        <f t="shared" si="3135"/>
        <v>0</v>
      </c>
      <c r="PU350" s="21">
        <f t="shared" si="3135"/>
        <v>0</v>
      </c>
      <c r="PV350" s="21">
        <f t="shared" si="3135"/>
        <v>0</v>
      </c>
      <c r="PW350" s="21">
        <f t="shared" si="3135"/>
        <v>0</v>
      </c>
      <c r="PX350" s="21">
        <f t="shared" si="3135"/>
        <v>0</v>
      </c>
      <c r="PY350" s="21">
        <f t="shared" si="3135"/>
        <v>0</v>
      </c>
      <c r="PZ350" s="21">
        <f t="shared" ref="PZ350:QG350" si="3136">IF($F$290, 0, IF($I$299, IF(AND(COLUMN($PZ$350)-COLUMN($NV$343)=$Q$291,ROW($PZ$350)-ROW($NV$343)=$K$291), U$290, PZ350), PZ350))</f>
        <v>0</v>
      </c>
      <c r="QA350" s="21">
        <f t="shared" si="3136"/>
        <v>0</v>
      </c>
      <c r="QB350" s="21">
        <f t="shared" si="3136"/>
        <v>0</v>
      </c>
      <c r="QC350" s="21">
        <f t="shared" si="3136"/>
        <v>0</v>
      </c>
      <c r="QD350" s="21">
        <f t="shared" si="3136"/>
        <v>0</v>
      </c>
      <c r="QE350" s="21">
        <f t="shared" si="3136"/>
        <v>0</v>
      </c>
      <c r="QF350" s="21">
        <f t="shared" si="3136"/>
        <v>0</v>
      </c>
      <c r="QG350" s="21">
        <f t="shared" si="3136"/>
        <v>0</v>
      </c>
      <c r="QH350" s="21">
        <f t="shared" ref="QH350:QO350" si="3137">IF($F$290, 0, IF($J$299, IF(AND(COLUMN($QH$350)-COLUMN($QH$343)=$Q$291,ROW($QH$350)-ROW($QH$343)=$K$291), U$290, QH350), QH350))</f>
        <v>0</v>
      </c>
      <c r="QI350" s="21">
        <f t="shared" si="3137"/>
        <v>0</v>
      </c>
      <c r="QJ350" s="21">
        <f t="shared" si="3137"/>
        <v>0</v>
      </c>
      <c r="QK350" s="21">
        <f t="shared" si="3137"/>
        <v>0</v>
      </c>
      <c r="QL350" s="21">
        <f t="shared" si="3137"/>
        <v>0</v>
      </c>
      <c r="QM350" s="21">
        <f t="shared" si="3137"/>
        <v>0</v>
      </c>
      <c r="QN350" s="21">
        <f t="shared" si="3137"/>
        <v>0</v>
      </c>
      <c r="QO350" s="21">
        <f t="shared" si="3137"/>
        <v>0</v>
      </c>
      <c r="QP350" s="21">
        <f t="shared" ref="QP350:QW350" si="3138">IF($F$290, 0, IF($J$299, IF(AND(COLUMN($QP$350)-COLUMN($QH$343)=$Q$291,ROW($QP$350)-ROW($QH$343)=$K$291), U$290, QP350), QP350))</f>
        <v>0</v>
      </c>
      <c r="QQ350" s="21">
        <f t="shared" si="3138"/>
        <v>0</v>
      </c>
      <c r="QR350" s="21">
        <f t="shared" si="3138"/>
        <v>0</v>
      </c>
      <c r="QS350" s="21">
        <f t="shared" si="3138"/>
        <v>0</v>
      </c>
      <c r="QT350" s="21">
        <f t="shared" si="3138"/>
        <v>0</v>
      </c>
      <c r="QU350" s="21">
        <f t="shared" si="3138"/>
        <v>0</v>
      </c>
      <c r="QV350" s="21">
        <f t="shared" si="3138"/>
        <v>0</v>
      </c>
      <c r="QW350" s="21">
        <f t="shared" si="3138"/>
        <v>0</v>
      </c>
      <c r="QX350" s="21">
        <f t="shared" ref="QX350:RE350" si="3139">IF($F$290, 0, IF($J$299, IF(AND(COLUMN($QX$350)-COLUMN($QH$343)=$Q$291,ROW($QX$350)-ROW($QH$343)=$K$291), U$290, QX350), QX350))</f>
        <v>0</v>
      </c>
      <c r="QY350" s="21">
        <f t="shared" si="3139"/>
        <v>0</v>
      </c>
      <c r="QZ350" s="21">
        <f t="shared" si="3139"/>
        <v>0</v>
      </c>
      <c r="RA350" s="21">
        <f t="shared" si="3139"/>
        <v>0</v>
      </c>
      <c r="RB350" s="21">
        <f t="shared" si="3139"/>
        <v>0</v>
      </c>
      <c r="RC350" s="21">
        <f t="shared" si="3139"/>
        <v>0</v>
      </c>
      <c r="RD350" s="21">
        <f t="shared" si="3139"/>
        <v>0</v>
      </c>
      <c r="RE350" s="21">
        <f t="shared" si="3139"/>
        <v>0</v>
      </c>
      <c r="RF350" s="21">
        <f t="shared" ref="RF350:RM350" si="3140">IF($F$290, 0, IF($J$299, IF(AND(COLUMN($RF$350)-COLUMN($QH$343)=$Q$291,ROW($RF$350)-ROW($QH$343)=$K$291), U$290, RF350), RF350))</f>
        <v>0</v>
      </c>
      <c r="RG350" s="21">
        <f t="shared" si="3140"/>
        <v>0</v>
      </c>
      <c r="RH350" s="21">
        <f t="shared" si="3140"/>
        <v>0</v>
      </c>
      <c r="RI350" s="21">
        <f t="shared" si="3140"/>
        <v>0</v>
      </c>
      <c r="RJ350" s="21">
        <f t="shared" si="3140"/>
        <v>0</v>
      </c>
      <c r="RK350" s="21">
        <f t="shared" si="3140"/>
        <v>0</v>
      </c>
      <c r="RL350" s="21">
        <f t="shared" si="3140"/>
        <v>0</v>
      </c>
      <c r="RM350" s="21">
        <f t="shared" si="3140"/>
        <v>0</v>
      </c>
      <c r="RN350" s="21">
        <f t="shared" ref="RN350:RU350" si="3141">IF($F$290, 0, IF($J$299, IF(AND(COLUMN($RN$350)-COLUMN($QH$343)=$Q$291,ROW($RN$350)-ROW($QH$343)=$K$291), U$290, RN350), RN350))</f>
        <v>0</v>
      </c>
      <c r="RO350" s="21">
        <f t="shared" si="3141"/>
        <v>0</v>
      </c>
      <c r="RP350" s="21">
        <f t="shared" si="3141"/>
        <v>0</v>
      </c>
      <c r="RQ350" s="21">
        <f t="shared" si="3141"/>
        <v>0</v>
      </c>
      <c r="RR350" s="21">
        <f t="shared" si="3141"/>
        <v>0</v>
      </c>
      <c r="RS350" s="21">
        <f t="shared" si="3141"/>
        <v>0</v>
      </c>
      <c r="RT350" s="21">
        <f t="shared" si="3141"/>
        <v>0</v>
      </c>
      <c r="RU350" s="21">
        <f t="shared" si="3141"/>
        <v>0</v>
      </c>
      <c r="RV350" s="21">
        <f t="shared" ref="RV350:SC350" si="3142">IF($F$290, 0, IF($J$299, IF(AND(COLUMN($RV$350)-COLUMN($QH$343)=$Q$291,ROW($RV$350)-ROW($QH$343)=$K$291), U$290, RV350), RV350))</f>
        <v>0</v>
      </c>
      <c r="RW350" s="21">
        <f t="shared" si="3142"/>
        <v>0</v>
      </c>
      <c r="RX350" s="21">
        <f t="shared" si="3142"/>
        <v>0</v>
      </c>
      <c r="RY350" s="21">
        <f t="shared" si="3142"/>
        <v>0</v>
      </c>
      <c r="RZ350" s="21">
        <f t="shared" si="3142"/>
        <v>0</v>
      </c>
      <c r="SA350" s="21">
        <f t="shared" si="3142"/>
        <v>0</v>
      </c>
      <c r="SB350" s="21">
        <f t="shared" si="3142"/>
        <v>0</v>
      </c>
      <c r="SC350" s="21">
        <f t="shared" si="3142"/>
        <v>0</v>
      </c>
      <c r="SD350" s="21">
        <f t="shared" ref="SD350:SK350" si="3143">IF($F$290, 0, IF($J$299, IF(AND(COLUMN($SD$350)-COLUMN($QH$343)=$Q$291,ROW($SD$350)-ROW($QH$343)=$K$291), U$290, SD350), SD350))</f>
        <v>0</v>
      </c>
      <c r="SE350" s="21">
        <f t="shared" si="3143"/>
        <v>0</v>
      </c>
      <c r="SF350" s="21">
        <f t="shared" si="3143"/>
        <v>0</v>
      </c>
      <c r="SG350" s="21">
        <f t="shared" si="3143"/>
        <v>0</v>
      </c>
      <c r="SH350" s="21">
        <f t="shared" si="3143"/>
        <v>0</v>
      </c>
      <c r="SI350" s="21">
        <f t="shared" si="3143"/>
        <v>0</v>
      </c>
      <c r="SJ350" s="21">
        <f t="shared" si="3143"/>
        <v>0</v>
      </c>
      <c r="SK350" s="21">
        <f t="shared" si="3143"/>
        <v>0</v>
      </c>
      <c r="SL350" s="21">
        <f t="shared" ref="SL350:SS350" si="3144">IF($F$290, 0, IF($J$299, IF(AND(COLUMN($SL$350)-COLUMN($QH$343)=$Q$291,ROW($SL$350)-ROW($QH$343)=$K$291), U$290, SL350), SL350))</f>
        <v>0</v>
      </c>
      <c r="SM350" s="21">
        <f t="shared" si="3144"/>
        <v>0</v>
      </c>
      <c r="SN350" s="21">
        <f t="shared" si="3144"/>
        <v>0</v>
      </c>
      <c r="SO350" s="21">
        <f t="shared" si="3144"/>
        <v>0</v>
      </c>
      <c r="SP350" s="21">
        <f t="shared" si="3144"/>
        <v>0</v>
      </c>
      <c r="SQ350" s="21">
        <f t="shared" si="3144"/>
        <v>0</v>
      </c>
      <c r="SR350" s="21">
        <f t="shared" si="3144"/>
        <v>0</v>
      </c>
      <c r="SS350" s="21">
        <f t="shared" si="3144"/>
        <v>0</v>
      </c>
    </row>
    <row r="351" spans="2:513" ht="15" customHeight="1" x14ac:dyDescent="0.25">
      <c r="B351" s="21">
        <f t="shared" ref="B351:I351" si="3145">IF($F$290, 0, IF($C$300, IF(AND(COLUMN($B$351)-COLUMN($B$351)=$Q$291,ROW($B$351)-ROW($B$351)=$K$291), U$290, B351), B351))</f>
        <v>0</v>
      </c>
      <c r="C351" s="21">
        <f t="shared" si="3145"/>
        <v>0</v>
      </c>
      <c r="D351" s="21">
        <f t="shared" si="3145"/>
        <v>0</v>
      </c>
      <c r="E351" s="21">
        <f t="shared" si="3145"/>
        <v>0</v>
      </c>
      <c r="F351" s="21">
        <f t="shared" si="3145"/>
        <v>0</v>
      </c>
      <c r="G351" s="21">
        <f t="shared" si="3145"/>
        <v>0</v>
      </c>
      <c r="H351" s="21">
        <f t="shared" si="3145"/>
        <v>0</v>
      </c>
      <c r="I351" s="21">
        <f t="shared" si="3145"/>
        <v>0</v>
      </c>
      <c r="J351" s="21">
        <f t="shared" ref="J351:Q351" si="3146">IF($F$290, 0, IF($C$300, IF(AND(COLUMN($J$351)-COLUMN($B$351)=$Q$291,ROW($J$351)-ROW($B$351)=$K$291), U$290, J351), J351))</f>
        <v>0</v>
      </c>
      <c r="K351" s="21">
        <f t="shared" si="3146"/>
        <v>0</v>
      </c>
      <c r="L351" s="21">
        <f t="shared" si="3146"/>
        <v>0</v>
      </c>
      <c r="M351" s="21">
        <f t="shared" si="3146"/>
        <v>0</v>
      </c>
      <c r="N351" s="21">
        <f t="shared" si="3146"/>
        <v>0</v>
      </c>
      <c r="O351" s="21">
        <f t="shared" si="3146"/>
        <v>0</v>
      </c>
      <c r="P351" s="21">
        <f t="shared" si="3146"/>
        <v>0</v>
      </c>
      <c r="Q351" s="21">
        <f t="shared" si="3146"/>
        <v>0</v>
      </c>
      <c r="R351" s="21">
        <f>IF($F$290, 0, IF($C$300, IF(AND(COLUMN($R$351)-COLUMN($B$351)=$Q$291,ROW($R$351)-ROW($B$351)=$K$291), U$290, R351), R351))</f>
        <v>0</v>
      </c>
      <c r="S351" s="21">
        <f t="shared" ref="S351:Y351" si="3147">IF($F$290, 0, IF($C$300, IF(AND(COLUMN($R$351)-COLUMN($B$351)=$Q$291,ROW($R$351)-ROW($B$351)=$K$291), V$290, S351), S351))</f>
        <v>0</v>
      </c>
      <c r="T351" s="21">
        <f t="shared" si="3147"/>
        <v>0</v>
      </c>
      <c r="U351" s="21">
        <f t="shared" si="3147"/>
        <v>0</v>
      </c>
      <c r="V351" s="21">
        <f t="shared" si="3147"/>
        <v>0</v>
      </c>
      <c r="W351" s="21">
        <f t="shared" si="3147"/>
        <v>0</v>
      </c>
      <c r="X351" s="21">
        <f t="shared" si="3147"/>
        <v>0</v>
      </c>
      <c r="Y351" s="21">
        <f t="shared" si="3147"/>
        <v>0</v>
      </c>
      <c r="Z351" s="21">
        <f t="shared" ref="Z351:AG351" si="3148">IF($F$290, 0, IF($C$300, IF(AND(COLUMN($Z$351)-COLUMN($B$351)=$Q$291,ROW($Z$351)-ROW($B$351)=$K$291), U$290, Z351), Z351))</f>
        <v>0</v>
      </c>
      <c r="AA351" s="21">
        <f t="shared" si="3148"/>
        <v>0</v>
      </c>
      <c r="AB351" s="21">
        <f t="shared" si="3148"/>
        <v>0</v>
      </c>
      <c r="AC351" s="21">
        <f t="shared" si="3148"/>
        <v>0</v>
      </c>
      <c r="AD351" s="21">
        <f t="shared" si="3148"/>
        <v>0</v>
      </c>
      <c r="AE351" s="21">
        <f t="shared" si="3148"/>
        <v>0</v>
      </c>
      <c r="AF351" s="21">
        <f t="shared" si="3148"/>
        <v>0</v>
      </c>
      <c r="AG351" s="21">
        <f t="shared" si="3148"/>
        <v>0</v>
      </c>
      <c r="AH351" s="21">
        <f t="shared" ref="AH351:AO351" si="3149">IF($F$290, 0, IF($C$300, IF(AND(COLUMN($AH$351)-COLUMN($B$351)=$Q$291,ROW($AH$351)-ROW($B$351)=$K$291), U$290, AH351), AH351))</f>
        <v>0</v>
      </c>
      <c r="AI351" s="21">
        <f t="shared" si="3149"/>
        <v>0</v>
      </c>
      <c r="AJ351" s="21">
        <f t="shared" si="3149"/>
        <v>0</v>
      </c>
      <c r="AK351" s="21">
        <f t="shared" si="3149"/>
        <v>0</v>
      </c>
      <c r="AL351" s="21">
        <f t="shared" si="3149"/>
        <v>0</v>
      </c>
      <c r="AM351" s="21">
        <f t="shared" si="3149"/>
        <v>0</v>
      </c>
      <c r="AN351" s="21">
        <f t="shared" si="3149"/>
        <v>0</v>
      </c>
      <c r="AO351" s="21">
        <f t="shared" si="3149"/>
        <v>0</v>
      </c>
      <c r="AP351" s="21">
        <f t="shared" ref="AP351:AW351" si="3150">IF($F$290, 0, IF($C$300, IF(AND(COLUMN($AP$351)-COLUMN($B$351)=$Q$291,ROW($AP$351)-ROW($B$351)=$K$291), U$290, AP351), AP351))</f>
        <v>0</v>
      </c>
      <c r="AQ351" s="21">
        <f t="shared" si="3150"/>
        <v>0</v>
      </c>
      <c r="AR351" s="21">
        <f t="shared" si="3150"/>
        <v>0</v>
      </c>
      <c r="AS351" s="21">
        <f t="shared" si="3150"/>
        <v>0</v>
      </c>
      <c r="AT351" s="21">
        <f t="shared" si="3150"/>
        <v>0</v>
      </c>
      <c r="AU351" s="21">
        <f t="shared" si="3150"/>
        <v>0</v>
      </c>
      <c r="AV351" s="21">
        <f t="shared" si="3150"/>
        <v>0</v>
      </c>
      <c r="AW351" s="21">
        <f t="shared" si="3150"/>
        <v>0</v>
      </c>
      <c r="AX351" s="21">
        <f t="shared" ref="AX351:BE351" si="3151">IF($F$290, 0, IF($C$300, IF(AND(COLUMN($AX$351)-COLUMN($B$351)=$Q$291,ROW($AX$351)-ROW($B$351)=$K$291), U$290, AX351), AX351))</f>
        <v>0</v>
      </c>
      <c r="AY351" s="21">
        <f t="shared" si="3151"/>
        <v>0</v>
      </c>
      <c r="AZ351" s="21">
        <f t="shared" si="3151"/>
        <v>0</v>
      </c>
      <c r="BA351" s="21">
        <f t="shared" si="3151"/>
        <v>0</v>
      </c>
      <c r="BB351" s="21">
        <f t="shared" si="3151"/>
        <v>0</v>
      </c>
      <c r="BC351" s="21">
        <f t="shared" si="3151"/>
        <v>0</v>
      </c>
      <c r="BD351" s="21">
        <f t="shared" si="3151"/>
        <v>0</v>
      </c>
      <c r="BE351" s="21">
        <f t="shared" si="3151"/>
        <v>0</v>
      </c>
      <c r="BF351" s="21">
        <f t="shared" ref="BF351:BM351" si="3152">IF($F$290, 0, IF($C$300, IF(AND(COLUMN($BF$351)-COLUMN($B$351)=$Q$291,ROW($BF$351)-ROW($B$351)=$K$291), U$290, BF351), BF351))</f>
        <v>0</v>
      </c>
      <c r="BG351" s="21">
        <f t="shared" si="3152"/>
        <v>0</v>
      </c>
      <c r="BH351" s="21">
        <f t="shared" si="3152"/>
        <v>0</v>
      </c>
      <c r="BI351" s="21">
        <f t="shared" si="3152"/>
        <v>0</v>
      </c>
      <c r="BJ351" s="21">
        <f t="shared" si="3152"/>
        <v>0</v>
      </c>
      <c r="BK351" s="21">
        <f t="shared" si="3152"/>
        <v>0</v>
      </c>
      <c r="BL351" s="21">
        <f t="shared" si="3152"/>
        <v>0</v>
      </c>
      <c r="BM351" s="21">
        <f t="shared" si="3152"/>
        <v>0</v>
      </c>
      <c r="BN351" s="21">
        <f t="shared" ref="BN351:BU351" si="3153">IF($F$290, 0, IF($D$300, IF(AND(COLUMN($BN$351)-COLUMN($BN$351)=$Q$291,ROW($BN$351)-ROW($BN$351)=$K$291), U$290, BN351), BN351))</f>
        <v>0</v>
      </c>
      <c r="BO351" s="21">
        <f t="shared" si="3153"/>
        <v>0</v>
      </c>
      <c r="BP351" s="21">
        <f t="shared" si="3153"/>
        <v>0</v>
      </c>
      <c r="BQ351" s="21">
        <f t="shared" si="3153"/>
        <v>0</v>
      </c>
      <c r="BR351" s="21">
        <f t="shared" si="3153"/>
        <v>0</v>
      </c>
      <c r="BS351" s="21">
        <f t="shared" si="3153"/>
        <v>0</v>
      </c>
      <c r="BT351" s="21">
        <f t="shared" si="3153"/>
        <v>0</v>
      </c>
      <c r="BU351" s="21">
        <f t="shared" si="3153"/>
        <v>0</v>
      </c>
      <c r="BV351" s="21">
        <f t="shared" ref="BV351:CC351" si="3154">IF($F$290, 0, IF($D$300, IF(AND(COLUMN($BV$351)-COLUMN($BN$351)=$Q$291,ROW($BV$351)-ROW($BN$351)=$K$291), U$290, BV351), BV351))</f>
        <v>0</v>
      </c>
      <c r="BW351" s="21">
        <f t="shared" si="3154"/>
        <v>0</v>
      </c>
      <c r="BX351" s="21">
        <f t="shared" si="3154"/>
        <v>0</v>
      </c>
      <c r="BY351" s="21">
        <f t="shared" si="3154"/>
        <v>0</v>
      </c>
      <c r="BZ351" s="21">
        <f t="shared" si="3154"/>
        <v>0</v>
      </c>
      <c r="CA351" s="21">
        <f t="shared" si="3154"/>
        <v>0</v>
      </c>
      <c r="CB351" s="21">
        <f t="shared" si="3154"/>
        <v>0</v>
      </c>
      <c r="CC351" s="21">
        <f t="shared" si="3154"/>
        <v>0</v>
      </c>
      <c r="CD351" s="21">
        <f t="shared" ref="CD351:CK351" si="3155">IF($F$290, 0, IF($D$300, IF(AND(COLUMN($CD$351)-COLUMN($BN$351)=$Q$291,ROW($CD$351)-ROW($BN$351)=$K$291), U$290, CD351), CD351))</f>
        <v>0</v>
      </c>
      <c r="CE351" s="21">
        <f t="shared" si="3155"/>
        <v>0</v>
      </c>
      <c r="CF351" s="21">
        <f t="shared" si="3155"/>
        <v>0</v>
      </c>
      <c r="CG351" s="21">
        <f t="shared" si="3155"/>
        <v>0</v>
      </c>
      <c r="CH351" s="21">
        <f t="shared" si="3155"/>
        <v>0</v>
      </c>
      <c r="CI351" s="21">
        <f t="shared" si="3155"/>
        <v>0</v>
      </c>
      <c r="CJ351" s="21">
        <f t="shared" si="3155"/>
        <v>0</v>
      </c>
      <c r="CK351" s="21">
        <f t="shared" si="3155"/>
        <v>0</v>
      </c>
      <c r="CL351" s="21">
        <f t="shared" ref="CL351:CS351" si="3156">IF($F$290, 0, IF($D$300, IF(AND(COLUMN($CL$351)-COLUMN($BN$351)=$Q$291,ROW($CL$351)-ROW($BN$351)=$K$291), U$290, CL351), CL351))</f>
        <v>0</v>
      </c>
      <c r="CM351" s="21">
        <f t="shared" si="3156"/>
        <v>0</v>
      </c>
      <c r="CN351" s="21">
        <f t="shared" si="3156"/>
        <v>0</v>
      </c>
      <c r="CO351" s="21">
        <f t="shared" si="3156"/>
        <v>0</v>
      </c>
      <c r="CP351" s="21">
        <f t="shared" si="3156"/>
        <v>0</v>
      </c>
      <c r="CQ351" s="21">
        <f t="shared" si="3156"/>
        <v>0</v>
      </c>
      <c r="CR351" s="21">
        <f t="shared" si="3156"/>
        <v>0</v>
      </c>
      <c r="CS351" s="21">
        <f t="shared" si="3156"/>
        <v>0</v>
      </c>
      <c r="CT351" s="21">
        <f t="shared" ref="CT351:DA351" si="3157">IF($F$290, 0, IF($D$300, IF(AND(COLUMN($CT$351)-COLUMN($BN$351)=$Q$291,ROW($CT$351)-ROW($BN$351)=$K$291), U$290, CT351), CT351))</f>
        <v>0</v>
      </c>
      <c r="CU351" s="21">
        <f t="shared" si="3157"/>
        <v>0</v>
      </c>
      <c r="CV351" s="21">
        <f t="shared" si="3157"/>
        <v>0</v>
      </c>
      <c r="CW351" s="21">
        <f t="shared" si="3157"/>
        <v>0</v>
      </c>
      <c r="CX351" s="21">
        <f t="shared" si="3157"/>
        <v>0</v>
      </c>
      <c r="CY351" s="21">
        <f t="shared" si="3157"/>
        <v>0</v>
      </c>
      <c r="CZ351" s="21">
        <f t="shared" si="3157"/>
        <v>0</v>
      </c>
      <c r="DA351" s="21">
        <f t="shared" si="3157"/>
        <v>0</v>
      </c>
      <c r="DB351" s="21">
        <f t="shared" ref="DB351:DI351" si="3158">IF($F$290, 0, IF($D$300, IF(AND(COLUMN($DB$351)-COLUMN($BN$351)=$Q$291,ROW($DB$351)-ROW($BN$351)=$K$291), U$290, DB351), DB351))</f>
        <v>0</v>
      </c>
      <c r="DC351" s="21">
        <f t="shared" si="3158"/>
        <v>0</v>
      </c>
      <c r="DD351" s="21">
        <f t="shared" si="3158"/>
        <v>0</v>
      </c>
      <c r="DE351" s="21">
        <f t="shared" si="3158"/>
        <v>0</v>
      </c>
      <c r="DF351" s="21">
        <f t="shared" si="3158"/>
        <v>0</v>
      </c>
      <c r="DG351" s="21">
        <f t="shared" si="3158"/>
        <v>0</v>
      </c>
      <c r="DH351" s="21">
        <f t="shared" si="3158"/>
        <v>0</v>
      </c>
      <c r="DI351" s="21">
        <f t="shared" si="3158"/>
        <v>0</v>
      </c>
      <c r="DJ351" s="21">
        <f t="shared" ref="DJ351:DQ351" si="3159">IF($F$290, 0, IF($D$300, IF(AND(COLUMN($DJ$351)-COLUMN($BN$351)=$Q$291,ROW($DJ$351)-ROW($BN$351)=$K$291), U$290, DJ351), DJ351))</f>
        <v>0</v>
      </c>
      <c r="DK351" s="21">
        <f t="shared" si="3159"/>
        <v>0</v>
      </c>
      <c r="DL351" s="21">
        <f t="shared" si="3159"/>
        <v>0</v>
      </c>
      <c r="DM351" s="21">
        <f t="shared" si="3159"/>
        <v>0</v>
      </c>
      <c r="DN351" s="21">
        <f t="shared" si="3159"/>
        <v>0</v>
      </c>
      <c r="DO351" s="21">
        <f t="shared" si="3159"/>
        <v>0</v>
      </c>
      <c r="DP351" s="21">
        <f t="shared" si="3159"/>
        <v>0</v>
      </c>
      <c r="DQ351" s="21">
        <f t="shared" si="3159"/>
        <v>0</v>
      </c>
      <c r="DR351" s="21">
        <f t="shared" ref="DR351:DY351" si="3160">IF($F$290, 0, IF($D$300, IF(AND(COLUMN($DR$351)-COLUMN($BN$351)=$Q$291,ROW($DR$351)-ROW($BN$351)=$K$291), U$290, DR351), DR351))</f>
        <v>0</v>
      </c>
      <c r="DS351" s="21">
        <f t="shared" si="3160"/>
        <v>0</v>
      </c>
      <c r="DT351" s="21">
        <f t="shared" si="3160"/>
        <v>0</v>
      </c>
      <c r="DU351" s="21">
        <f t="shared" si="3160"/>
        <v>0</v>
      </c>
      <c r="DV351" s="21">
        <f t="shared" si="3160"/>
        <v>0</v>
      </c>
      <c r="DW351" s="21">
        <f t="shared" si="3160"/>
        <v>0</v>
      </c>
      <c r="DX351" s="21">
        <f t="shared" si="3160"/>
        <v>0</v>
      </c>
      <c r="DY351" s="21">
        <f t="shared" si="3160"/>
        <v>0</v>
      </c>
      <c r="DZ351" s="21">
        <f t="shared" ref="DZ351:EG351" si="3161">IF($F$290, 0, IF($E$300, IF(AND(COLUMN($DZ$351)-COLUMN($DZ$351)=$Q$291,ROW($DZ$351)-ROW($DZ$351)=$K$291), U$290, DZ351), DZ351))</f>
        <v>0</v>
      </c>
      <c r="EA351" s="21">
        <f t="shared" si="3161"/>
        <v>0</v>
      </c>
      <c r="EB351" s="21">
        <f t="shared" si="3161"/>
        <v>0</v>
      </c>
      <c r="EC351" s="21">
        <f t="shared" si="3161"/>
        <v>0</v>
      </c>
      <c r="ED351" s="21">
        <f t="shared" si="3161"/>
        <v>0</v>
      </c>
      <c r="EE351" s="21">
        <f t="shared" si="3161"/>
        <v>0</v>
      </c>
      <c r="EF351" s="21">
        <f t="shared" si="3161"/>
        <v>0</v>
      </c>
      <c r="EG351" s="21">
        <f t="shared" si="3161"/>
        <v>0</v>
      </c>
      <c r="EH351" s="21">
        <f t="shared" ref="EH351:EO351" si="3162">IF($F$290, 0, IF($E$300, IF(AND(COLUMN($EH$351)-COLUMN($DZ$351)=$Q$291,ROW($EH$351)-ROW($DZ$351)=$K$291), U$290, EH351), EH351))</f>
        <v>0</v>
      </c>
      <c r="EI351" s="21">
        <f t="shared" si="3162"/>
        <v>0</v>
      </c>
      <c r="EJ351" s="21">
        <f t="shared" si="3162"/>
        <v>0</v>
      </c>
      <c r="EK351" s="21">
        <f t="shared" si="3162"/>
        <v>0</v>
      </c>
      <c r="EL351" s="21">
        <f t="shared" si="3162"/>
        <v>0</v>
      </c>
      <c r="EM351" s="21">
        <f t="shared" si="3162"/>
        <v>0</v>
      </c>
      <c r="EN351" s="21">
        <f t="shared" si="3162"/>
        <v>0</v>
      </c>
      <c r="EO351" s="21">
        <f t="shared" si="3162"/>
        <v>0</v>
      </c>
      <c r="EP351" s="21">
        <f t="shared" ref="EP351:EW351" si="3163">IF($F$290, 0, IF($E$300, IF(AND(COLUMN($EP$351)-COLUMN($DZ$351)=$Q$291,ROW($EP$351)-ROW($DZ$351)=$K$291), U$290, EP351), EP351))</f>
        <v>0</v>
      </c>
      <c r="EQ351" s="21">
        <f t="shared" si="3163"/>
        <v>0</v>
      </c>
      <c r="ER351" s="21">
        <f t="shared" si="3163"/>
        <v>0</v>
      </c>
      <c r="ES351" s="21">
        <f t="shared" si="3163"/>
        <v>0</v>
      </c>
      <c r="ET351" s="21">
        <f t="shared" si="3163"/>
        <v>0</v>
      </c>
      <c r="EU351" s="21">
        <f t="shared" si="3163"/>
        <v>0</v>
      </c>
      <c r="EV351" s="21">
        <f t="shared" si="3163"/>
        <v>0</v>
      </c>
      <c r="EW351" s="21">
        <f t="shared" si="3163"/>
        <v>0</v>
      </c>
      <c r="EX351" s="21">
        <f t="shared" ref="EX351:FE351" si="3164">IF($F$290, 0, IF($E$300, IF(AND(COLUMN($EX$351)-COLUMN($DZ$351)=$Q$291,ROW($EX$351)-ROW($DZ$351)=$K$291), U$290, EX351), EX351))</f>
        <v>0</v>
      </c>
      <c r="EY351" s="21">
        <f t="shared" si="3164"/>
        <v>0</v>
      </c>
      <c r="EZ351" s="21">
        <f t="shared" si="3164"/>
        <v>0</v>
      </c>
      <c r="FA351" s="21">
        <f t="shared" si="3164"/>
        <v>0</v>
      </c>
      <c r="FB351" s="21">
        <f t="shared" si="3164"/>
        <v>0</v>
      </c>
      <c r="FC351" s="21">
        <f t="shared" si="3164"/>
        <v>0</v>
      </c>
      <c r="FD351" s="21">
        <f t="shared" si="3164"/>
        <v>0</v>
      </c>
      <c r="FE351" s="21">
        <f t="shared" si="3164"/>
        <v>0</v>
      </c>
      <c r="FF351" s="21">
        <f t="shared" ref="FF351:FM351" si="3165">IF($F$290, 0, IF($E$300, IF(AND(COLUMN($FF$351)-COLUMN($DZ$351)=$Q$291,ROW($FF$351)-ROW($DZ$351)=$K$291), U$290, FF351), FF351))</f>
        <v>0</v>
      </c>
      <c r="FG351" s="21">
        <f t="shared" si="3165"/>
        <v>0</v>
      </c>
      <c r="FH351" s="21">
        <f t="shared" si="3165"/>
        <v>0</v>
      </c>
      <c r="FI351" s="21">
        <f t="shared" si="3165"/>
        <v>0</v>
      </c>
      <c r="FJ351" s="21">
        <f t="shared" si="3165"/>
        <v>0</v>
      </c>
      <c r="FK351" s="21">
        <f t="shared" si="3165"/>
        <v>0</v>
      </c>
      <c r="FL351" s="21">
        <f t="shared" si="3165"/>
        <v>0</v>
      </c>
      <c r="FM351" s="21">
        <f t="shared" si="3165"/>
        <v>0</v>
      </c>
      <c r="FN351" s="21">
        <f t="shared" ref="FN351:FU351" si="3166">IF($F$290, 0, IF($E$300, IF(AND(COLUMN($FN$351)-COLUMN($DZ$351)=$Q$291,ROW($FN$351)-ROW($DZ$351)=$K$291), U$290, FN351), FN351))</f>
        <v>0</v>
      </c>
      <c r="FO351" s="21">
        <f t="shared" si="3166"/>
        <v>0</v>
      </c>
      <c r="FP351" s="21">
        <f t="shared" si="3166"/>
        <v>0</v>
      </c>
      <c r="FQ351" s="21">
        <f t="shared" si="3166"/>
        <v>0</v>
      </c>
      <c r="FR351" s="21">
        <f t="shared" si="3166"/>
        <v>0</v>
      </c>
      <c r="FS351" s="21">
        <f t="shared" si="3166"/>
        <v>0</v>
      </c>
      <c r="FT351" s="21">
        <f t="shared" si="3166"/>
        <v>0</v>
      </c>
      <c r="FU351" s="21">
        <f t="shared" si="3166"/>
        <v>0</v>
      </c>
      <c r="FV351" s="21">
        <f t="shared" ref="FV351:GC351" si="3167">IF($F$290, 0, IF($E$300, IF(AND(COLUMN($FV$351)-COLUMN($DZ$351)=$Q$291,ROW($FV$351)-ROW($DZ$351)=$K$291), U$290, FV351), FV351))</f>
        <v>0</v>
      </c>
      <c r="FW351" s="21">
        <f t="shared" si="3167"/>
        <v>0</v>
      </c>
      <c r="FX351" s="21">
        <f t="shared" si="3167"/>
        <v>0</v>
      </c>
      <c r="FY351" s="21">
        <f t="shared" si="3167"/>
        <v>0</v>
      </c>
      <c r="FZ351" s="21">
        <f t="shared" si="3167"/>
        <v>0</v>
      </c>
      <c r="GA351" s="21">
        <f t="shared" si="3167"/>
        <v>0</v>
      </c>
      <c r="GB351" s="21">
        <f t="shared" si="3167"/>
        <v>0</v>
      </c>
      <c r="GC351" s="21">
        <f t="shared" si="3167"/>
        <v>0</v>
      </c>
      <c r="GD351" s="21">
        <f t="shared" ref="GD351:GK351" si="3168">IF($F$290, 0, IF($E$300, IF(AND(COLUMN($GD$351)-COLUMN($DZ$351)=$Q$291,ROW($GD$351)-ROW($DZ$351)=$K$291), U$290, GD351), GD351))</f>
        <v>0</v>
      </c>
      <c r="GE351" s="21">
        <f t="shared" si="3168"/>
        <v>0</v>
      </c>
      <c r="GF351" s="21">
        <f t="shared" si="3168"/>
        <v>0</v>
      </c>
      <c r="GG351" s="21">
        <f t="shared" si="3168"/>
        <v>0</v>
      </c>
      <c r="GH351" s="21">
        <f t="shared" si="3168"/>
        <v>0</v>
      </c>
      <c r="GI351" s="21">
        <f t="shared" si="3168"/>
        <v>0</v>
      </c>
      <c r="GJ351" s="21">
        <f t="shared" si="3168"/>
        <v>0</v>
      </c>
      <c r="GK351" s="21">
        <f t="shared" si="3168"/>
        <v>0</v>
      </c>
      <c r="GL351" s="21">
        <f t="shared" ref="GL351:GS351" si="3169">IF($F$290, 0, IF($F$300, IF(AND(COLUMN($GL$351)-COLUMN($GL$351)=$Q$291,ROW($GL$351)-ROW($GL$351)=$K$291), U$290, GL351), GL351))</f>
        <v>0</v>
      </c>
      <c r="GM351" s="21">
        <f t="shared" si="3169"/>
        <v>0</v>
      </c>
      <c r="GN351" s="21">
        <f t="shared" si="3169"/>
        <v>0</v>
      </c>
      <c r="GO351" s="21">
        <f t="shared" si="3169"/>
        <v>0</v>
      </c>
      <c r="GP351" s="21">
        <f t="shared" si="3169"/>
        <v>0</v>
      </c>
      <c r="GQ351" s="21">
        <f t="shared" si="3169"/>
        <v>0</v>
      </c>
      <c r="GR351" s="21">
        <f t="shared" si="3169"/>
        <v>0</v>
      </c>
      <c r="GS351" s="21">
        <f t="shared" si="3169"/>
        <v>0</v>
      </c>
      <c r="GT351" s="21">
        <f t="shared" ref="GT351:HA351" si="3170">IF($F$290, 0, IF($F$300, IF(AND(COLUMN($GT$351)-COLUMN($GL$351)=$Q$291,ROW($GT$351)-ROW($GL$351)=$K$291), U$290, GT351), GT351))</f>
        <v>0</v>
      </c>
      <c r="GU351" s="21">
        <f t="shared" si="3170"/>
        <v>0</v>
      </c>
      <c r="GV351" s="21">
        <f t="shared" si="3170"/>
        <v>0</v>
      </c>
      <c r="GW351" s="21">
        <f t="shared" si="3170"/>
        <v>0</v>
      </c>
      <c r="GX351" s="21">
        <f t="shared" si="3170"/>
        <v>0</v>
      </c>
      <c r="GY351" s="21">
        <f t="shared" si="3170"/>
        <v>0</v>
      </c>
      <c r="GZ351" s="21">
        <f t="shared" si="3170"/>
        <v>0</v>
      </c>
      <c r="HA351" s="21">
        <f t="shared" si="3170"/>
        <v>0</v>
      </c>
      <c r="HB351" s="21">
        <f t="shared" ref="HB351:HI351" si="3171">IF($F$290, 0, IF($F$300, IF(AND(COLUMN($HB$351)-COLUMN($GL$351)=$Q$291,ROW($HB$351)-ROW($GL$351)=$K$291), U$290, HB351), HB351))</f>
        <v>0</v>
      </c>
      <c r="HC351" s="21">
        <f t="shared" si="3171"/>
        <v>0</v>
      </c>
      <c r="HD351" s="21">
        <f t="shared" si="3171"/>
        <v>0</v>
      </c>
      <c r="HE351" s="21">
        <f t="shared" si="3171"/>
        <v>0</v>
      </c>
      <c r="HF351" s="21">
        <f t="shared" si="3171"/>
        <v>0</v>
      </c>
      <c r="HG351" s="21">
        <f t="shared" si="3171"/>
        <v>0</v>
      </c>
      <c r="HH351" s="21">
        <f t="shared" si="3171"/>
        <v>0</v>
      </c>
      <c r="HI351" s="21">
        <f t="shared" si="3171"/>
        <v>0</v>
      </c>
      <c r="HJ351" s="21">
        <f t="shared" ref="HJ351:HQ351" si="3172">IF($F$290, 0, IF($F$300, IF(AND(COLUMN($HJ$351)-COLUMN($GL$351)=$Q$291,ROW($HJ$351)-ROW($GL$351)=$K$291), U$290, HJ351), HJ351))</f>
        <v>0</v>
      </c>
      <c r="HK351" s="21">
        <f t="shared" si="3172"/>
        <v>0</v>
      </c>
      <c r="HL351" s="21">
        <f t="shared" si="3172"/>
        <v>0</v>
      </c>
      <c r="HM351" s="21">
        <f t="shared" si="3172"/>
        <v>0</v>
      </c>
      <c r="HN351" s="21">
        <f t="shared" si="3172"/>
        <v>0</v>
      </c>
      <c r="HO351" s="21">
        <f t="shared" si="3172"/>
        <v>0</v>
      </c>
      <c r="HP351" s="21">
        <f t="shared" si="3172"/>
        <v>0</v>
      </c>
      <c r="HQ351" s="21">
        <f t="shared" si="3172"/>
        <v>0</v>
      </c>
      <c r="HR351" s="21">
        <f t="shared" ref="HR351:HY351" si="3173">IF($F$290, 0, IF($F$300, IF(AND(COLUMN($HR$351)-COLUMN($GL$351)=$Q$291,ROW($HR$351)-ROW($GL$351)=$K$291), U$290, HR351), HR351))</f>
        <v>0</v>
      </c>
      <c r="HS351" s="21">
        <f t="shared" si="3173"/>
        <v>0</v>
      </c>
      <c r="HT351" s="21">
        <f t="shared" si="3173"/>
        <v>0</v>
      </c>
      <c r="HU351" s="21">
        <f t="shared" si="3173"/>
        <v>0</v>
      </c>
      <c r="HV351" s="21">
        <f t="shared" si="3173"/>
        <v>0</v>
      </c>
      <c r="HW351" s="21">
        <f t="shared" si="3173"/>
        <v>0</v>
      </c>
      <c r="HX351" s="21">
        <f t="shared" si="3173"/>
        <v>0</v>
      </c>
      <c r="HY351" s="21">
        <f t="shared" si="3173"/>
        <v>0</v>
      </c>
      <c r="HZ351" s="21">
        <f t="shared" ref="HZ351:IG351" si="3174">IF($F$290, 0, IF($F$300, IF(AND(COLUMN($HZ$351)-COLUMN($GL$351)=$Q$291,ROW($HZ$351)-ROW($GL$351)=$K$291), U$290, HZ351), HZ351))</f>
        <v>0</v>
      </c>
      <c r="IA351" s="21">
        <f t="shared" si="3174"/>
        <v>0</v>
      </c>
      <c r="IB351" s="21">
        <f t="shared" si="3174"/>
        <v>0</v>
      </c>
      <c r="IC351" s="21">
        <f t="shared" si="3174"/>
        <v>0</v>
      </c>
      <c r="ID351" s="21">
        <f t="shared" si="3174"/>
        <v>0</v>
      </c>
      <c r="IE351" s="21">
        <f t="shared" si="3174"/>
        <v>0</v>
      </c>
      <c r="IF351" s="21">
        <f t="shared" si="3174"/>
        <v>0</v>
      </c>
      <c r="IG351" s="21">
        <f t="shared" si="3174"/>
        <v>0</v>
      </c>
      <c r="IH351" s="21">
        <f t="shared" ref="IH351:IO351" si="3175">IF($F$290, 0, IF($F$300, IF(AND(COLUMN($IH$351)-COLUMN($GL$351)=$Q$291,ROW($IH$351)-ROW($GL$351)=$K$291), U$290, IH351), IH351))</f>
        <v>0</v>
      </c>
      <c r="II351" s="21">
        <f t="shared" si="3175"/>
        <v>0</v>
      </c>
      <c r="IJ351" s="21">
        <f t="shared" si="3175"/>
        <v>0</v>
      </c>
      <c r="IK351" s="21">
        <f t="shared" si="3175"/>
        <v>0</v>
      </c>
      <c r="IL351" s="21">
        <f t="shared" si="3175"/>
        <v>0</v>
      </c>
      <c r="IM351" s="21">
        <f t="shared" si="3175"/>
        <v>0</v>
      </c>
      <c r="IN351" s="21">
        <f t="shared" si="3175"/>
        <v>0</v>
      </c>
      <c r="IO351" s="21">
        <f t="shared" si="3175"/>
        <v>0</v>
      </c>
      <c r="IP351" s="21">
        <f t="shared" ref="IP351:IW351" si="3176">IF($F$290, 0, IF($F$300, IF(AND(COLUMN($IP$351)-COLUMN($GL$351)=$Q$291,ROW($IP$351)-ROW($GL$351)=$K$291), U$290, IP351), IP351))</f>
        <v>0</v>
      </c>
      <c r="IQ351" s="21">
        <f t="shared" si="3176"/>
        <v>0</v>
      </c>
      <c r="IR351" s="21">
        <f t="shared" si="3176"/>
        <v>0</v>
      </c>
      <c r="IS351" s="21">
        <f t="shared" si="3176"/>
        <v>0</v>
      </c>
      <c r="IT351" s="21">
        <f t="shared" si="3176"/>
        <v>0</v>
      </c>
      <c r="IU351" s="21">
        <f t="shared" si="3176"/>
        <v>0</v>
      </c>
      <c r="IV351" s="21">
        <f t="shared" si="3176"/>
        <v>0</v>
      </c>
      <c r="IW351" s="21">
        <f t="shared" si="3176"/>
        <v>0</v>
      </c>
      <c r="IX351" s="21">
        <f t="shared" ref="IX351:JE351" si="3177">IF($F$290, 0, IF($G$300, IF(AND(COLUMN($IX$351)-COLUMN($IX$351)=$Q$291,ROW($IX$351)-ROW($IX$351)=$K$291), U$290, IX351), IX351))</f>
        <v>0</v>
      </c>
      <c r="IY351" s="21">
        <f t="shared" si="3177"/>
        <v>0</v>
      </c>
      <c r="IZ351" s="21">
        <f t="shared" si="3177"/>
        <v>0</v>
      </c>
      <c r="JA351" s="21">
        <f t="shared" si="3177"/>
        <v>0</v>
      </c>
      <c r="JB351" s="21">
        <f t="shared" si="3177"/>
        <v>0</v>
      </c>
      <c r="JC351" s="21">
        <f t="shared" si="3177"/>
        <v>0</v>
      </c>
      <c r="JD351" s="21">
        <f t="shared" si="3177"/>
        <v>0</v>
      </c>
      <c r="JE351" s="21">
        <f t="shared" si="3177"/>
        <v>0</v>
      </c>
      <c r="JF351" s="21">
        <f t="shared" ref="JF351:JM351" si="3178">IF($F$290, 0, IF($G$300, IF(AND(COLUMN($JF$351)-COLUMN($IX$351)=$Q$291,ROW($JF$351)-ROW($IX$351)=$K$291), U$290, JF351), JF351))</f>
        <v>0</v>
      </c>
      <c r="JG351" s="21">
        <f t="shared" si="3178"/>
        <v>0</v>
      </c>
      <c r="JH351" s="21">
        <f t="shared" si="3178"/>
        <v>0</v>
      </c>
      <c r="JI351" s="21">
        <f t="shared" si="3178"/>
        <v>0</v>
      </c>
      <c r="JJ351" s="21">
        <f t="shared" si="3178"/>
        <v>0</v>
      </c>
      <c r="JK351" s="21">
        <f t="shared" si="3178"/>
        <v>0</v>
      </c>
      <c r="JL351" s="21">
        <f t="shared" si="3178"/>
        <v>0</v>
      </c>
      <c r="JM351" s="21">
        <f t="shared" si="3178"/>
        <v>0</v>
      </c>
      <c r="JN351" s="21">
        <f t="shared" ref="JN351:JU351" si="3179">IF($F$290, 0, IF($G$300, IF(AND(COLUMN($JN$351)-COLUMN($IX$351)=$Q$291,ROW($JN$351)-ROW($IX$351)=$K$291), U$290, JN351), JN351))</f>
        <v>0</v>
      </c>
      <c r="JO351" s="21">
        <f t="shared" si="3179"/>
        <v>0</v>
      </c>
      <c r="JP351" s="21">
        <f t="shared" si="3179"/>
        <v>0</v>
      </c>
      <c r="JQ351" s="21">
        <f t="shared" si="3179"/>
        <v>0</v>
      </c>
      <c r="JR351" s="21">
        <f t="shared" si="3179"/>
        <v>0</v>
      </c>
      <c r="JS351" s="21">
        <f t="shared" si="3179"/>
        <v>0</v>
      </c>
      <c r="JT351" s="21">
        <f t="shared" si="3179"/>
        <v>0</v>
      </c>
      <c r="JU351" s="21">
        <f t="shared" si="3179"/>
        <v>0</v>
      </c>
      <c r="JV351" s="21">
        <f t="shared" ref="JV351:KC351" si="3180">IF($F$290, 0, IF($G$300, IF(AND(COLUMN($JV$351)-COLUMN($IX$351)=$Q$291,ROW($JV$351)-ROW($IX$351)=$K$291), U$290, JV351), JV351))</f>
        <v>0</v>
      </c>
      <c r="JW351" s="21">
        <f t="shared" si="3180"/>
        <v>0</v>
      </c>
      <c r="JX351" s="21">
        <f t="shared" si="3180"/>
        <v>0</v>
      </c>
      <c r="JY351" s="21">
        <f t="shared" si="3180"/>
        <v>0</v>
      </c>
      <c r="JZ351" s="21">
        <f t="shared" si="3180"/>
        <v>0</v>
      </c>
      <c r="KA351" s="21">
        <f t="shared" si="3180"/>
        <v>0</v>
      </c>
      <c r="KB351" s="21">
        <f t="shared" si="3180"/>
        <v>0</v>
      </c>
      <c r="KC351" s="21">
        <f t="shared" si="3180"/>
        <v>0</v>
      </c>
      <c r="KD351" s="21">
        <f t="shared" ref="KD351:KK351" si="3181">IF($F$290, 0, IF($G$300, IF(AND(COLUMN($KD$351)-COLUMN($IX$351)=$Q$291,ROW($KD$351)-ROW($IX$351)=$K$291), U$290, KD351), KD351))</f>
        <v>0</v>
      </c>
      <c r="KE351" s="21">
        <f t="shared" si="3181"/>
        <v>0</v>
      </c>
      <c r="KF351" s="21">
        <f t="shared" si="3181"/>
        <v>0</v>
      </c>
      <c r="KG351" s="21">
        <f t="shared" si="3181"/>
        <v>0</v>
      </c>
      <c r="KH351" s="21">
        <f t="shared" si="3181"/>
        <v>0</v>
      </c>
      <c r="KI351" s="21">
        <f t="shared" si="3181"/>
        <v>0</v>
      </c>
      <c r="KJ351" s="21">
        <f t="shared" si="3181"/>
        <v>0</v>
      </c>
      <c r="KK351" s="21">
        <f t="shared" si="3181"/>
        <v>0</v>
      </c>
      <c r="KL351" s="21">
        <f t="shared" ref="KL351:KS351" si="3182">IF($F$290, 0, IF($G$300, IF(AND(COLUMN($KL$351)-COLUMN($IX$351)=$Q$291,ROW($KL$351)-ROW($IX$351)=$K$291), U$290, KL351), KL351))</f>
        <v>0</v>
      </c>
      <c r="KM351" s="21">
        <f t="shared" si="3182"/>
        <v>0</v>
      </c>
      <c r="KN351" s="21">
        <f t="shared" si="3182"/>
        <v>0</v>
      </c>
      <c r="KO351" s="21">
        <f t="shared" si="3182"/>
        <v>0</v>
      </c>
      <c r="KP351" s="21">
        <f t="shared" si="3182"/>
        <v>0</v>
      </c>
      <c r="KQ351" s="21">
        <f t="shared" si="3182"/>
        <v>0</v>
      </c>
      <c r="KR351" s="21">
        <f t="shared" si="3182"/>
        <v>0</v>
      </c>
      <c r="KS351" s="21">
        <f t="shared" si="3182"/>
        <v>0</v>
      </c>
      <c r="KT351" s="21">
        <f t="shared" ref="KT351:LA351" si="3183">IF($F$290, 0, IF($G$300, IF(AND(COLUMN($KT$351)-COLUMN($IX$351)=$Q$291,ROW($KT$351)-ROW($IX$351)=$K$291), U$290, KT351), KT351))</f>
        <v>0</v>
      </c>
      <c r="KU351" s="21">
        <f t="shared" si="3183"/>
        <v>0</v>
      </c>
      <c r="KV351" s="21">
        <f t="shared" si="3183"/>
        <v>0</v>
      </c>
      <c r="KW351" s="21">
        <f t="shared" si="3183"/>
        <v>0</v>
      </c>
      <c r="KX351" s="21">
        <f t="shared" si="3183"/>
        <v>0</v>
      </c>
      <c r="KY351" s="21">
        <f t="shared" si="3183"/>
        <v>0</v>
      </c>
      <c r="KZ351" s="21">
        <f t="shared" si="3183"/>
        <v>0</v>
      </c>
      <c r="LA351" s="21">
        <f t="shared" si="3183"/>
        <v>0</v>
      </c>
      <c r="LB351" s="21">
        <f t="shared" ref="LB351:LI351" si="3184">IF($F$290, 0, IF($G$300, IF(AND(COLUMN($LB$351)-COLUMN($IX$351)=$Q$291,ROW($LB$351)-ROW($IX$351)=$K$291), U$290, LB351), LB351))</f>
        <v>0</v>
      </c>
      <c r="LC351" s="21">
        <f t="shared" si="3184"/>
        <v>0</v>
      </c>
      <c r="LD351" s="21">
        <f t="shared" si="3184"/>
        <v>0</v>
      </c>
      <c r="LE351" s="21">
        <f t="shared" si="3184"/>
        <v>0</v>
      </c>
      <c r="LF351" s="21">
        <f t="shared" si="3184"/>
        <v>0</v>
      </c>
      <c r="LG351" s="21">
        <f t="shared" si="3184"/>
        <v>0</v>
      </c>
      <c r="LH351" s="21">
        <f t="shared" si="3184"/>
        <v>0</v>
      </c>
      <c r="LI351" s="21">
        <f t="shared" si="3184"/>
        <v>0</v>
      </c>
      <c r="LJ351" s="21">
        <f t="shared" ref="LJ351:LQ351" si="3185">IF($F$290, 0, IF($H$300, IF(AND(COLUMN($LJ$351)-COLUMN($LJ$351)=$Q$291,ROW($LJ$351)-ROW($LJ$351)=$K$291), U$290, LJ351), LJ351))</f>
        <v>0</v>
      </c>
      <c r="LK351" s="21">
        <f t="shared" si="3185"/>
        <v>0</v>
      </c>
      <c r="LL351" s="21">
        <f t="shared" si="3185"/>
        <v>0</v>
      </c>
      <c r="LM351" s="21">
        <f t="shared" si="3185"/>
        <v>0</v>
      </c>
      <c r="LN351" s="21">
        <f t="shared" si="3185"/>
        <v>0</v>
      </c>
      <c r="LO351" s="21">
        <f t="shared" si="3185"/>
        <v>0</v>
      </c>
      <c r="LP351" s="21">
        <f t="shared" si="3185"/>
        <v>0</v>
      </c>
      <c r="LQ351" s="21">
        <f t="shared" si="3185"/>
        <v>0</v>
      </c>
      <c r="LR351" s="21">
        <f t="shared" ref="LR351:LY351" si="3186">IF($F$290, 0, IF($H$300, IF(AND(COLUMN($LR$351)-COLUMN($LJ$351)=$Q$291,ROW($LR$351)-ROW($LJ$351)=$K$291), U$290, LR351), LR351))</f>
        <v>0</v>
      </c>
      <c r="LS351" s="21">
        <f t="shared" si="3186"/>
        <v>0</v>
      </c>
      <c r="LT351" s="21">
        <f t="shared" si="3186"/>
        <v>0</v>
      </c>
      <c r="LU351" s="21">
        <f t="shared" si="3186"/>
        <v>0</v>
      </c>
      <c r="LV351" s="21">
        <f t="shared" si="3186"/>
        <v>0</v>
      </c>
      <c r="LW351" s="21">
        <f t="shared" si="3186"/>
        <v>0</v>
      </c>
      <c r="LX351" s="21">
        <f t="shared" si="3186"/>
        <v>0</v>
      </c>
      <c r="LY351" s="21">
        <f t="shared" si="3186"/>
        <v>0</v>
      </c>
      <c r="LZ351" s="21">
        <f t="shared" ref="LZ351:MG351" si="3187">IF($F$290, 0, IF($H$300, IF(AND(COLUMN($LZ$351)-COLUMN($LJ$351)=$Q$291,ROW($LZ$351)-ROW($LJ$351)=$K$291), U$290, LZ351), LZ351))</f>
        <v>0</v>
      </c>
      <c r="MA351" s="21">
        <f t="shared" si="3187"/>
        <v>0</v>
      </c>
      <c r="MB351" s="21">
        <f t="shared" si="3187"/>
        <v>0</v>
      </c>
      <c r="MC351" s="21">
        <f t="shared" si="3187"/>
        <v>0</v>
      </c>
      <c r="MD351" s="21">
        <f t="shared" si="3187"/>
        <v>0</v>
      </c>
      <c r="ME351" s="21">
        <f t="shared" si="3187"/>
        <v>0</v>
      </c>
      <c r="MF351" s="21">
        <f t="shared" si="3187"/>
        <v>0</v>
      </c>
      <c r="MG351" s="21">
        <f t="shared" si="3187"/>
        <v>0</v>
      </c>
      <c r="MH351" s="21">
        <f t="shared" ref="MH351:MO351" si="3188">IF($F$290, 0, IF($H$300, IF(AND(COLUMN($MH$351)-COLUMN($LJ$351)=$Q$291,ROW($MH$351)-ROW($LJ$351)=$K$291), U$290, MH351), MH351))</f>
        <v>0</v>
      </c>
      <c r="MI351" s="21">
        <f t="shared" si="3188"/>
        <v>0</v>
      </c>
      <c r="MJ351" s="21">
        <f t="shared" si="3188"/>
        <v>0</v>
      </c>
      <c r="MK351" s="21">
        <f t="shared" si="3188"/>
        <v>0</v>
      </c>
      <c r="ML351" s="21">
        <f t="shared" si="3188"/>
        <v>0</v>
      </c>
      <c r="MM351" s="21">
        <f t="shared" si="3188"/>
        <v>0</v>
      </c>
      <c r="MN351" s="21">
        <f t="shared" si="3188"/>
        <v>0</v>
      </c>
      <c r="MO351" s="21">
        <f t="shared" si="3188"/>
        <v>0</v>
      </c>
      <c r="MP351" s="21">
        <f t="shared" ref="MP351:MW351" si="3189">IF($F$290, 0, IF($H$300, IF(AND(COLUMN($MP$351)-COLUMN($LJ$351)=$Q$291,ROW($MP$351)-ROW($LJ$351)=$K$291), U$290, MP351), MP351))</f>
        <v>0</v>
      </c>
      <c r="MQ351" s="21">
        <f t="shared" si="3189"/>
        <v>0</v>
      </c>
      <c r="MR351" s="21">
        <f t="shared" si="3189"/>
        <v>0</v>
      </c>
      <c r="MS351" s="21">
        <f t="shared" si="3189"/>
        <v>0</v>
      </c>
      <c r="MT351" s="21">
        <f t="shared" si="3189"/>
        <v>0</v>
      </c>
      <c r="MU351" s="21">
        <f t="shared" si="3189"/>
        <v>0</v>
      </c>
      <c r="MV351" s="21">
        <f t="shared" si="3189"/>
        <v>0</v>
      </c>
      <c r="MW351" s="21">
        <f t="shared" si="3189"/>
        <v>0</v>
      </c>
      <c r="MX351" s="21">
        <f t="shared" ref="MX351:NE351" si="3190">IF($F$290, 0, IF($H$300, IF(AND(COLUMN($MX$351)-COLUMN($LJ$351)=$Q$291,ROW($MX$351)-ROW($LJ$351)=$K$291), U$290, MX351), MX351))</f>
        <v>0</v>
      </c>
      <c r="MY351" s="21">
        <f t="shared" si="3190"/>
        <v>0</v>
      </c>
      <c r="MZ351" s="21">
        <f t="shared" si="3190"/>
        <v>0</v>
      </c>
      <c r="NA351" s="21">
        <f t="shared" si="3190"/>
        <v>0</v>
      </c>
      <c r="NB351" s="21">
        <f t="shared" si="3190"/>
        <v>0</v>
      </c>
      <c r="NC351" s="21">
        <f t="shared" si="3190"/>
        <v>0</v>
      </c>
      <c r="ND351" s="21">
        <f t="shared" si="3190"/>
        <v>0</v>
      </c>
      <c r="NE351" s="21">
        <f t="shared" si="3190"/>
        <v>0</v>
      </c>
      <c r="NF351" s="21">
        <f t="shared" ref="NF351:NM351" si="3191">IF($F$290, 0, IF($H$300, IF(AND(COLUMN($NF$351)-COLUMN($LJ$351)=$Q$291,ROW($NF$351)-ROW($LJ$351)=$K$291), U$290, NF351), NF351))</f>
        <v>0</v>
      </c>
      <c r="NG351" s="21">
        <f t="shared" si="3191"/>
        <v>0</v>
      </c>
      <c r="NH351" s="21">
        <f t="shared" si="3191"/>
        <v>0</v>
      </c>
      <c r="NI351" s="21">
        <f t="shared" si="3191"/>
        <v>0</v>
      </c>
      <c r="NJ351" s="21">
        <f t="shared" si="3191"/>
        <v>0</v>
      </c>
      <c r="NK351" s="21">
        <f t="shared" si="3191"/>
        <v>0</v>
      </c>
      <c r="NL351" s="21">
        <f t="shared" si="3191"/>
        <v>0</v>
      </c>
      <c r="NM351" s="21">
        <f t="shared" si="3191"/>
        <v>0</v>
      </c>
      <c r="NN351" s="21">
        <f t="shared" ref="NN351:NU351" si="3192">IF($F$290, 0, IF($H$300, IF(AND(COLUMN($NN$351)-COLUMN($LJ$351)=$Q$291,ROW($NN$351)-ROW($LJ$351)=$K$291), U$290, NN351), NN351))</f>
        <v>0</v>
      </c>
      <c r="NO351" s="21">
        <f t="shared" si="3192"/>
        <v>0</v>
      </c>
      <c r="NP351" s="21">
        <f t="shared" si="3192"/>
        <v>0</v>
      </c>
      <c r="NQ351" s="21">
        <f t="shared" si="3192"/>
        <v>0</v>
      </c>
      <c r="NR351" s="21">
        <f t="shared" si="3192"/>
        <v>0</v>
      </c>
      <c r="NS351" s="21">
        <f t="shared" si="3192"/>
        <v>0</v>
      </c>
      <c r="NT351" s="21">
        <f t="shared" si="3192"/>
        <v>0</v>
      </c>
      <c r="NU351" s="21">
        <f t="shared" si="3192"/>
        <v>0</v>
      </c>
      <c r="NV351" s="21">
        <f t="shared" ref="NV351:OC351" si="3193">IF($F$290, 0, IF($I$300, IF(AND(COLUMN($NV$351)-COLUMN($NV$351)=$Q$291,ROW($NV$351)-ROW($NV$351)=$K$291), U$290, NV351), NV351))</f>
        <v>0</v>
      </c>
      <c r="NW351" s="21">
        <f t="shared" si="3193"/>
        <v>0</v>
      </c>
      <c r="NX351" s="21">
        <f t="shared" si="3193"/>
        <v>0</v>
      </c>
      <c r="NY351" s="21">
        <f t="shared" si="3193"/>
        <v>0</v>
      </c>
      <c r="NZ351" s="21">
        <f t="shared" si="3193"/>
        <v>0</v>
      </c>
      <c r="OA351" s="21">
        <f t="shared" si="3193"/>
        <v>0</v>
      </c>
      <c r="OB351" s="21">
        <f t="shared" si="3193"/>
        <v>0</v>
      </c>
      <c r="OC351" s="21">
        <f t="shared" si="3193"/>
        <v>0</v>
      </c>
      <c r="OD351" s="21">
        <f t="shared" ref="OD351:OK351" si="3194">IF($F$290, 0, IF($I$300, IF(AND(COLUMN($OD$351)-COLUMN($NV$351)=$Q$291,ROW($OD$351)-ROW($NV$351)=$K$291), U$290, OD351), OD351))</f>
        <v>0</v>
      </c>
      <c r="OE351" s="21">
        <f t="shared" si="3194"/>
        <v>0</v>
      </c>
      <c r="OF351" s="21">
        <f t="shared" si="3194"/>
        <v>0</v>
      </c>
      <c r="OG351" s="21">
        <f t="shared" si="3194"/>
        <v>0</v>
      </c>
      <c r="OH351" s="21">
        <f t="shared" si="3194"/>
        <v>0</v>
      </c>
      <c r="OI351" s="21">
        <f t="shared" si="3194"/>
        <v>0</v>
      </c>
      <c r="OJ351" s="21">
        <f t="shared" si="3194"/>
        <v>0</v>
      </c>
      <c r="OK351" s="21">
        <f t="shared" si="3194"/>
        <v>0</v>
      </c>
      <c r="OL351" s="21">
        <f t="shared" ref="OL351:OS351" si="3195">IF($F$290, 0, IF($I$300, IF(AND(COLUMN($OL$351)-COLUMN($NV$351)=$Q$291,ROW($OL$351)-ROW($NV$351)=$K$291), U$290, OL351), OL351))</f>
        <v>0</v>
      </c>
      <c r="OM351" s="21">
        <f t="shared" si="3195"/>
        <v>0</v>
      </c>
      <c r="ON351" s="21">
        <f t="shared" si="3195"/>
        <v>0</v>
      </c>
      <c r="OO351" s="21">
        <f t="shared" si="3195"/>
        <v>0</v>
      </c>
      <c r="OP351" s="21">
        <f t="shared" si="3195"/>
        <v>0</v>
      </c>
      <c r="OQ351" s="21">
        <f t="shared" si="3195"/>
        <v>0</v>
      </c>
      <c r="OR351" s="21">
        <f t="shared" si="3195"/>
        <v>0</v>
      </c>
      <c r="OS351" s="21">
        <f t="shared" si="3195"/>
        <v>0</v>
      </c>
      <c r="OT351" s="21">
        <f t="shared" ref="OT351:PA351" si="3196">IF($F$290, 0, IF($I$300, IF(AND(COLUMN($OT$351)-COLUMN($NV$351)=$Q$291,ROW($OT$351)-ROW($NV$351)=$K$291), U$290, OT351), OT351))</f>
        <v>0</v>
      </c>
      <c r="OU351" s="21">
        <f t="shared" si="3196"/>
        <v>0</v>
      </c>
      <c r="OV351" s="21">
        <f t="shared" si="3196"/>
        <v>0</v>
      </c>
      <c r="OW351" s="21">
        <f t="shared" si="3196"/>
        <v>0</v>
      </c>
      <c r="OX351" s="21">
        <f t="shared" si="3196"/>
        <v>0</v>
      </c>
      <c r="OY351" s="21">
        <f t="shared" si="3196"/>
        <v>0</v>
      </c>
      <c r="OZ351" s="21">
        <f t="shared" si="3196"/>
        <v>0</v>
      </c>
      <c r="PA351" s="21">
        <f t="shared" si="3196"/>
        <v>0</v>
      </c>
      <c r="PB351" s="21">
        <f t="shared" ref="PB351:PI351" si="3197">IF($F$290, 0, IF($I$300, IF(AND(COLUMN($PB$351)-COLUMN($NV$351)=$Q$291,ROW($PB$351)-ROW($NV$351)=$K$291), U$290, PB351), PB351))</f>
        <v>0</v>
      </c>
      <c r="PC351" s="21">
        <f t="shared" si="3197"/>
        <v>0</v>
      </c>
      <c r="PD351" s="21">
        <f t="shared" si="3197"/>
        <v>0</v>
      </c>
      <c r="PE351" s="21">
        <f t="shared" si="3197"/>
        <v>0</v>
      </c>
      <c r="PF351" s="21">
        <f t="shared" si="3197"/>
        <v>0</v>
      </c>
      <c r="PG351" s="21">
        <f t="shared" si="3197"/>
        <v>0</v>
      </c>
      <c r="PH351" s="21">
        <f t="shared" si="3197"/>
        <v>0</v>
      </c>
      <c r="PI351" s="21">
        <f t="shared" si="3197"/>
        <v>0</v>
      </c>
      <c r="PJ351" s="21">
        <f t="shared" ref="PJ351:PQ351" si="3198">IF($F$290, 0, IF($I$300, IF(AND(COLUMN($PJ$351)-COLUMN($NV$351)=$Q$291,ROW($PJ$351)-ROW($NV$351)=$K$291), U$290, PJ351), PJ351))</f>
        <v>0</v>
      </c>
      <c r="PK351" s="21">
        <f t="shared" si="3198"/>
        <v>0</v>
      </c>
      <c r="PL351" s="21">
        <f t="shared" si="3198"/>
        <v>0</v>
      </c>
      <c r="PM351" s="21">
        <f t="shared" si="3198"/>
        <v>0</v>
      </c>
      <c r="PN351" s="21">
        <f t="shared" si="3198"/>
        <v>0</v>
      </c>
      <c r="PO351" s="21">
        <f t="shared" si="3198"/>
        <v>0</v>
      </c>
      <c r="PP351" s="21">
        <f t="shared" si="3198"/>
        <v>0</v>
      </c>
      <c r="PQ351" s="21">
        <f t="shared" si="3198"/>
        <v>0</v>
      </c>
      <c r="PR351" s="21">
        <f t="shared" ref="PR351:PY351" si="3199">IF($F$290, 0, IF($I$300, IF(AND(COLUMN($PR$351)-COLUMN($NV$351)=$Q$291,ROW($PR$351)-ROW($NV$351)=$K$291), U$290, PR351), PR351))</f>
        <v>0</v>
      </c>
      <c r="PS351" s="21">
        <f t="shared" si="3199"/>
        <v>0</v>
      </c>
      <c r="PT351" s="21">
        <f t="shared" si="3199"/>
        <v>0</v>
      </c>
      <c r="PU351" s="21">
        <f t="shared" si="3199"/>
        <v>0</v>
      </c>
      <c r="PV351" s="21">
        <f t="shared" si="3199"/>
        <v>0</v>
      </c>
      <c r="PW351" s="21">
        <f t="shared" si="3199"/>
        <v>0</v>
      </c>
      <c r="PX351" s="21">
        <f t="shared" si="3199"/>
        <v>0</v>
      </c>
      <c r="PY351" s="21">
        <f t="shared" si="3199"/>
        <v>0</v>
      </c>
      <c r="PZ351" s="21">
        <f t="shared" ref="PZ351:QG351" si="3200">IF($F$290, 0, IF($I$300, IF(AND(COLUMN($PZ$351)-COLUMN($NV$351)=$Q$291,ROW($PZ$351)-ROW($NV$351)=$K$291), U$290, PZ351), PZ351))</f>
        <v>0</v>
      </c>
      <c r="QA351" s="21">
        <f t="shared" si="3200"/>
        <v>0</v>
      </c>
      <c r="QB351" s="21">
        <f t="shared" si="3200"/>
        <v>0</v>
      </c>
      <c r="QC351" s="21">
        <f t="shared" si="3200"/>
        <v>0</v>
      </c>
      <c r="QD351" s="21">
        <f t="shared" si="3200"/>
        <v>0</v>
      </c>
      <c r="QE351" s="21">
        <f t="shared" si="3200"/>
        <v>0</v>
      </c>
      <c r="QF351" s="21">
        <f t="shared" si="3200"/>
        <v>0</v>
      </c>
      <c r="QG351" s="21">
        <f t="shared" si="3200"/>
        <v>0</v>
      </c>
      <c r="QH351" s="21">
        <f t="shared" ref="QH351:QO351" si="3201">IF($F$290, 0, IF($J$300, IF(AND(COLUMN($QH$351)-COLUMN($QH$351)=$Q$291,ROW($QH$351)-ROW($QH$351)=$K$291), U$290, QH351), QH351))</f>
        <v>0</v>
      </c>
      <c r="QI351" s="21">
        <f t="shared" si="3201"/>
        <v>0</v>
      </c>
      <c r="QJ351" s="21">
        <f t="shared" si="3201"/>
        <v>0</v>
      </c>
      <c r="QK351" s="21">
        <f t="shared" si="3201"/>
        <v>0</v>
      </c>
      <c r="QL351" s="21">
        <f t="shared" si="3201"/>
        <v>0</v>
      </c>
      <c r="QM351" s="21">
        <f t="shared" si="3201"/>
        <v>0</v>
      </c>
      <c r="QN351" s="21">
        <f t="shared" si="3201"/>
        <v>0</v>
      </c>
      <c r="QO351" s="21">
        <f t="shared" si="3201"/>
        <v>0</v>
      </c>
      <c r="QP351" s="21">
        <f t="shared" ref="QP351:QW351" si="3202">IF($F$290, 0, IF($J$300, IF(AND(COLUMN($QP$351)-COLUMN($QH$351)=$Q$291,ROW($QP$351)-ROW($QH$351)=$K$291), U$290, QP351), QP351))</f>
        <v>0</v>
      </c>
      <c r="QQ351" s="21">
        <f t="shared" si="3202"/>
        <v>0</v>
      </c>
      <c r="QR351" s="21">
        <f t="shared" si="3202"/>
        <v>0</v>
      </c>
      <c r="QS351" s="21">
        <f t="shared" si="3202"/>
        <v>0</v>
      </c>
      <c r="QT351" s="21">
        <f t="shared" si="3202"/>
        <v>0</v>
      </c>
      <c r="QU351" s="21">
        <f t="shared" si="3202"/>
        <v>0</v>
      </c>
      <c r="QV351" s="21">
        <f t="shared" si="3202"/>
        <v>0</v>
      </c>
      <c r="QW351" s="21">
        <f t="shared" si="3202"/>
        <v>0</v>
      </c>
      <c r="QX351" s="21">
        <f t="shared" ref="QX351:RE351" si="3203">IF($F$290, 0, IF($J$300, IF(AND(COLUMN($QX$351)-COLUMN($QH$351)=$Q$291,ROW($QX$351)-ROW($QH$351)=$K$291), U$290, QX351), QX351))</f>
        <v>0</v>
      </c>
      <c r="QY351" s="21">
        <f t="shared" si="3203"/>
        <v>0</v>
      </c>
      <c r="QZ351" s="21">
        <f t="shared" si="3203"/>
        <v>0</v>
      </c>
      <c r="RA351" s="21">
        <f t="shared" si="3203"/>
        <v>0</v>
      </c>
      <c r="RB351" s="21">
        <f t="shared" si="3203"/>
        <v>0</v>
      </c>
      <c r="RC351" s="21">
        <f t="shared" si="3203"/>
        <v>0</v>
      </c>
      <c r="RD351" s="21">
        <f t="shared" si="3203"/>
        <v>0</v>
      </c>
      <c r="RE351" s="21">
        <f t="shared" si="3203"/>
        <v>0</v>
      </c>
      <c r="RF351" s="21">
        <f t="shared" ref="RF351:RM351" si="3204">IF($F$290, 0, IF($J$300, IF(AND(COLUMN($RF$351)-COLUMN($QH$351)=$Q$291,ROW($RF$351)-ROW($QH$351)=$K$291), U$290, RF351), RF351))</f>
        <v>0</v>
      </c>
      <c r="RG351" s="21">
        <f t="shared" si="3204"/>
        <v>0</v>
      </c>
      <c r="RH351" s="21">
        <f t="shared" si="3204"/>
        <v>0</v>
      </c>
      <c r="RI351" s="21">
        <f t="shared" si="3204"/>
        <v>0</v>
      </c>
      <c r="RJ351" s="21">
        <f t="shared" si="3204"/>
        <v>0</v>
      </c>
      <c r="RK351" s="21">
        <f t="shared" si="3204"/>
        <v>0</v>
      </c>
      <c r="RL351" s="21">
        <f t="shared" si="3204"/>
        <v>0</v>
      </c>
      <c r="RM351" s="21">
        <f t="shared" si="3204"/>
        <v>0</v>
      </c>
      <c r="RN351" s="21">
        <f t="shared" ref="RN351:RU351" si="3205">IF($F$290, 0, IF($J$300, IF(AND(COLUMN($RN$351)-COLUMN($QH$351)=$Q$291,ROW($RN$351)-ROW($QH$351)=$K$291), U$290, RN351), RN351))</f>
        <v>0</v>
      </c>
      <c r="RO351" s="21">
        <f t="shared" si="3205"/>
        <v>0</v>
      </c>
      <c r="RP351" s="21">
        <f t="shared" si="3205"/>
        <v>0</v>
      </c>
      <c r="RQ351" s="21">
        <f t="shared" si="3205"/>
        <v>0</v>
      </c>
      <c r="RR351" s="21">
        <f t="shared" si="3205"/>
        <v>0</v>
      </c>
      <c r="RS351" s="21">
        <f t="shared" si="3205"/>
        <v>0</v>
      </c>
      <c r="RT351" s="21">
        <f t="shared" si="3205"/>
        <v>0</v>
      </c>
      <c r="RU351" s="21">
        <f t="shared" si="3205"/>
        <v>0</v>
      </c>
      <c r="RV351" s="21">
        <f t="shared" ref="RV351:SC351" si="3206">IF($F$290, 0, IF($J$300, IF(AND(COLUMN($RV$351)-COLUMN($QH$351)=$Q$291,ROW($RV$351)-ROW($QH$351)=$K$291), U$290, RV351), RV351))</f>
        <v>0</v>
      </c>
      <c r="RW351" s="21">
        <f t="shared" si="3206"/>
        <v>0</v>
      </c>
      <c r="RX351" s="21">
        <f t="shared" si="3206"/>
        <v>0</v>
      </c>
      <c r="RY351" s="21">
        <f t="shared" si="3206"/>
        <v>0</v>
      </c>
      <c r="RZ351" s="21">
        <f t="shared" si="3206"/>
        <v>0</v>
      </c>
      <c r="SA351" s="21">
        <f t="shared" si="3206"/>
        <v>0</v>
      </c>
      <c r="SB351" s="21">
        <f t="shared" si="3206"/>
        <v>0</v>
      </c>
      <c r="SC351" s="21">
        <f t="shared" si="3206"/>
        <v>0</v>
      </c>
      <c r="SD351" s="21">
        <f t="shared" ref="SD351:SK351" si="3207">IF($F$290, 0, IF($J$300, IF(AND(COLUMN($SD$351)-COLUMN($QH$351)=$Q$291,ROW($SD$351)-ROW($QH$351)=$K$291), U$290, SD351), SD351))</f>
        <v>0</v>
      </c>
      <c r="SE351" s="21">
        <f t="shared" si="3207"/>
        <v>0</v>
      </c>
      <c r="SF351" s="21">
        <f t="shared" si="3207"/>
        <v>0</v>
      </c>
      <c r="SG351" s="21">
        <f t="shared" si="3207"/>
        <v>0</v>
      </c>
      <c r="SH351" s="21">
        <f t="shared" si="3207"/>
        <v>0</v>
      </c>
      <c r="SI351" s="21">
        <f t="shared" si="3207"/>
        <v>0</v>
      </c>
      <c r="SJ351" s="21">
        <f t="shared" si="3207"/>
        <v>0</v>
      </c>
      <c r="SK351" s="21">
        <f t="shared" si="3207"/>
        <v>0</v>
      </c>
      <c r="SL351" s="21">
        <f t="shared" ref="SL351:SS351" si="3208">IF($F$290, 0, IF($J$300, IF(AND(COLUMN($SL$351)-COLUMN($QH$351)=$Q$291,ROW($SL$351)-ROW($QH$351)=$K$291), U$290, SL351), SL351))</f>
        <v>0</v>
      </c>
      <c r="SM351" s="21">
        <f t="shared" si="3208"/>
        <v>0</v>
      </c>
      <c r="SN351" s="21">
        <f t="shared" si="3208"/>
        <v>0</v>
      </c>
      <c r="SO351" s="21">
        <f t="shared" si="3208"/>
        <v>0</v>
      </c>
      <c r="SP351" s="21">
        <f t="shared" si="3208"/>
        <v>0</v>
      </c>
      <c r="SQ351" s="21">
        <f t="shared" si="3208"/>
        <v>0</v>
      </c>
      <c r="SR351" s="21">
        <f t="shared" si="3208"/>
        <v>0</v>
      </c>
      <c r="SS351" s="21">
        <f t="shared" si="3208"/>
        <v>0</v>
      </c>
    </row>
    <row r="352" spans="2:513" ht="15" customHeight="1" x14ac:dyDescent="0.25">
      <c r="B352" s="21">
        <f t="shared" ref="B352:I352" si="3209">IF($F$290, 0, IF($C$300, IF(AND(COLUMN($B$352)-COLUMN($B$351)=$Q$291,ROW($B$352)-ROW($B$351)=$K$291), U$290, B352), B352))</f>
        <v>0</v>
      </c>
      <c r="C352" s="21">
        <f t="shared" si="3209"/>
        <v>0</v>
      </c>
      <c r="D352" s="21">
        <f t="shared" si="3209"/>
        <v>0</v>
      </c>
      <c r="E352" s="21">
        <f t="shared" si="3209"/>
        <v>0</v>
      </c>
      <c r="F352" s="21">
        <f t="shared" si="3209"/>
        <v>0</v>
      </c>
      <c r="G352" s="21">
        <f t="shared" si="3209"/>
        <v>0</v>
      </c>
      <c r="H352" s="21">
        <f t="shared" si="3209"/>
        <v>0</v>
      </c>
      <c r="I352" s="21">
        <f t="shared" si="3209"/>
        <v>0</v>
      </c>
      <c r="J352" s="21">
        <f t="shared" ref="J352:Q352" si="3210">IF($F$290, 0, IF($C$300, IF(AND(COLUMN($J$352)-COLUMN($B$351)=$Q$291,ROW($J$352)-ROW($B$351)=$K$291), U$290, J352), J352))</f>
        <v>0</v>
      </c>
      <c r="K352" s="21">
        <f t="shared" si="3210"/>
        <v>0</v>
      </c>
      <c r="L352" s="21">
        <f t="shared" si="3210"/>
        <v>0</v>
      </c>
      <c r="M352" s="21">
        <f t="shared" si="3210"/>
        <v>0</v>
      </c>
      <c r="N352" s="21">
        <f t="shared" si="3210"/>
        <v>0</v>
      </c>
      <c r="O352" s="21">
        <f t="shared" si="3210"/>
        <v>0</v>
      </c>
      <c r="P352" s="21">
        <f t="shared" si="3210"/>
        <v>0</v>
      </c>
      <c r="Q352" s="21">
        <f t="shared" si="3210"/>
        <v>0</v>
      </c>
      <c r="R352" s="21">
        <f>IF($F$290, 0, IF($C$300, IF(AND(COLUMN($R$352)-COLUMN($B$351)=$Q$291,ROW($R$352)-ROW($B$351)=$K$291), U$290, R352), R352))</f>
        <v>0</v>
      </c>
      <c r="S352" s="21">
        <f t="shared" ref="S352:Y352" si="3211">IF($F$290, 0, IF($C$300, IF(AND(COLUMN($R$352)-COLUMN($B$351)=$Q$291,ROW($R$352)-ROW($B$351)=$K$291), V$290, S352), S352))</f>
        <v>0</v>
      </c>
      <c r="T352" s="21">
        <f t="shared" si="3211"/>
        <v>0</v>
      </c>
      <c r="U352" s="21">
        <f t="shared" si="3211"/>
        <v>0</v>
      </c>
      <c r="V352" s="21">
        <f t="shared" si="3211"/>
        <v>0</v>
      </c>
      <c r="W352" s="21">
        <f t="shared" si="3211"/>
        <v>0</v>
      </c>
      <c r="X352" s="21">
        <f t="shared" si="3211"/>
        <v>0</v>
      </c>
      <c r="Y352" s="21">
        <f t="shared" si="3211"/>
        <v>0</v>
      </c>
      <c r="Z352" s="21">
        <f t="shared" ref="Z352:AG352" si="3212">IF($F$290, 0, IF($C$300, IF(AND(COLUMN($Z$352)-COLUMN($B$351)=$Q$291,ROW($Z$352)-ROW($B$351)=$K$291), U$290, Z352), Z352))</f>
        <v>0</v>
      </c>
      <c r="AA352" s="21">
        <f t="shared" si="3212"/>
        <v>0</v>
      </c>
      <c r="AB352" s="21">
        <f t="shared" si="3212"/>
        <v>0</v>
      </c>
      <c r="AC352" s="21">
        <f t="shared" si="3212"/>
        <v>0</v>
      </c>
      <c r="AD352" s="21">
        <f t="shared" si="3212"/>
        <v>0</v>
      </c>
      <c r="AE352" s="21">
        <f t="shared" si="3212"/>
        <v>0</v>
      </c>
      <c r="AF352" s="21">
        <f t="shared" si="3212"/>
        <v>0</v>
      </c>
      <c r="AG352" s="21">
        <f t="shared" si="3212"/>
        <v>0</v>
      </c>
      <c r="AH352" s="21">
        <f t="shared" ref="AH352:AO352" si="3213">IF($F$290, 0, IF($C$300, IF(AND(COLUMN($AH$352)-COLUMN($B$351)=$Q$291,ROW($AH$352)-ROW($B$351)=$K$291), U$290, AH352), AH352))</f>
        <v>0</v>
      </c>
      <c r="AI352" s="21">
        <f t="shared" si="3213"/>
        <v>0</v>
      </c>
      <c r="AJ352" s="21">
        <f t="shared" si="3213"/>
        <v>0</v>
      </c>
      <c r="AK352" s="21">
        <f t="shared" si="3213"/>
        <v>0</v>
      </c>
      <c r="AL352" s="21">
        <f t="shared" si="3213"/>
        <v>0</v>
      </c>
      <c r="AM352" s="21">
        <f t="shared" si="3213"/>
        <v>0</v>
      </c>
      <c r="AN352" s="21">
        <f t="shared" si="3213"/>
        <v>0</v>
      </c>
      <c r="AO352" s="21">
        <f t="shared" si="3213"/>
        <v>0</v>
      </c>
      <c r="AP352" s="21">
        <f t="shared" ref="AP352:AW352" si="3214">IF($F$290, 0, IF($C$300, IF(AND(COLUMN($AP$352)-COLUMN($B$351)=$Q$291,ROW($AP$352)-ROW($B$351)=$K$291), U$290, AP352), AP352))</f>
        <v>0</v>
      </c>
      <c r="AQ352" s="21">
        <f t="shared" si="3214"/>
        <v>0</v>
      </c>
      <c r="AR352" s="21">
        <f t="shared" si="3214"/>
        <v>0</v>
      </c>
      <c r="AS352" s="21">
        <f t="shared" si="3214"/>
        <v>0</v>
      </c>
      <c r="AT352" s="21">
        <f t="shared" si="3214"/>
        <v>0</v>
      </c>
      <c r="AU352" s="21">
        <f t="shared" si="3214"/>
        <v>0</v>
      </c>
      <c r="AV352" s="21">
        <f t="shared" si="3214"/>
        <v>0</v>
      </c>
      <c r="AW352" s="21">
        <f t="shared" si="3214"/>
        <v>0</v>
      </c>
      <c r="AX352" s="21">
        <f t="shared" ref="AX352:BE352" si="3215">IF($F$290, 0, IF($C$300, IF(AND(COLUMN($AX$352)-COLUMN($B$351)=$Q$291,ROW($AX$352)-ROW($B$351)=$K$291), U$290, AX352), AX352))</f>
        <v>0</v>
      </c>
      <c r="AY352" s="21">
        <f t="shared" si="3215"/>
        <v>0</v>
      </c>
      <c r="AZ352" s="21">
        <f t="shared" si="3215"/>
        <v>0</v>
      </c>
      <c r="BA352" s="21">
        <f t="shared" si="3215"/>
        <v>0</v>
      </c>
      <c r="BB352" s="21">
        <f t="shared" si="3215"/>
        <v>0</v>
      </c>
      <c r="BC352" s="21">
        <f t="shared" si="3215"/>
        <v>0</v>
      </c>
      <c r="BD352" s="21">
        <f t="shared" si="3215"/>
        <v>0</v>
      </c>
      <c r="BE352" s="21">
        <f t="shared" si="3215"/>
        <v>0</v>
      </c>
      <c r="BF352" s="21">
        <f t="shared" ref="BF352:BM352" si="3216">IF($F$290, 0, IF($C$300, IF(AND(COLUMN($BF$352)-COLUMN($B$351)=$Q$291,ROW($BF$352)-ROW($B$351)=$K$291), U$290, BF352), BF352))</f>
        <v>0</v>
      </c>
      <c r="BG352" s="21">
        <f t="shared" si="3216"/>
        <v>0</v>
      </c>
      <c r="BH352" s="21">
        <f t="shared" si="3216"/>
        <v>0</v>
      </c>
      <c r="BI352" s="21">
        <f t="shared" si="3216"/>
        <v>0</v>
      </c>
      <c r="BJ352" s="21">
        <f t="shared" si="3216"/>
        <v>0</v>
      </c>
      <c r="BK352" s="21">
        <f t="shared" si="3216"/>
        <v>0</v>
      </c>
      <c r="BL352" s="21">
        <f t="shared" si="3216"/>
        <v>0</v>
      </c>
      <c r="BM352" s="21">
        <f t="shared" si="3216"/>
        <v>0</v>
      </c>
      <c r="BN352" s="21">
        <f t="shared" ref="BN352:BU352" si="3217">IF($F$290, 0, IF($D$300, IF(AND(COLUMN($BN$352)-COLUMN($BN$351)=$Q$291,ROW($BN$352)-ROW($BN$351)=$K$291), U$290, BN352), BN352))</f>
        <v>0</v>
      </c>
      <c r="BO352" s="21">
        <f t="shared" si="3217"/>
        <v>0</v>
      </c>
      <c r="BP352" s="21">
        <f t="shared" si="3217"/>
        <v>0</v>
      </c>
      <c r="BQ352" s="21">
        <f t="shared" si="3217"/>
        <v>0</v>
      </c>
      <c r="BR352" s="21">
        <f t="shared" si="3217"/>
        <v>0</v>
      </c>
      <c r="BS352" s="21">
        <f t="shared" si="3217"/>
        <v>0</v>
      </c>
      <c r="BT352" s="21">
        <f t="shared" si="3217"/>
        <v>0</v>
      </c>
      <c r="BU352" s="21">
        <f t="shared" si="3217"/>
        <v>0</v>
      </c>
      <c r="BV352" s="21">
        <f t="shared" ref="BV352:CC352" si="3218">IF($F$290, 0, IF($D$300, IF(AND(COLUMN($BV$352)-COLUMN($BN$351)=$Q$291,ROW($BV$352)-ROW($BN$351)=$K$291), U$290, BV352), BV352))</f>
        <v>0</v>
      </c>
      <c r="BW352" s="21">
        <f t="shared" si="3218"/>
        <v>0</v>
      </c>
      <c r="BX352" s="21">
        <f t="shared" si="3218"/>
        <v>0</v>
      </c>
      <c r="BY352" s="21">
        <f t="shared" si="3218"/>
        <v>0</v>
      </c>
      <c r="BZ352" s="21">
        <f t="shared" si="3218"/>
        <v>0</v>
      </c>
      <c r="CA352" s="21">
        <f t="shared" si="3218"/>
        <v>0</v>
      </c>
      <c r="CB352" s="21">
        <f t="shared" si="3218"/>
        <v>0</v>
      </c>
      <c r="CC352" s="21">
        <f t="shared" si="3218"/>
        <v>0</v>
      </c>
      <c r="CD352" s="21">
        <f t="shared" ref="CD352:CK352" si="3219">IF($F$290, 0, IF($D$300, IF(AND(COLUMN($CD$352)-COLUMN($BN$351)=$Q$291,ROW($CD$352)-ROW($BN$351)=$K$291), U$290, CD352), CD352))</f>
        <v>0</v>
      </c>
      <c r="CE352" s="21">
        <f t="shared" si="3219"/>
        <v>0</v>
      </c>
      <c r="CF352" s="21">
        <f t="shared" si="3219"/>
        <v>0</v>
      </c>
      <c r="CG352" s="21">
        <f t="shared" si="3219"/>
        <v>0</v>
      </c>
      <c r="CH352" s="21">
        <f t="shared" si="3219"/>
        <v>0</v>
      </c>
      <c r="CI352" s="21">
        <f t="shared" si="3219"/>
        <v>0</v>
      </c>
      <c r="CJ352" s="21">
        <f t="shared" si="3219"/>
        <v>0</v>
      </c>
      <c r="CK352" s="21">
        <f t="shared" si="3219"/>
        <v>0</v>
      </c>
      <c r="CL352" s="21">
        <f t="shared" ref="CL352:CS352" si="3220">IF($F$290, 0, IF($D$300, IF(AND(COLUMN($CL$352)-COLUMN($BN$351)=$Q$291,ROW($CL$352)-ROW($BN$351)=$K$291), U$290, CL352), CL352))</f>
        <v>0</v>
      </c>
      <c r="CM352" s="21">
        <f t="shared" si="3220"/>
        <v>0</v>
      </c>
      <c r="CN352" s="21">
        <f t="shared" si="3220"/>
        <v>0</v>
      </c>
      <c r="CO352" s="21">
        <f t="shared" si="3220"/>
        <v>0</v>
      </c>
      <c r="CP352" s="21">
        <f t="shared" si="3220"/>
        <v>0</v>
      </c>
      <c r="CQ352" s="21">
        <f t="shared" si="3220"/>
        <v>0</v>
      </c>
      <c r="CR352" s="21">
        <f t="shared" si="3220"/>
        <v>0</v>
      </c>
      <c r="CS352" s="21">
        <f t="shared" si="3220"/>
        <v>0</v>
      </c>
      <c r="CT352" s="21">
        <f t="shared" ref="CT352:DA352" si="3221">IF($F$290, 0, IF($D$300, IF(AND(COLUMN($CT$352)-COLUMN($BN$351)=$Q$291,ROW($CT$352)-ROW($BN$351)=$K$291), U$290, CT352), CT352))</f>
        <v>0</v>
      </c>
      <c r="CU352" s="21">
        <f t="shared" si="3221"/>
        <v>0</v>
      </c>
      <c r="CV352" s="21">
        <f t="shared" si="3221"/>
        <v>0</v>
      </c>
      <c r="CW352" s="21">
        <f t="shared" si="3221"/>
        <v>0</v>
      </c>
      <c r="CX352" s="21">
        <f t="shared" si="3221"/>
        <v>0</v>
      </c>
      <c r="CY352" s="21">
        <f t="shared" si="3221"/>
        <v>0</v>
      </c>
      <c r="CZ352" s="21">
        <f t="shared" si="3221"/>
        <v>0</v>
      </c>
      <c r="DA352" s="21">
        <f t="shared" si="3221"/>
        <v>0</v>
      </c>
      <c r="DB352" s="21">
        <f t="shared" ref="DB352:DI352" si="3222">IF($F$290, 0, IF($D$300, IF(AND(COLUMN($DB$352)-COLUMN($BN$351)=$Q$291,ROW($DB$352)-ROW($BN$351)=$K$291), U$290, DB352), DB352))</f>
        <v>0</v>
      </c>
      <c r="DC352" s="21">
        <f t="shared" si="3222"/>
        <v>0</v>
      </c>
      <c r="DD352" s="21">
        <f t="shared" si="3222"/>
        <v>0</v>
      </c>
      <c r="DE352" s="21">
        <f t="shared" si="3222"/>
        <v>0</v>
      </c>
      <c r="DF352" s="21">
        <f t="shared" si="3222"/>
        <v>0</v>
      </c>
      <c r="DG352" s="21">
        <f t="shared" si="3222"/>
        <v>0</v>
      </c>
      <c r="DH352" s="21">
        <f t="shared" si="3222"/>
        <v>0</v>
      </c>
      <c r="DI352" s="21">
        <f t="shared" si="3222"/>
        <v>0</v>
      </c>
      <c r="DJ352" s="21">
        <f t="shared" ref="DJ352:DQ352" si="3223">IF($F$290, 0, IF($D$300, IF(AND(COLUMN($DJ$352)-COLUMN($BN$351)=$Q$291,ROW($DJ$352)-ROW($BN$351)=$K$291), U$290, DJ352), DJ352))</f>
        <v>0</v>
      </c>
      <c r="DK352" s="21">
        <f t="shared" si="3223"/>
        <v>0</v>
      </c>
      <c r="DL352" s="21">
        <f t="shared" si="3223"/>
        <v>0</v>
      </c>
      <c r="DM352" s="21">
        <f t="shared" si="3223"/>
        <v>0</v>
      </c>
      <c r="DN352" s="21">
        <f t="shared" si="3223"/>
        <v>0</v>
      </c>
      <c r="DO352" s="21">
        <f t="shared" si="3223"/>
        <v>0</v>
      </c>
      <c r="DP352" s="21">
        <f t="shared" si="3223"/>
        <v>0</v>
      </c>
      <c r="DQ352" s="21">
        <f t="shared" si="3223"/>
        <v>0</v>
      </c>
      <c r="DR352" s="21">
        <f t="shared" ref="DR352:DY352" si="3224">IF($F$290, 0, IF($D$300, IF(AND(COLUMN($DR$352)-COLUMN($BN$351)=$Q$291,ROW($DR$352)-ROW($BN$351)=$K$291), U$290, DR352), DR352))</f>
        <v>0</v>
      </c>
      <c r="DS352" s="21">
        <f t="shared" si="3224"/>
        <v>0</v>
      </c>
      <c r="DT352" s="21">
        <f t="shared" si="3224"/>
        <v>0</v>
      </c>
      <c r="DU352" s="21">
        <f t="shared" si="3224"/>
        <v>0</v>
      </c>
      <c r="DV352" s="21">
        <f t="shared" si="3224"/>
        <v>0</v>
      </c>
      <c r="DW352" s="21">
        <f t="shared" si="3224"/>
        <v>0</v>
      </c>
      <c r="DX352" s="21">
        <f t="shared" si="3224"/>
        <v>0</v>
      </c>
      <c r="DY352" s="21">
        <f t="shared" si="3224"/>
        <v>0</v>
      </c>
      <c r="DZ352" s="21">
        <f t="shared" ref="DZ352:EG352" si="3225">IF($F$290, 0, IF($E$300, IF(AND(COLUMN($DZ$352)-COLUMN($DZ$351)=$Q$291,ROW($DZ$352)-ROW($DZ$351)=$K$291), U$290, DZ352), DZ352))</f>
        <v>0</v>
      </c>
      <c r="EA352" s="21">
        <f t="shared" si="3225"/>
        <v>0</v>
      </c>
      <c r="EB352" s="21">
        <f t="shared" si="3225"/>
        <v>0</v>
      </c>
      <c r="EC352" s="21">
        <f t="shared" si="3225"/>
        <v>0</v>
      </c>
      <c r="ED352" s="21">
        <f t="shared" si="3225"/>
        <v>0</v>
      </c>
      <c r="EE352" s="21">
        <f t="shared" si="3225"/>
        <v>0</v>
      </c>
      <c r="EF352" s="21">
        <f t="shared" si="3225"/>
        <v>0</v>
      </c>
      <c r="EG352" s="21">
        <f t="shared" si="3225"/>
        <v>0</v>
      </c>
      <c r="EH352" s="21">
        <f t="shared" ref="EH352:EO352" si="3226">IF($F$290, 0, IF($E$300, IF(AND(COLUMN($EH$352)-COLUMN($DZ$351)=$Q$291,ROW($EH$352)-ROW($DZ$351)=$K$291), U$290, EH352), EH352))</f>
        <v>0</v>
      </c>
      <c r="EI352" s="21">
        <f t="shared" si="3226"/>
        <v>0</v>
      </c>
      <c r="EJ352" s="21">
        <f t="shared" si="3226"/>
        <v>0</v>
      </c>
      <c r="EK352" s="21">
        <f t="shared" si="3226"/>
        <v>0</v>
      </c>
      <c r="EL352" s="21">
        <f t="shared" si="3226"/>
        <v>0</v>
      </c>
      <c r="EM352" s="21">
        <f t="shared" si="3226"/>
        <v>0</v>
      </c>
      <c r="EN352" s="21">
        <f t="shared" si="3226"/>
        <v>0</v>
      </c>
      <c r="EO352" s="21">
        <f t="shared" si="3226"/>
        <v>0</v>
      </c>
      <c r="EP352" s="21">
        <f t="shared" ref="EP352:EW352" si="3227">IF($F$290, 0, IF($E$300, IF(AND(COLUMN($EP$352)-COLUMN($DZ$351)=$Q$291,ROW($EP$352)-ROW($DZ$351)=$K$291), U$290, EP352), EP352))</f>
        <v>0</v>
      </c>
      <c r="EQ352" s="21">
        <f t="shared" si="3227"/>
        <v>0</v>
      </c>
      <c r="ER352" s="21">
        <f t="shared" si="3227"/>
        <v>0</v>
      </c>
      <c r="ES352" s="21">
        <f t="shared" si="3227"/>
        <v>0</v>
      </c>
      <c r="ET352" s="21">
        <f t="shared" si="3227"/>
        <v>0</v>
      </c>
      <c r="EU352" s="21">
        <f t="shared" si="3227"/>
        <v>0</v>
      </c>
      <c r="EV352" s="21">
        <f t="shared" si="3227"/>
        <v>0</v>
      </c>
      <c r="EW352" s="21">
        <f t="shared" si="3227"/>
        <v>0</v>
      </c>
      <c r="EX352" s="21">
        <f t="shared" ref="EX352:FE352" si="3228">IF($F$290, 0, IF($E$300, IF(AND(COLUMN($EX$352)-COLUMN($DZ$351)=$Q$291,ROW($EX$352)-ROW($DZ$351)=$K$291), U$290, EX352), EX352))</f>
        <v>0</v>
      </c>
      <c r="EY352" s="21">
        <f t="shared" si="3228"/>
        <v>0</v>
      </c>
      <c r="EZ352" s="21">
        <f t="shared" si="3228"/>
        <v>0</v>
      </c>
      <c r="FA352" s="21">
        <f t="shared" si="3228"/>
        <v>0</v>
      </c>
      <c r="FB352" s="21">
        <f t="shared" si="3228"/>
        <v>0</v>
      </c>
      <c r="FC352" s="21">
        <f t="shared" si="3228"/>
        <v>0</v>
      </c>
      <c r="FD352" s="21">
        <f t="shared" si="3228"/>
        <v>0</v>
      </c>
      <c r="FE352" s="21">
        <f t="shared" si="3228"/>
        <v>0</v>
      </c>
      <c r="FF352" s="21">
        <f t="shared" ref="FF352:FM352" si="3229">IF($F$290, 0, IF($E$300, IF(AND(COLUMN($FF$352)-COLUMN($DZ$351)=$Q$291,ROW($FF$352)-ROW($DZ$351)=$K$291), U$290, FF352), FF352))</f>
        <v>0</v>
      </c>
      <c r="FG352" s="21">
        <f t="shared" si="3229"/>
        <v>0</v>
      </c>
      <c r="FH352" s="21">
        <f t="shared" si="3229"/>
        <v>0</v>
      </c>
      <c r="FI352" s="21">
        <f t="shared" si="3229"/>
        <v>0</v>
      </c>
      <c r="FJ352" s="21">
        <f t="shared" si="3229"/>
        <v>0</v>
      </c>
      <c r="FK352" s="21">
        <f t="shared" si="3229"/>
        <v>0</v>
      </c>
      <c r="FL352" s="21">
        <f t="shared" si="3229"/>
        <v>0</v>
      </c>
      <c r="FM352" s="21">
        <f t="shared" si="3229"/>
        <v>0</v>
      </c>
      <c r="FN352" s="21">
        <f t="shared" ref="FN352:FU352" si="3230">IF($F$290, 0, IF($E$300, IF(AND(COLUMN($FN$352)-COLUMN($DZ$351)=$Q$291,ROW($FN$352)-ROW($DZ$351)=$K$291), U$290, FN352), FN352))</f>
        <v>0</v>
      </c>
      <c r="FO352" s="21">
        <f t="shared" si="3230"/>
        <v>0</v>
      </c>
      <c r="FP352" s="21">
        <f t="shared" si="3230"/>
        <v>0</v>
      </c>
      <c r="FQ352" s="21">
        <f t="shared" si="3230"/>
        <v>0</v>
      </c>
      <c r="FR352" s="21">
        <f t="shared" si="3230"/>
        <v>0</v>
      </c>
      <c r="FS352" s="21">
        <f t="shared" si="3230"/>
        <v>0</v>
      </c>
      <c r="FT352" s="21">
        <f t="shared" si="3230"/>
        <v>0</v>
      </c>
      <c r="FU352" s="21">
        <f t="shared" si="3230"/>
        <v>0</v>
      </c>
      <c r="FV352" s="21">
        <f t="shared" ref="FV352:GC352" si="3231">IF($F$290, 0, IF($E$300, IF(AND(COLUMN($FV$352)-COLUMN($DZ$351)=$Q$291,ROW($FV$352)-ROW($DZ$351)=$K$291), U$290, FV352), FV352))</f>
        <v>0</v>
      </c>
      <c r="FW352" s="21">
        <f t="shared" si="3231"/>
        <v>0</v>
      </c>
      <c r="FX352" s="21">
        <f t="shared" si="3231"/>
        <v>0</v>
      </c>
      <c r="FY352" s="21">
        <f t="shared" si="3231"/>
        <v>0</v>
      </c>
      <c r="FZ352" s="21">
        <f t="shared" si="3231"/>
        <v>0</v>
      </c>
      <c r="GA352" s="21">
        <f t="shared" si="3231"/>
        <v>0</v>
      </c>
      <c r="GB352" s="21">
        <f t="shared" si="3231"/>
        <v>0</v>
      </c>
      <c r="GC352" s="21">
        <f t="shared" si="3231"/>
        <v>0</v>
      </c>
      <c r="GD352" s="21">
        <f t="shared" ref="GD352:GK352" si="3232">IF($F$290, 0, IF($E$300, IF(AND(COLUMN($GD$352)-COLUMN($DZ$351)=$Q$291,ROW($GD$352)-ROW($DZ$351)=$K$291), U$290, GD352), GD352))</f>
        <v>0</v>
      </c>
      <c r="GE352" s="21">
        <f t="shared" si="3232"/>
        <v>0</v>
      </c>
      <c r="GF352" s="21">
        <f t="shared" si="3232"/>
        <v>0</v>
      </c>
      <c r="GG352" s="21">
        <f t="shared" si="3232"/>
        <v>0</v>
      </c>
      <c r="GH352" s="21">
        <f t="shared" si="3232"/>
        <v>0</v>
      </c>
      <c r="GI352" s="21">
        <f t="shared" si="3232"/>
        <v>0</v>
      </c>
      <c r="GJ352" s="21">
        <f t="shared" si="3232"/>
        <v>0</v>
      </c>
      <c r="GK352" s="21">
        <f t="shared" si="3232"/>
        <v>0</v>
      </c>
      <c r="GL352" s="21">
        <f t="shared" ref="GL352:GS352" si="3233">IF($F$290, 0, IF($F$300, IF(AND(COLUMN($GL$352)-COLUMN($GL$351)=$Q$291,ROW($GL$352)-ROW($GL$351)=$K$291), U$290, GL352), GL352))</f>
        <v>0</v>
      </c>
      <c r="GM352" s="21">
        <f t="shared" si="3233"/>
        <v>0</v>
      </c>
      <c r="GN352" s="21">
        <f t="shared" si="3233"/>
        <v>0</v>
      </c>
      <c r="GO352" s="21">
        <f t="shared" si="3233"/>
        <v>0</v>
      </c>
      <c r="GP352" s="21">
        <f t="shared" si="3233"/>
        <v>0</v>
      </c>
      <c r="GQ352" s="21">
        <f t="shared" si="3233"/>
        <v>0</v>
      </c>
      <c r="GR352" s="21">
        <f t="shared" si="3233"/>
        <v>0</v>
      </c>
      <c r="GS352" s="21">
        <f t="shared" si="3233"/>
        <v>0</v>
      </c>
      <c r="GT352" s="21">
        <f t="shared" ref="GT352:HA352" si="3234">IF($F$290, 0, IF($F$300, IF(AND(COLUMN($GT$352)-COLUMN($GL$351)=$Q$291,ROW($GT$352)-ROW($GL$351)=$K$291), U$290, GT352), GT352))</f>
        <v>0</v>
      </c>
      <c r="GU352" s="21">
        <f t="shared" si="3234"/>
        <v>0</v>
      </c>
      <c r="GV352" s="21">
        <f t="shared" si="3234"/>
        <v>0</v>
      </c>
      <c r="GW352" s="21">
        <f t="shared" si="3234"/>
        <v>0</v>
      </c>
      <c r="GX352" s="21">
        <f t="shared" si="3234"/>
        <v>0</v>
      </c>
      <c r="GY352" s="21">
        <f t="shared" si="3234"/>
        <v>0</v>
      </c>
      <c r="GZ352" s="21">
        <f t="shared" si="3234"/>
        <v>0</v>
      </c>
      <c r="HA352" s="21">
        <f t="shared" si="3234"/>
        <v>0</v>
      </c>
      <c r="HB352" s="21">
        <f t="shared" ref="HB352:HI352" si="3235">IF($F$290, 0, IF($F$300, IF(AND(COLUMN($HB$352)-COLUMN($GL$351)=$Q$291,ROW($HB$352)-ROW($GL$351)=$K$291), U$290, HB352), HB352))</f>
        <v>0</v>
      </c>
      <c r="HC352" s="21">
        <f t="shared" si="3235"/>
        <v>0</v>
      </c>
      <c r="HD352" s="21">
        <f t="shared" si="3235"/>
        <v>0</v>
      </c>
      <c r="HE352" s="21">
        <f t="shared" si="3235"/>
        <v>0</v>
      </c>
      <c r="HF352" s="21">
        <f t="shared" si="3235"/>
        <v>0</v>
      </c>
      <c r="HG352" s="21">
        <f t="shared" si="3235"/>
        <v>0</v>
      </c>
      <c r="HH352" s="21">
        <f t="shared" si="3235"/>
        <v>0</v>
      </c>
      <c r="HI352" s="21">
        <f t="shared" si="3235"/>
        <v>0</v>
      </c>
      <c r="HJ352" s="21">
        <f t="shared" ref="HJ352:HQ352" si="3236">IF($F$290, 0, IF($F$300, IF(AND(COLUMN($HJ$352)-COLUMN($GL$351)=$Q$291,ROW($HJ$352)-ROW($GL$351)=$K$291), U$290, HJ352), HJ352))</f>
        <v>0</v>
      </c>
      <c r="HK352" s="21">
        <f t="shared" si="3236"/>
        <v>0</v>
      </c>
      <c r="HL352" s="21">
        <f t="shared" si="3236"/>
        <v>0</v>
      </c>
      <c r="HM352" s="21">
        <f t="shared" si="3236"/>
        <v>0</v>
      </c>
      <c r="HN352" s="21">
        <f t="shared" si="3236"/>
        <v>0</v>
      </c>
      <c r="HO352" s="21">
        <f t="shared" si="3236"/>
        <v>0</v>
      </c>
      <c r="HP352" s="21">
        <f t="shared" si="3236"/>
        <v>0</v>
      </c>
      <c r="HQ352" s="21">
        <f t="shared" si="3236"/>
        <v>0</v>
      </c>
      <c r="HR352" s="21">
        <f t="shared" ref="HR352:HY352" si="3237">IF($F$290, 0, IF($F$300, IF(AND(COLUMN($HR$352)-COLUMN($GL$351)=$Q$291,ROW($HR$352)-ROW($GL$351)=$K$291), U$290, HR352), HR352))</f>
        <v>0</v>
      </c>
      <c r="HS352" s="21">
        <f t="shared" si="3237"/>
        <v>0</v>
      </c>
      <c r="HT352" s="21">
        <f t="shared" si="3237"/>
        <v>0</v>
      </c>
      <c r="HU352" s="21">
        <f t="shared" si="3237"/>
        <v>0</v>
      </c>
      <c r="HV352" s="21">
        <f t="shared" si="3237"/>
        <v>0</v>
      </c>
      <c r="HW352" s="21">
        <f t="shared" si="3237"/>
        <v>0</v>
      </c>
      <c r="HX352" s="21">
        <f t="shared" si="3237"/>
        <v>0</v>
      </c>
      <c r="HY352" s="21">
        <f t="shared" si="3237"/>
        <v>0</v>
      </c>
      <c r="HZ352" s="21">
        <f t="shared" ref="HZ352:IG352" si="3238">IF($F$290, 0, IF($F$300, IF(AND(COLUMN($HZ$352)-COLUMN($GL$351)=$Q$291,ROW($HZ$352)-ROW($GL$351)=$K$291), U$290, HZ352), HZ352))</f>
        <v>0</v>
      </c>
      <c r="IA352" s="21">
        <f t="shared" si="3238"/>
        <v>0</v>
      </c>
      <c r="IB352" s="21">
        <f t="shared" si="3238"/>
        <v>0</v>
      </c>
      <c r="IC352" s="21">
        <f t="shared" si="3238"/>
        <v>0</v>
      </c>
      <c r="ID352" s="21">
        <f t="shared" si="3238"/>
        <v>0</v>
      </c>
      <c r="IE352" s="21">
        <f t="shared" si="3238"/>
        <v>0</v>
      </c>
      <c r="IF352" s="21">
        <f t="shared" si="3238"/>
        <v>0</v>
      </c>
      <c r="IG352" s="21">
        <f t="shared" si="3238"/>
        <v>0</v>
      </c>
      <c r="IH352" s="21">
        <f t="shared" ref="IH352:IO352" si="3239">IF($F$290, 0, IF($F$300, IF(AND(COLUMN($IH$352)-COLUMN($GL$351)=$Q$291,ROW($IH$352)-ROW($GL$351)=$K$291), U$290, IH352), IH352))</f>
        <v>0</v>
      </c>
      <c r="II352" s="21">
        <f t="shared" si="3239"/>
        <v>0</v>
      </c>
      <c r="IJ352" s="21">
        <f t="shared" si="3239"/>
        <v>0</v>
      </c>
      <c r="IK352" s="21">
        <f t="shared" si="3239"/>
        <v>0</v>
      </c>
      <c r="IL352" s="21">
        <f t="shared" si="3239"/>
        <v>0</v>
      </c>
      <c r="IM352" s="21">
        <f t="shared" si="3239"/>
        <v>0</v>
      </c>
      <c r="IN352" s="21">
        <f t="shared" si="3239"/>
        <v>0</v>
      </c>
      <c r="IO352" s="21">
        <f t="shared" si="3239"/>
        <v>0</v>
      </c>
      <c r="IP352" s="21">
        <f t="shared" ref="IP352:IW352" si="3240">IF($F$290, 0, IF($F$300, IF(AND(COLUMN($IP$352)-COLUMN($GL$351)=$Q$291,ROW($IP$352)-ROW($GL$351)=$K$291), U$290, IP352), IP352))</f>
        <v>0</v>
      </c>
      <c r="IQ352" s="21">
        <f t="shared" si="3240"/>
        <v>0</v>
      </c>
      <c r="IR352" s="21">
        <f t="shared" si="3240"/>
        <v>0</v>
      </c>
      <c r="IS352" s="21">
        <f t="shared" si="3240"/>
        <v>0</v>
      </c>
      <c r="IT352" s="21">
        <f t="shared" si="3240"/>
        <v>0</v>
      </c>
      <c r="IU352" s="21">
        <f t="shared" si="3240"/>
        <v>0</v>
      </c>
      <c r="IV352" s="21">
        <f t="shared" si="3240"/>
        <v>0</v>
      </c>
      <c r="IW352" s="21">
        <f t="shared" si="3240"/>
        <v>0</v>
      </c>
      <c r="IX352" s="21">
        <f t="shared" ref="IX352:JE352" si="3241">IF($F$290, 0, IF($G$300, IF(AND(COLUMN($IX$352)-COLUMN($IX$351)=$Q$291,ROW($IX$352)-ROW($IX$351)=$K$291), U$290, IX352), IX352))</f>
        <v>0</v>
      </c>
      <c r="IY352" s="21">
        <f t="shared" si="3241"/>
        <v>0</v>
      </c>
      <c r="IZ352" s="21">
        <f t="shared" si="3241"/>
        <v>0</v>
      </c>
      <c r="JA352" s="21">
        <f t="shared" si="3241"/>
        <v>0</v>
      </c>
      <c r="JB352" s="21">
        <f t="shared" si="3241"/>
        <v>0</v>
      </c>
      <c r="JC352" s="21">
        <f t="shared" si="3241"/>
        <v>0</v>
      </c>
      <c r="JD352" s="21">
        <f t="shared" si="3241"/>
        <v>0</v>
      </c>
      <c r="JE352" s="21">
        <f t="shared" si="3241"/>
        <v>0</v>
      </c>
      <c r="JF352" s="21">
        <f t="shared" ref="JF352:JM352" si="3242">IF($F$290, 0, IF($G$300, IF(AND(COLUMN($JF$352)-COLUMN($IX$351)=$Q$291,ROW($JF$352)-ROW($IX$351)=$K$291), U$290, JF352), JF352))</f>
        <v>0</v>
      </c>
      <c r="JG352" s="21">
        <f t="shared" si="3242"/>
        <v>0</v>
      </c>
      <c r="JH352" s="21">
        <f t="shared" si="3242"/>
        <v>0</v>
      </c>
      <c r="JI352" s="21">
        <f t="shared" si="3242"/>
        <v>0</v>
      </c>
      <c r="JJ352" s="21">
        <f t="shared" si="3242"/>
        <v>0</v>
      </c>
      <c r="JK352" s="21">
        <f t="shared" si="3242"/>
        <v>0</v>
      </c>
      <c r="JL352" s="21">
        <f t="shared" si="3242"/>
        <v>0</v>
      </c>
      <c r="JM352" s="21">
        <f t="shared" si="3242"/>
        <v>0</v>
      </c>
      <c r="JN352" s="21">
        <f t="shared" ref="JN352:JU352" si="3243">IF($F$290, 0, IF($G$300, IF(AND(COLUMN($JN$352)-COLUMN($IX$351)=$Q$291,ROW($JN$352)-ROW($IX$351)=$K$291), U$290, JN352), JN352))</f>
        <v>0</v>
      </c>
      <c r="JO352" s="21">
        <f t="shared" si="3243"/>
        <v>0</v>
      </c>
      <c r="JP352" s="21">
        <f t="shared" si="3243"/>
        <v>0</v>
      </c>
      <c r="JQ352" s="21">
        <f t="shared" si="3243"/>
        <v>0</v>
      </c>
      <c r="JR352" s="21">
        <f t="shared" si="3243"/>
        <v>0</v>
      </c>
      <c r="JS352" s="21">
        <f t="shared" si="3243"/>
        <v>0</v>
      </c>
      <c r="JT352" s="21">
        <f t="shared" si="3243"/>
        <v>0</v>
      </c>
      <c r="JU352" s="21">
        <f t="shared" si="3243"/>
        <v>0</v>
      </c>
      <c r="JV352" s="21">
        <f t="shared" ref="JV352:KC352" si="3244">IF($F$290, 0, IF($G$300, IF(AND(COLUMN($JV$352)-COLUMN($IX$351)=$Q$291,ROW($JV$352)-ROW($IX$351)=$K$291), U$290, JV352), JV352))</f>
        <v>0</v>
      </c>
      <c r="JW352" s="21">
        <f t="shared" si="3244"/>
        <v>0</v>
      </c>
      <c r="JX352" s="21">
        <f t="shared" si="3244"/>
        <v>0</v>
      </c>
      <c r="JY352" s="21">
        <f t="shared" si="3244"/>
        <v>0</v>
      </c>
      <c r="JZ352" s="21">
        <f t="shared" si="3244"/>
        <v>0</v>
      </c>
      <c r="KA352" s="21">
        <f t="shared" si="3244"/>
        <v>0</v>
      </c>
      <c r="KB352" s="21">
        <f t="shared" si="3244"/>
        <v>0</v>
      </c>
      <c r="KC352" s="21">
        <f t="shared" si="3244"/>
        <v>0</v>
      </c>
      <c r="KD352" s="21">
        <f t="shared" ref="KD352:KK352" si="3245">IF($F$290, 0, IF($G$300, IF(AND(COLUMN($KD$352)-COLUMN($IX$351)=$Q$291,ROW($KD$352)-ROW($IX$351)=$K$291), U$290, KD352), KD352))</f>
        <v>0</v>
      </c>
      <c r="KE352" s="21">
        <f t="shared" si="3245"/>
        <v>0</v>
      </c>
      <c r="KF352" s="21">
        <f t="shared" si="3245"/>
        <v>0</v>
      </c>
      <c r="KG352" s="21">
        <f t="shared" si="3245"/>
        <v>0</v>
      </c>
      <c r="KH352" s="21">
        <f t="shared" si="3245"/>
        <v>0</v>
      </c>
      <c r="KI352" s="21">
        <f t="shared" si="3245"/>
        <v>0</v>
      </c>
      <c r="KJ352" s="21">
        <f t="shared" si="3245"/>
        <v>0</v>
      </c>
      <c r="KK352" s="21">
        <f t="shared" si="3245"/>
        <v>0</v>
      </c>
      <c r="KL352" s="21">
        <f t="shared" ref="KL352:KS352" si="3246">IF($F$290, 0, IF($G$300, IF(AND(COLUMN($KL$352)-COLUMN($IX$351)=$Q$291,ROW($KL$352)-ROW($IX$351)=$K$291), U$290, KL352), KL352))</f>
        <v>0</v>
      </c>
      <c r="KM352" s="21">
        <f t="shared" si="3246"/>
        <v>0</v>
      </c>
      <c r="KN352" s="21">
        <f t="shared" si="3246"/>
        <v>0</v>
      </c>
      <c r="KO352" s="21">
        <f t="shared" si="3246"/>
        <v>0</v>
      </c>
      <c r="KP352" s="21">
        <f t="shared" si="3246"/>
        <v>0</v>
      </c>
      <c r="KQ352" s="21">
        <f t="shared" si="3246"/>
        <v>0</v>
      </c>
      <c r="KR352" s="21">
        <f t="shared" si="3246"/>
        <v>0</v>
      </c>
      <c r="KS352" s="21">
        <f t="shared" si="3246"/>
        <v>0</v>
      </c>
      <c r="KT352" s="21">
        <f t="shared" ref="KT352:LA352" si="3247">IF($F$290, 0, IF($G$300, IF(AND(COLUMN($KT$352)-COLUMN($IX$351)=$Q$291,ROW($KT$352)-ROW($IX$351)=$K$291), U$290, KT352), KT352))</f>
        <v>0</v>
      </c>
      <c r="KU352" s="21">
        <f t="shared" si="3247"/>
        <v>0</v>
      </c>
      <c r="KV352" s="21">
        <f t="shared" si="3247"/>
        <v>0</v>
      </c>
      <c r="KW352" s="21">
        <f t="shared" si="3247"/>
        <v>0</v>
      </c>
      <c r="KX352" s="21">
        <f t="shared" si="3247"/>
        <v>0</v>
      </c>
      <c r="KY352" s="21">
        <f t="shared" si="3247"/>
        <v>0</v>
      </c>
      <c r="KZ352" s="21">
        <f t="shared" si="3247"/>
        <v>0</v>
      </c>
      <c r="LA352" s="21">
        <f t="shared" si="3247"/>
        <v>0</v>
      </c>
      <c r="LB352" s="21">
        <f t="shared" ref="LB352:LI352" si="3248">IF($F$290, 0, IF($G$300, IF(AND(COLUMN($LB$352)-COLUMN($IX$351)=$Q$291,ROW($LB$352)-ROW($IX$351)=$K$291), U$290, LB352), LB352))</f>
        <v>0</v>
      </c>
      <c r="LC352" s="21">
        <f t="shared" si="3248"/>
        <v>0</v>
      </c>
      <c r="LD352" s="21">
        <f t="shared" si="3248"/>
        <v>0</v>
      </c>
      <c r="LE352" s="21">
        <f t="shared" si="3248"/>
        <v>0</v>
      </c>
      <c r="LF352" s="21">
        <f t="shared" si="3248"/>
        <v>0</v>
      </c>
      <c r="LG352" s="21">
        <f t="shared" si="3248"/>
        <v>0</v>
      </c>
      <c r="LH352" s="21">
        <f t="shared" si="3248"/>
        <v>0</v>
      </c>
      <c r="LI352" s="21">
        <f t="shared" si="3248"/>
        <v>0</v>
      </c>
      <c r="LJ352" s="21">
        <f t="shared" ref="LJ352:LQ352" si="3249">IF($F$290, 0, IF($H$300, IF(AND(COLUMN($LJ$352)-COLUMN($LJ$351)=$Q$291,ROW($LJ$352)-ROW($LJ$351)=$K$291), U$290, LJ352), LJ352))</f>
        <v>0</v>
      </c>
      <c r="LK352" s="21">
        <f t="shared" si="3249"/>
        <v>0</v>
      </c>
      <c r="LL352" s="21">
        <f t="shared" si="3249"/>
        <v>0</v>
      </c>
      <c r="LM352" s="21">
        <f t="shared" si="3249"/>
        <v>0</v>
      </c>
      <c r="LN352" s="21">
        <f t="shared" si="3249"/>
        <v>0</v>
      </c>
      <c r="LO352" s="21">
        <f t="shared" si="3249"/>
        <v>0</v>
      </c>
      <c r="LP352" s="21">
        <f t="shared" si="3249"/>
        <v>0</v>
      </c>
      <c r="LQ352" s="21">
        <f t="shared" si="3249"/>
        <v>0</v>
      </c>
      <c r="LR352" s="21">
        <f t="shared" ref="LR352:LY352" si="3250">IF($F$290, 0, IF($H$300, IF(AND(COLUMN($LR$352)-COLUMN($LJ$351)=$Q$291,ROW($LR$352)-ROW($LJ$351)=$K$291), U$290, LR352), LR352))</f>
        <v>0</v>
      </c>
      <c r="LS352" s="21">
        <f t="shared" si="3250"/>
        <v>0</v>
      </c>
      <c r="LT352" s="21">
        <f t="shared" si="3250"/>
        <v>0</v>
      </c>
      <c r="LU352" s="21">
        <f t="shared" si="3250"/>
        <v>0</v>
      </c>
      <c r="LV352" s="21">
        <f t="shared" si="3250"/>
        <v>0</v>
      </c>
      <c r="LW352" s="21">
        <f t="shared" si="3250"/>
        <v>0</v>
      </c>
      <c r="LX352" s="21">
        <f t="shared" si="3250"/>
        <v>0</v>
      </c>
      <c r="LY352" s="21">
        <f t="shared" si="3250"/>
        <v>0</v>
      </c>
      <c r="LZ352" s="21">
        <f t="shared" ref="LZ352:MG352" si="3251">IF($F$290, 0, IF($H$300, IF(AND(COLUMN($LZ$352)-COLUMN($LJ$351)=$Q$291,ROW($LZ$352)-ROW($LJ$351)=$K$291), U$290, LZ352), LZ352))</f>
        <v>0</v>
      </c>
      <c r="MA352" s="21">
        <f t="shared" si="3251"/>
        <v>0</v>
      </c>
      <c r="MB352" s="21">
        <f t="shared" si="3251"/>
        <v>0</v>
      </c>
      <c r="MC352" s="21">
        <f t="shared" si="3251"/>
        <v>0</v>
      </c>
      <c r="MD352" s="21">
        <f t="shared" si="3251"/>
        <v>0</v>
      </c>
      <c r="ME352" s="21">
        <f t="shared" si="3251"/>
        <v>0</v>
      </c>
      <c r="MF352" s="21">
        <f t="shared" si="3251"/>
        <v>0</v>
      </c>
      <c r="MG352" s="21">
        <f t="shared" si="3251"/>
        <v>0</v>
      </c>
      <c r="MH352" s="21">
        <f t="shared" ref="MH352:MO352" si="3252">IF($F$290, 0, IF($H$300, IF(AND(COLUMN($MH$352)-COLUMN($LJ$351)=$Q$291,ROW($MH$352)-ROW($LJ$351)=$K$291), U$290, MH352), MH352))</f>
        <v>0</v>
      </c>
      <c r="MI352" s="21">
        <f t="shared" si="3252"/>
        <v>0</v>
      </c>
      <c r="MJ352" s="21">
        <f t="shared" si="3252"/>
        <v>0</v>
      </c>
      <c r="MK352" s="21">
        <f t="shared" si="3252"/>
        <v>0</v>
      </c>
      <c r="ML352" s="21">
        <f t="shared" si="3252"/>
        <v>0</v>
      </c>
      <c r="MM352" s="21">
        <f t="shared" si="3252"/>
        <v>0</v>
      </c>
      <c r="MN352" s="21">
        <f t="shared" si="3252"/>
        <v>0</v>
      </c>
      <c r="MO352" s="21">
        <f t="shared" si="3252"/>
        <v>0</v>
      </c>
      <c r="MP352" s="21">
        <f t="shared" ref="MP352:MW352" si="3253">IF($F$290, 0, IF($H$300, IF(AND(COLUMN($MP$352)-COLUMN($LJ$351)=$Q$291,ROW($MP$352)-ROW($LJ$351)=$K$291), U$290, MP352), MP352))</f>
        <v>0</v>
      </c>
      <c r="MQ352" s="21">
        <f t="shared" si="3253"/>
        <v>0</v>
      </c>
      <c r="MR352" s="21">
        <f t="shared" si="3253"/>
        <v>0</v>
      </c>
      <c r="MS352" s="21">
        <f t="shared" si="3253"/>
        <v>0</v>
      </c>
      <c r="MT352" s="21">
        <f t="shared" si="3253"/>
        <v>0</v>
      </c>
      <c r="MU352" s="21">
        <f t="shared" si="3253"/>
        <v>0</v>
      </c>
      <c r="MV352" s="21">
        <f t="shared" si="3253"/>
        <v>0</v>
      </c>
      <c r="MW352" s="21">
        <f t="shared" si="3253"/>
        <v>0</v>
      </c>
      <c r="MX352" s="21">
        <f t="shared" ref="MX352:NE352" si="3254">IF($F$290, 0, IF($H$300, IF(AND(COLUMN($MX$352)-COLUMN($LJ$351)=$Q$291,ROW($MX$352)-ROW($LJ$351)=$K$291), U$290, MX352), MX352))</f>
        <v>0</v>
      </c>
      <c r="MY352" s="21">
        <f t="shared" si="3254"/>
        <v>0</v>
      </c>
      <c r="MZ352" s="21">
        <f t="shared" si="3254"/>
        <v>0</v>
      </c>
      <c r="NA352" s="21">
        <f t="shared" si="3254"/>
        <v>0</v>
      </c>
      <c r="NB352" s="21">
        <f t="shared" si="3254"/>
        <v>0</v>
      </c>
      <c r="NC352" s="21">
        <f t="shared" si="3254"/>
        <v>0</v>
      </c>
      <c r="ND352" s="21">
        <f t="shared" si="3254"/>
        <v>0</v>
      </c>
      <c r="NE352" s="21">
        <f t="shared" si="3254"/>
        <v>0</v>
      </c>
      <c r="NF352" s="21">
        <f t="shared" ref="NF352:NM352" si="3255">IF($F$290, 0, IF($H$300, IF(AND(COLUMN($NF$352)-COLUMN($LJ$351)=$Q$291,ROW($NF$352)-ROW($LJ$351)=$K$291), U$290, NF352), NF352))</f>
        <v>0</v>
      </c>
      <c r="NG352" s="21">
        <f t="shared" si="3255"/>
        <v>0</v>
      </c>
      <c r="NH352" s="21">
        <f t="shared" si="3255"/>
        <v>0</v>
      </c>
      <c r="NI352" s="21">
        <f t="shared" si="3255"/>
        <v>0</v>
      </c>
      <c r="NJ352" s="21">
        <f t="shared" si="3255"/>
        <v>0</v>
      </c>
      <c r="NK352" s="21">
        <f t="shared" si="3255"/>
        <v>0</v>
      </c>
      <c r="NL352" s="21">
        <f t="shared" si="3255"/>
        <v>0</v>
      </c>
      <c r="NM352" s="21">
        <f t="shared" si="3255"/>
        <v>0</v>
      </c>
      <c r="NN352" s="21">
        <f t="shared" ref="NN352:NU352" si="3256">IF($F$290, 0, IF($H$300, IF(AND(COLUMN($NN$352)-COLUMN($LJ$351)=$Q$291,ROW($NN$352)-ROW($LJ$351)=$K$291), U$290, NN352), NN352))</f>
        <v>0</v>
      </c>
      <c r="NO352" s="21">
        <f t="shared" si="3256"/>
        <v>0</v>
      </c>
      <c r="NP352" s="21">
        <f t="shared" si="3256"/>
        <v>0</v>
      </c>
      <c r="NQ352" s="21">
        <f t="shared" si="3256"/>
        <v>0</v>
      </c>
      <c r="NR352" s="21">
        <f t="shared" si="3256"/>
        <v>0</v>
      </c>
      <c r="NS352" s="21">
        <f t="shared" si="3256"/>
        <v>0</v>
      </c>
      <c r="NT352" s="21">
        <f t="shared" si="3256"/>
        <v>0</v>
      </c>
      <c r="NU352" s="21">
        <f t="shared" si="3256"/>
        <v>0</v>
      </c>
      <c r="NV352" s="21">
        <f t="shared" ref="NV352:OC352" si="3257">IF($F$290, 0, IF($I$300, IF(AND(COLUMN($NV$352)-COLUMN($NV$351)=$Q$291,ROW($NV$352)-ROW($NV$351)=$K$291), U$290, NV352), NV352))</f>
        <v>0</v>
      </c>
      <c r="NW352" s="21">
        <f t="shared" si="3257"/>
        <v>0</v>
      </c>
      <c r="NX352" s="21">
        <f t="shared" si="3257"/>
        <v>0</v>
      </c>
      <c r="NY352" s="21">
        <f t="shared" si="3257"/>
        <v>0</v>
      </c>
      <c r="NZ352" s="21">
        <f t="shared" si="3257"/>
        <v>0</v>
      </c>
      <c r="OA352" s="21">
        <f t="shared" si="3257"/>
        <v>0</v>
      </c>
      <c r="OB352" s="21">
        <f t="shared" si="3257"/>
        <v>0</v>
      </c>
      <c r="OC352" s="21">
        <f t="shared" si="3257"/>
        <v>0</v>
      </c>
      <c r="OD352" s="21">
        <f t="shared" ref="OD352:OK352" si="3258">IF($F$290, 0, IF($I$300, IF(AND(COLUMN($OD$352)-COLUMN($NV$351)=$Q$291,ROW($OD$352)-ROW($NV$351)=$K$291), U$290, OD352), OD352))</f>
        <v>0</v>
      </c>
      <c r="OE352" s="21">
        <f t="shared" si="3258"/>
        <v>0</v>
      </c>
      <c r="OF352" s="21">
        <f t="shared" si="3258"/>
        <v>0</v>
      </c>
      <c r="OG352" s="21">
        <f t="shared" si="3258"/>
        <v>0</v>
      </c>
      <c r="OH352" s="21">
        <f t="shared" si="3258"/>
        <v>0</v>
      </c>
      <c r="OI352" s="21">
        <f t="shared" si="3258"/>
        <v>0</v>
      </c>
      <c r="OJ352" s="21">
        <f t="shared" si="3258"/>
        <v>0</v>
      </c>
      <c r="OK352" s="21">
        <f t="shared" si="3258"/>
        <v>0</v>
      </c>
      <c r="OL352" s="21">
        <f t="shared" ref="OL352:OS352" si="3259">IF($F$290, 0, IF($I$300, IF(AND(COLUMN($OL$352)-COLUMN($NV$351)=$Q$291,ROW($OL$352)-ROW($NV$351)=$K$291), U$290, OL352), OL352))</f>
        <v>0</v>
      </c>
      <c r="OM352" s="21">
        <f t="shared" si="3259"/>
        <v>0</v>
      </c>
      <c r="ON352" s="21">
        <f t="shared" si="3259"/>
        <v>0</v>
      </c>
      <c r="OO352" s="21">
        <f t="shared" si="3259"/>
        <v>0</v>
      </c>
      <c r="OP352" s="21">
        <f t="shared" si="3259"/>
        <v>0</v>
      </c>
      <c r="OQ352" s="21">
        <f t="shared" si="3259"/>
        <v>0</v>
      </c>
      <c r="OR352" s="21">
        <f t="shared" si="3259"/>
        <v>0</v>
      </c>
      <c r="OS352" s="21">
        <f t="shared" si="3259"/>
        <v>0</v>
      </c>
      <c r="OT352" s="21">
        <f t="shared" ref="OT352:PA352" si="3260">IF($F$290, 0, IF($I$300, IF(AND(COLUMN($OT$352)-COLUMN($NV$351)=$Q$291,ROW($OT$352)-ROW($NV$351)=$K$291), U$290, OT352), OT352))</f>
        <v>0</v>
      </c>
      <c r="OU352" s="21">
        <f t="shared" si="3260"/>
        <v>0</v>
      </c>
      <c r="OV352" s="21">
        <f t="shared" si="3260"/>
        <v>0</v>
      </c>
      <c r="OW352" s="21">
        <f t="shared" si="3260"/>
        <v>0</v>
      </c>
      <c r="OX352" s="21">
        <f t="shared" si="3260"/>
        <v>0</v>
      </c>
      <c r="OY352" s="21">
        <f t="shared" si="3260"/>
        <v>0</v>
      </c>
      <c r="OZ352" s="21">
        <f t="shared" si="3260"/>
        <v>0</v>
      </c>
      <c r="PA352" s="21">
        <f t="shared" si="3260"/>
        <v>0</v>
      </c>
      <c r="PB352" s="21">
        <f t="shared" ref="PB352:PI352" si="3261">IF($F$290, 0, IF($I$300, IF(AND(COLUMN($PB$352)-COLUMN($NV$351)=$Q$291,ROW($PB$352)-ROW($NV$351)=$K$291), U$290, PB352), PB352))</f>
        <v>0</v>
      </c>
      <c r="PC352" s="21">
        <f t="shared" si="3261"/>
        <v>0</v>
      </c>
      <c r="PD352" s="21">
        <f t="shared" si="3261"/>
        <v>0</v>
      </c>
      <c r="PE352" s="21">
        <f t="shared" si="3261"/>
        <v>0</v>
      </c>
      <c r="PF352" s="21">
        <f t="shared" si="3261"/>
        <v>0</v>
      </c>
      <c r="PG352" s="21">
        <f t="shared" si="3261"/>
        <v>0</v>
      </c>
      <c r="PH352" s="21">
        <f t="shared" si="3261"/>
        <v>0</v>
      </c>
      <c r="PI352" s="21">
        <f t="shared" si="3261"/>
        <v>0</v>
      </c>
      <c r="PJ352" s="21">
        <f t="shared" ref="PJ352:PQ352" si="3262">IF($F$290, 0, IF($I$300, IF(AND(COLUMN($PJ$352)-COLUMN($NV$351)=$Q$291,ROW($PJ$352)-ROW($NV$351)=$K$291), U$290, PJ352), PJ352))</f>
        <v>0</v>
      </c>
      <c r="PK352" s="21">
        <f t="shared" si="3262"/>
        <v>0</v>
      </c>
      <c r="PL352" s="21">
        <f t="shared" si="3262"/>
        <v>0</v>
      </c>
      <c r="PM352" s="21">
        <f t="shared" si="3262"/>
        <v>0</v>
      </c>
      <c r="PN352" s="21">
        <f t="shared" si="3262"/>
        <v>0</v>
      </c>
      <c r="PO352" s="21">
        <f t="shared" si="3262"/>
        <v>0</v>
      </c>
      <c r="PP352" s="21">
        <f t="shared" si="3262"/>
        <v>0</v>
      </c>
      <c r="PQ352" s="21">
        <f t="shared" si="3262"/>
        <v>0</v>
      </c>
      <c r="PR352" s="21">
        <f t="shared" ref="PR352:PY352" si="3263">IF($F$290, 0, IF($I$300, IF(AND(COLUMN($PR$352)-COLUMN($NV$351)=$Q$291,ROW($PR$352)-ROW($NV$351)=$K$291), U$290, PR352), PR352))</f>
        <v>0</v>
      </c>
      <c r="PS352" s="21">
        <f t="shared" si="3263"/>
        <v>0</v>
      </c>
      <c r="PT352" s="21">
        <f t="shared" si="3263"/>
        <v>0</v>
      </c>
      <c r="PU352" s="21">
        <f t="shared" si="3263"/>
        <v>0</v>
      </c>
      <c r="PV352" s="21">
        <f t="shared" si="3263"/>
        <v>0</v>
      </c>
      <c r="PW352" s="21">
        <f t="shared" si="3263"/>
        <v>0</v>
      </c>
      <c r="PX352" s="21">
        <f t="shared" si="3263"/>
        <v>0</v>
      </c>
      <c r="PY352" s="21">
        <f t="shared" si="3263"/>
        <v>0</v>
      </c>
      <c r="PZ352" s="21">
        <f t="shared" ref="PZ352:QG352" si="3264">IF($F$290, 0, IF($I$300, IF(AND(COLUMN($PZ$352)-COLUMN($NV$351)=$Q$291,ROW($PZ$352)-ROW($NV$351)=$K$291), U$290, PZ352), PZ352))</f>
        <v>0</v>
      </c>
      <c r="QA352" s="21">
        <f t="shared" si="3264"/>
        <v>0</v>
      </c>
      <c r="QB352" s="21">
        <f t="shared" si="3264"/>
        <v>0</v>
      </c>
      <c r="QC352" s="21">
        <f t="shared" si="3264"/>
        <v>0</v>
      </c>
      <c r="QD352" s="21">
        <f t="shared" si="3264"/>
        <v>0</v>
      </c>
      <c r="QE352" s="21">
        <f t="shared" si="3264"/>
        <v>0</v>
      </c>
      <c r="QF352" s="21">
        <f t="shared" si="3264"/>
        <v>0</v>
      </c>
      <c r="QG352" s="21">
        <f t="shared" si="3264"/>
        <v>0</v>
      </c>
      <c r="QH352" s="21">
        <f t="shared" ref="QH352:QO352" si="3265">IF($F$290, 0, IF($J$300, IF(AND(COLUMN($QH$352)-COLUMN($QH$351)=$Q$291,ROW($QH$352)-ROW($QH$351)=$K$291), U$290, QH352), QH352))</f>
        <v>0</v>
      </c>
      <c r="QI352" s="21">
        <f t="shared" si="3265"/>
        <v>0</v>
      </c>
      <c r="QJ352" s="21">
        <f t="shared" si="3265"/>
        <v>0</v>
      </c>
      <c r="QK352" s="21">
        <f t="shared" si="3265"/>
        <v>0</v>
      </c>
      <c r="QL352" s="21">
        <f t="shared" si="3265"/>
        <v>0</v>
      </c>
      <c r="QM352" s="21">
        <f t="shared" si="3265"/>
        <v>0</v>
      </c>
      <c r="QN352" s="21">
        <f t="shared" si="3265"/>
        <v>0</v>
      </c>
      <c r="QO352" s="21">
        <f t="shared" si="3265"/>
        <v>0</v>
      </c>
      <c r="QP352" s="21">
        <f t="shared" ref="QP352:QW352" si="3266">IF($F$290, 0, IF($J$300, IF(AND(COLUMN($QP$352)-COLUMN($QH$351)=$Q$291,ROW($QP$352)-ROW($QH$351)=$K$291), U$290, QP352), QP352))</f>
        <v>0</v>
      </c>
      <c r="QQ352" s="21">
        <f t="shared" si="3266"/>
        <v>0</v>
      </c>
      <c r="QR352" s="21">
        <f t="shared" si="3266"/>
        <v>0</v>
      </c>
      <c r="QS352" s="21">
        <f t="shared" si="3266"/>
        <v>0</v>
      </c>
      <c r="QT352" s="21">
        <f t="shared" si="3266"/>
        <v>0</v>
      </c>
      <c r="QU352" s="21">
        <f t="shared" si="3266"/>
        <v>0</v>
      </c>
      <c r="QV352" s="21">
        <f t="shared" si="3266"/>
        <v>0</v>
      </c>
      <c r="QW352" s="21">
        <f t="shared" si="3266"/>
        <v>0</v>
      </c>
      <c r="QX352" s="21">
        <f t="shared" ref="QX352:RE352" si="3267">IF($F$290, 0, IF($J$300, IF(AND(COLUMN($QX$352)-COLUMN($QH$351)=$Q$291,ROW($QX$352)-ROW($QH$351)=$K$291), U$290, QX352), QX352))</f>
        <v>0</v>
      </c>
      <c r="QY352" s="21">
        <f t="shared" si="3267"/>
        <v>0</v>
      </c>
      <c r="QZ352" s="21">
        <f t="shared" si="3267"/>
        <v>0</v>
      </c>
      <c r="RA352" s="21">
        <f t="shared" si="3267"/>
        <v>0</v>
      </c>
      <c r="RB352" s="21">
        <f t="shared" si="3267"/>
        <v>0</v>
      </c>
      <c r="RC352" s="21">
        <f t="shared" si="3267"/>
        <v>0</v>
      </c>
      <c r="RD352" s="21">
        <f t="shared" si="3267"/>
        <v>0</v>
      </c>
      <c r="RE352" s="21">
        <f t="shared" si="3267"/>
        <v>0</v>
      </c>
      <c r="RF352" s="21">
        <f t="shared" ref="RF352:RM352" si="3268">IF($F$290, 0, IF($J$300, IF(AND(COLUMN($RF$352)-COLUMN($QH$351)=$Q$291,ROW($RF$352)-ROW($QH$351)=$K$291), U$290, RF352), RF352))</f>
        <v>0</v>
      </c>
      <c r="RG352" s="21">
        <f t="shared" si="3268"/>
        <v>0</v>
      </c>
      <c r="RH352" s="21">
        <f t="shared" si="3268"/>
        <v>0</v>
      </c>
      <c r="RI352" s="21">
        <f t="shared" si="3268"/>
        <v>0</v>
      </c>
      <c r="RJ352" s="21">
        <f t="shared" si="3268"/>
        <v>0</v>
      </c>
      <c r="RK352" s="21">
        <f t="shared" si="3268"/>
        <v>0</v>
      </c>
      <c r="RL352" s="21">
        <f t="shared" si="3268"/>
        <v>0</v>
      </c>
      <c r="RM352" s="21">
        <f t="shared" si="3268"/>
        <v>0</v>
      </c>
      <c r="RN352" s="21">
        <f t="shared" ref="RN352:RU352" si="3269">IF($F$290, 0, IF($J$300, IF(AND(COLUMN($RN$352)-COLUMN($QH$351)=$Q$291,ROW($RN$352)-ROW($QH$351)=$K$291), U$290, RN352), RN352))</f>
        <v>0</v>
      </c>
      <c r="RO352" s="21">
        <f t="shared" si="3269"/>
        <v>0</v>
      </c>
      <c r="RP352" s="21">
        <f t="shared" si="3269"/>
        <v>0</v>
      </c>
      <c r="RQ352" s="21">
        <f t="shared" si="3269"/>
        <v>0</v>
      </c>
      <c r="RR352" s="21">
        <f t="shared" si="3269"/>
        <v>0</v>
      </c>
      <c r="RS352" s="21">
        <f t="shared" si="3269"/>
        <v>0</v>
      </c>
      <c r="RT352" s="21">
        <f t="shared" si="3269"/>
        <v>0</v>
      </c>
      <c r="RU352" s="21">
        <f t="shared" si="3269"/>
        <v>0</v>
      </c>
      <c r="RV352" s="21">
        <f t="shared" ref="RV352:SC352" si="3270">IF($F$290, 0, IF($J$300, IF(AND(COLUMN($RV$352)-COLUMN($QH$351)=$Q$291,ROW($RV$352)-ROW($QH$351)=$K$291), U$290, RV352), RV352))</f>
        <v>0</v>
      </c>
      <c r="RW352" s="21">
        <f t="shared" si="3270"/>
        <v>0</v>
      </c>
      <c r="RX352" s="21">
        <f t="shared" si="3270"/>
        <v>0</v>
      </c>
      <c r="RY352" s="21">
        <f t="shared" si="3270"/>
        <v>0</v>
      </c>
      <c r="RZ352" s="21">
        <f t="shared" si="3270"/>
        <v>0</v>
      </c>
      <c r="SA352" s="21">
        <f t="shared" si="3270"/>
        <v>0</v>
      </c>
      <c r="SB352" s="21">
        <f t="shared" si="3270"/>
        <v>0</v>
      </c>
      <c r="SC352" s="21">
        <f t="shared" si="3270"/>
        <v>0</v>
      </c>
      <c r="SD352" s="21">
        <f t="shared" ref="SD352:SK352" si="3271">IF($F$290, 0, IF($J$300, IF(AND(COLUMN($SD$352)-COLUMN($QH$351)=$Q$291,ROW($SD$352)-ROW($QH$351)=$K$291), U$290, SD352), SD352))</f>
        <v>0</v>
      </c>
      <c r="SE352" s="21">
        <f t="shared" si="3271"/>
        <v>0</v>
      </c>
      <c r="SF352" s="21">
        <f t="shared" si="3271"/>
        <v>0</v>
      </c>
      <c r="SG352" s="21">
        <f t="shared" si="3271"/>
        <v>0</v>
      </c>
      <c r="SH352" s="21">
        <f t="shared" si="3271"/>
        <v>0</v>
      </c>
      <c r="SI352" s="21">
        <f t="shared" si="3271"/>
        <v>0</v>
      </c>
      <c r="SJ352" s="21">
        <f t="shared" si="3271"/>
        <v>0</v>
      </c>
      <c r="SK352" s="21">
        <f t="shared" si="3271"/>
        <v>0</v>
      </c>
      <c r="SL352" s="21">
        <f t="shared" ref="SL352:SS352" si="3272">IF($F$290, 0, IF($J$300, IF(AND(COLUMN($SL$352)-COLUMN($QH$351)=$Q$291,ROW($SL$352)-ROW($QH$351)=$K$291), U$290, SL352), SL352))</f>
        <v>0</v>
      </c>
      <c r="SM352" s="21">
        <f t="shared" si="3272"/>
        <v>0</v>
      </c>
      <c r="SN352" s="21">
        <f t="shared" si="3272"/>
        <v>0</v>
      </c>
      <c r="SO352" s="21">
        <f t="shared" si="3272"/>
        <v>0</v>
      </c>
      <c r="SP352" s="21">
        <f t="shared" si="3272"/>
        <v>0</v>
      </c>
      <c r="SQ352" s="21">
        <f t="shared" si="3272"/>
        <v>0</v>
      </c>
      <c r="SR352" s="21">
        <f t="shared" si="3272"/>
        <v>0</v>
      </c>
      <c r="SS352" s="21">
        <f t="shared" si="3272"/>
        <v>0</v>
      </c>
    </row>
    <row r="353" spans="2:513" ht="15" customHeight="1" x14ac:dyDescent="0.25">
      <c r="B353" s="21">
        <f t="shared" ref="B353:I353" si="3273">IF($F$290, 0, IF($C$300, IF(AND(COLUMN($B$353)-COLUMN($B$351)=$Q$291,ROW($B$353)-ROW($B$351)=$K$291), U$290, B353), B353))</f>
        <v>0</v>
      </c>
      <c r="C353" s="21">
        <f t="shared" si="3273"/>
        <v>0</v>
      </c>
      <c r="D353" s="21">
        <f t="shared" si="3273"/>
        <v>0</v>
      </c>
      <c r="E353" s="21">
        <f t="shared" si="3273"/>
        <v>0</v>
      </c>
      <c r="F353" s="21">
        <f t="shared" si="3273"/>
        <v>0</v>
      </c>
      <c r="G353" s="21">
        <f t="shared" si="3273"/>
        <v>0</v>
      </c>
      <c r="H353" s="21">
        <f t="shared" si="3273"/>
        <v>0</v>
      </c>
      <c r="I353" s="21">
        <f t="shared" si="3273"/>
        <v>0</v>
      </c>
      <c r="J353" s="21">
        <f t="shared" ref="J353:Q353" si="3274">IF($F$290, 0, IF($C$300, IF(AND(COLUMN($J$353)-COLUMN($B$351)=$Q$291,ROW($J$353)-ROW($B$351)=$K$291), U$290, J353), J353))</f>
        <v>0</v>
      </c>
      <c r="K353" s="21">
        <f t="shared" si="3274"/>
        <v>0</v>
      </c>
      <c r="L353" s="21">
        <f t="shared" si="3274"/>
        <v>0</v>
      </c>
      <c r="M353" s="21">
        <f t="shared" si="3274"/>
        <v>0</v>
      </c>
      <c r="N353" s="21">
        <f t="shared" si="3274"/>
        <v>0</v>
      </c>
      <c r="O353" s="21">
        <f t="shared" si="3274"/>
        <v>0</v>
      </c>
      <c r="P353" s="21">
        <f t="shared" si="3274"/>
        <v>0</v>
      </c>
      <c r="Q353" s="21">
        <f t="shared" si="3274"/>
        <v>0</v>
      </c>
      <c r="R353" s="21">
        <f>IF($F$290, 0, IF($C$300, IF(AND(COLUMN($R$353)-COLUMN($B$351)=$Q$291,ROW($R$353)-ROW($B$351)=$K$291), U$290, R353), R353))</f>
        <v>0</v>
      </c>
      <c r="S353" s="21">
        <f t="shared" ref="S353:Y353" si="3275">IF($F$290, 0, IF($C$300, IF(AND(COLUMN($R$353)-COLUMN($B$351)=$Q$291,ROW($R$353)-ROW($B$351)=$K$291), V$290, S353), S353))</f>
        <v>0</v>
      </c>
      <c r="T353" s="21">
        <f t="shared" si="3275"/>
        <v>0</v>
      </c>
      <c r="U353" s="21">
        <f t="shared" si="3275"/>
        <v>0</v>
      </c>
      <c r="V353" s="21">
        <f t="shared" si="3275"/>
        <v>0</v>
      </c>
      <c r="W353" s="21">
        <f t="shared" si="3275"/>
        <v>0</v>
      </c>
      <c r="X353" s="21">
        <f t="shared" si="3275"/>
        <v>0</v>
      </c>
      <c r="Y353" s="21">
        <f t="shared" si="3275"/>
        <v>0</v>
      </c>
      <c r="Z353" s="21">
        <f t="shared" ref="Z353:AG353" si="3276">IF($F$290, 0, IF($C$300, IF(AND(COLUMN($Z$353)-COLUMN($B$351)=$Q$291,ROW($Z$353)-ROW($B$351)=$K$291), U$290, Z353), Z353))</f>
        <v>0</v>
      </c>
      <c r="AA353" s="21">
        <f t="shared" si="3276"/>
        <v>0</v>
      </c>
      <c r="AB353" s="21">
        <f t="shared" si="3276"/>
        <v>0</v>
      </c>
      <c r="AC353" s="21">
        <f t="shared" si="3276"/>
        <v>0</v>
      </c>
      <c r="AD353" s="21">
        <f t="shared" si="3276"/>
        <v>0</v>
      </c>
      <c r="AE353" s="21">
        <f t="shared" si="3276"/>
        <v>0</v>
      </c>
      <c r="AF353" s="21">
        <f t="shared" si="3276"/>
        <v>0</v>
      </c>
      <c r="AG353" s="21">
        <f t="shared" si="3276"/>
        <v>0</v>
      </c>
      <c r="AH353" s="21">
        <f t="shared" ref="AH353:AO353" si="3277">IF($F$290, 0, IF($C$300, IF(AND(COLUMN($AH$353)-COLUMN($B$351)=$Q$291,ROW($AH$353)-ROW($B$351)=$K$291), U$290, AH353), AH353))</f>
        <v>0</v>
      </c>
      <c r="AI353" s="21">
        <f t="shared" si="3277"/>
        <v>0</v>
      </c>
      <c r="AJ353" s="21">
        <f t="shared" si="3277"/>
        <v>0</v>
      </c>
      <c r="AK353" s="21">
        <f t="shared" si="3277"/>
        <v>0</v>
      </c>
      <c r="AL353" s="21">
        <f t="shared" si="3277"/>
        <v>0</v>
      </c>
      <c r="AM353" s="21">
        <f t="shared" si="3277"/>
        <v>0</v>
      </c>
      <c r="AN353" s="21">
        <f t="shared" si="3277"/>
        <v>0</v>
      </c>
      <c r="AO353" s="21">
        <f t="shared" si="3277"/>
        <v>0</v>
      </c>
      <c r="AP353" s="21">
        <f t="shared" ref="AP353:AW353" si="3278">IF($F$290, 0, IF($C$300, IF(AND(COLUMN($AP$353)-COLUMN($B$351)=$Q$291,ROW($AP$353)-ROW($B$351)=$K$291), U$290, AP353), AP353))</f>
        <v>0</v>
      </c>
      <c r="AQ353" s="21">
        <f t="shared" si="3278"/>
        <v>0</v>
      </c>
      <c r="AR353" s="21">
        <f t="shared" si="3278"/>
        <v>0</v>
      </c>
      <c r="AS353" s="21">
        <f t="shared" si="3278"/>
        <v>0</v>
      </c>
      <c r="AT353" s="21">
        <f t="shared" si="3278"/>
        <v>0</v>
      </c>
      <c r="AU353" s="21">
        <f t="shared" si="3278"/>
        <v>0</v>
      </c>
      <c r="AV353" s="21">
        <f t="shared" si="3278"/>
        <v>0</v>
      </c>
      <c r="AW353" s="21">
        <f t="shared" si="3278"/>
        <v>0</v>
      </c>
      <c r="AX353" s="21">
        <f t="shared" ref="AX353:BE353" si="3279">IF($F$290, 0, IF($C$300, IF(AND(COLUMN($AX$353)-COLUMN($B$351)=$Q$291,ROW($AX$353)-ROW($B$351)=$K$291), U$290, AX353), AX353))</f>
        <v>0</v>
      </c>
      <c r="AY353" s="21">
        <f t="shared" si="3279"/>
        <v>0</v>
      </c>
      <c r="AZ353" s="21">
        <f t="shared" si="3279"/>
        <v>0</v>
      </c>
      <c r="BA353" s="21">
        <f t="shared" si="3279"/>
        <v>0</v>
      </c>
      <c r="BB353" s="21">
        <f t="shared" si="3279"/>
        <v>0</v>
      </c>
      <c r="BC353" s="21">
        <f t="shared" si="3279"/>
        <v>0</v>
      </c>
      <c r="BD353" s="21">
        <f t="shared" si="3279"/>
        <v>0</v>
      </c>
      <c r="BE353" s="21">
        <f t="shared" si="3279"/>
        <v>0</v>
      </c>
      <c r="BF353" s="21">
        <f t="shared" ref="BF353:BM353" si="3280">IF($F$290, 0, IF($C$300, IF(AND(COLUMN($BF$353)-COLUMN($B$351)=$Q$291,ROW($BF$353)-ROW($B$351)=$K$291), U$290, BF353), BF353))</f>
        <v>0</v>
      </c>
      <c r="BG353" s="21">
        <f t="shared" si="3280"/>
        <v>0</v>
      </c>
      <c r="BH353" s="21">
        <f t="shared" si="3280"/>
        <v>0</v>
      </c>
      <c r="BI353" s="21">
        <f t="shared" si="3280"/>
        <v>0</v>
      </c>
      <c r="BJ353" s="21">
        <f t="shared" si="3280"/>
        <v>0</v>
      </c>
      <c r="BK353" s="21">
        <f t="shared" si="3280"/>
        <v>0</v>
      </c>
      <c r="BL353" s="21">
        <f t="shared" si="3280"/>
        <v>0</v>
      </c>
      <c r="BM353" s="21">
        <f t="shared" si="3280"/>
        <v>0</v>
      </c>
      <c r="BN353" s="21">
        <f t="shared" ref="BN353:BU353" si="3281">IF($F$290, 0, IF($D$300, IF(AND(COLUMN($BN$353)-COLUMN($BN$351)=$Q$291,ROW($BN$353)-ROW($BN$351)=$K$291), U$290, BN353), BN353))</f>
        <v>0</v>
      </c>
      <c r="BO353" s="21">
        <f t="shared" si="3281"/>
        <v>0</v>
      </c>
      <c r="BP353" s="21">
        <f t="shared" si="3281"/>
        <v>0</v>
      </c>
      <c r="BQ353" s="21">
        <f t="shared" si="3281"/>
        <v>0</v>
      </c>
      <c r="BR353" s="21">
        <f t="shared" si="3281"/>
        <v>0</v>
      </c>
      <c r="BS353" s="21">
        <f t="shared" si="3281"/>
        <v>0</v>
      </c>
      <c r="BT353" s="21">
        <f t="shared" si="3281"/>
        <v>0</v>
      </c>
      <c r="BU353" s="21">
        <f t="shared" si="3281"/>
        <v>0</v>
      </c>
      <c r="BV353" s="21">
        <f t="shared" ref="BV353:CC353" si="3282">IF($F$290, 0, IF($D$300, IF(AND(COLUMN($BV$353)-COLUMN($BN$351)=$Q$291,ROW($BV$353)-ROW($BN$351)=$K$291), U$290, BV353), BV353))</f>
        <v>0</v>
      </c>
      <c r="BW353" s="21">
        <f t="shared" si="3282"/>
        <v>0</v>
      </c>
      <c r="BX353" s="21">
        <f t="shared" si="3282"/>
        <v>0</v>
      </c>
      <c r="BY353" s="21">
        <f t="shared" si="3282"/>
        <v>0</v>
      </c>
      <c r="BZ353" s="21">
        <f t="shared" si="3282"/>
        <v>0</v>
      </c>
      <c r="CA353" s="21">
        <f t="shared" si="3282"/>
        <v>0</v>
      </c>
      <c r="CB353" s="21">
        <f t="shared" si="3282"/>
        <v>0</v>
      </c>
      <c r="CC353" s="21">
        <f t="shared" si="3282"/>
        <v>0</v>
      </c>
      <c r="CD353" s="21">
        <f t="shared" ref="CD353:CK353" si="3283">IF($F$290, 0, IF($D$300, IF(AND(COLUMN($CD$353)-COLUMN($BN$351)=$Q$291,ROW($CD$353)-ROW($BN$351)=$K$291), U$290, CD353), CD353))</f>
        <v>0</v>
      </c>
      <c r="CE353" s="21">
        <f t="shared" si="3283"/>
        <v>0</v>
      </c>
      <c r="CF353" s="21">
        <f t="shared" si="3283"/>
        <v>0</v>
      </c>
      <c r="CG353" s="21">
        <f t="shared" si="3283"/>
        <v>0</v>
      </c>
      <c r="CH353" s="21">
        <f t="shared" si="3283"/>
        <v>0</v>
      </c>
      <c r="CI353" s="21">
        <f t="shared" si="3283"/>
        <v>0</v>
      </c>
      <c r="CJ353" s="21">
        <f t="shared" si="3283"/>
        <v>0</v>
      </c>
      <c r="CK353" s="21">
        <f t="shared" si="3283"/>
        <v>0</v>
      </c>
      <c r="CL353" s="21">
        <f t="shared" ref="CL353:CS353" si="3284">IF($F$290, 0, IF($D$300, IF(AND(COLUMN($CL$353)-COLUMN($BN$351)=$Q$291,ROW($CL$353)-ROW($BN$351)=$K$291), U$290, CL353), CL353))</f>
        <v>0</v>
      </c>
      <c r="CM353" s="21">
        <f t="shared" si="3284"/>
        <v>0</v>
      </c>
      <c r="CN353" s="21">
        <f t="shared" si="3284"/>
        <v>0</v>
      </c>
      <c r="CO353" s="21">
        <f t="shared" si="3284"/>
        <v>0</v>
      </c>
      <c r="CP353" s="21">
        <f t="shared" si="3284"/>
        <v>0</v>
      </c>
      <c r="CQ353" s="21">
        <f t="shared" si="3284"/>
        <v>0</v>
      </c>
      <c r="CR353" s="21">
        <f t="shared" si="3284"/>
        <v>0</v>
      </c>
      <c r="CS353" s="21">
        <f t="shared" si="3284"/>
        <v>0</v>
      </c>
      <c r="CT353" s="21">
        <f t="shared" ref="CT353:DA353" si="3285">IF($F$290, 0, IF($D$300, IF(AND(COLUMN($CT$353)-COLUMN($BN$351)=$Q$291,ROW($CT$353)-ROW($BN$351)=$K$291), U$290, CT353), CT353))</f>
        <v>0</v>
      </c>
      <c r="CU353" s="21">
        <f t="shared" si="3285"/>
        <v>0</v>
      </c>
      <c r="CV353" s="21">
        <f t="shared" si="3285"/>
        <v>0</v>
      </c>
      <c r="CW353" s="21">
        <f t="shared" si="3285"/>
        <v>0</v>
      </c>
      <c r="CX353" s="21">
        <f t="shared" si="3285"/>
        <v>0</v>
      </c>
      <c r="CY353" s="21">
        <f t="shared" si="3285"/>
        <v>0</v>
      </c>
      <c r="CZ353" s="21">
        <f t="shared" si="3285"/>
        <v>0</v>
      </c>
      <c r="DA353" s="21">
        <f t="shared" si="3285"/>
        <v>0</v>
      </c>
      <c r="DB353" s="21">
        <f t="shared" ref="DB353:DI353" si="3286">IF($F$290, 0, IF($D$300, IF(AND(COLUMN($DB$353)-COLUMN($BN$351)=$Q$291,ROW($DB$353)-ROW($BN$351)=$K$291), U$290, DB353), DB353))</f>
        <v>0</v>
      </c>
      <c r="DC353" s="21">
        <f t="shared" si="3286"/>
        <v>0</v>
      </c>
      <c r="DD353" s="21">
        <f t="shared" si="3286"/>
        <v>0</v>
      </c>
      <c r="DE353" s="21">
        <f t="shared" si="3286"/>
        <v>0</v>
      </c>
      <c r="DF353" s="21">
        <f t="shared" si="3286"/>
        <v>0</v>
      </c>
      <c r="DG353" s="21">
        <f t="shared" si="3286"/>
        <v>0</v>
      </c>
      <c r="DH353" s="21">
        <f t="shared" si="3286"/>
        <v>0</v>
      </c>
      <c r="DI353" s="21">
        <f t="shared" si="3286"/>
        <v>0</v>
      </c>
      <c r="DJ353" s="21">
        <f t="shared" ref="DJ353:DQ353" si="3287">IF($F$290, 0, IF($D$300, IF(AND(COLUMN($DJ$353)-COLUMN($BN$351)=$Q$291,ROW($DJ$353)-ROW($BN$351)=$K$291), U$290, DJ353), DJ353))</f>
        <v>0</v>
      </c>
      <c r="DK353" s="21">
        <f t="shared" si="3287"/>
        <v>0</v>
      </c>
      <c r="DL353" s="21">
        <f t="shared" si="3287"/>
        <v>0</v>
      </c>
      <c r="DM353" s="21">
        <f t="shared" si="3287"/>
        <v>0</v>
      </c>
      <c r="DN353" s="21">
        <f t="shared" si="3287"/>
        <v>0</v>
      </c>
      <c r="DO353" s="21">
        <f t="shared" si="3287"/>
        <v>0</v>
      </c>
      <c r="DP353" s="21">
        <f t="shared" si="3287"/>
        <v>0</v>
      </c>
      <c r="DQ353" s="21">
        <f t="shared" si="3287"/>
        <v>0</v>
      </c>
      <c r="DR353" s="21">
        <f t="shared" ref="DR353:DY353" si="3288">IF($F$290, 0, IF($D$300, IF(AND(COLUMN($DR$353)-COLUMN($BN$351)=$Q$291,ROW($DR$353)-ROW($BN$351)=$K$291), U$290, DR353), DR353))</f>
        <v>0</v>
      </c>
      <c r="DS353" s="21">
        <f t="shared" si="3288"/>
        <v>0</v>
      </c>
      <c r="DT353" s="21">
        <f t="shared" si="3288"/>
        <v>0</v>
      </c>
      <c r="DU353" s="21">
        <f t="shared" si="3288"/>
        <v>0</v>
      </c>
      <c r="DV353" s="21">
        <f t="shared" si="3288"/>
        <v>0</v>
      </c>
      <c r="DW353" s="21">
        <f t="shared" si="3288"/>
        <v>0</v>
      </c>
      <c r="DX353" s="21">
        <f t="shared" si="3288"/>
        <v>0</v>
      </c>
      <c r="DY353" s="21">
        <f t="shared" si="3288"/>
        <v>0</v>
      </c>
      <c r="DZ353" s="21">
        <f t="shared" ref="DZ353:EG353" si="3289">IF($F$290, 0, IF($E$300, IF(AND(COLUMN($DZ$353)-COLUMN($DZ$351)=$Q$291,ROW($DZ$353)-ROW($DZ$351)=$K$291), U$290, DZ353), DZ353))</f>
        <v>0</v>
      </c>
      <c r="EA353" s="21">
        <f t="shared" si="3289"/>
        <v>0</v>
      </c>
      <c r="EB353" s="21">
        <f t="shared" si="3289"/>
        <v>0</v>
      </c>
      <c r="EC353" s="21">
        <f t="shared" si="3289"/>
        <v>0</v>
      </c>
      <c r="ED353" s="21">
        <f t="shared" si="3289"/>
        <v>0</v>
      </c>
      <c r="EE353" s="21">
        <f t="shared" si="3289"/>
        <v>0</v>
      </c>
      <c r="EF353" s="21">
        <f t="shared" si="3289"/>
        <v>0</v>
      </c>
      <c r="EG353" s="21">
        <f t="shared" si="3289"/>
        <v>0</v>
      </c>
      <c r="EH353" s="21">
        <f t="shared" ref="EH353:EO353" si="3290">IF($F$290, 0, IF($E$300, IF(AND(COLUMN($EH$353)-COLUMN($DZ$351)=$Q$291,ROW($EH$353)-ROW($DZ$351)=$K$291), U$290, EH353), EH353))</f>
        <v>0</v>
      </c>
      <c r="EI353" s="21">
        <f t="shared" si="3290"/>
        <v>0</v>
      </c>
      <c r="EJ353" s="21">
        <f t="shared" si="3290"/>
        <v>0</v>
      </c>
      <c r="EK353" s="21">
        <f t="shared" si="3290"/>
        <v>0</v>
      </c>
      <c r="EL353" s="21">
        <f t="shared" si="3290"/>
        <v>0</v>
      </c>
      <c r="EM353" s="21">
        <f t="shared" si="3290"/>
        <v>0</v>
      </c>
      <c r="EN353" s="21">
        <f t="shared" si="3290"/>
        <v>0</v>
      </c>
      <c r="EO353" s="21">
        <f t="shared" si="3290"/>
        <v>0</v>
      </c>
      <c r="EP353" s="21">
        <f t="shared" ref="EP353:EW353" si="3291">IF($F$290, 0, IF($E$300, IF(AND(COLUMN($EP$353)-COLUMN($DZ$351)=$Q$291,ROW($EP$353)-ROW($DZ$351)=$K$291), U$290, EP353), EP353))</f>
        <v>0</v>
      </c>
      <c r="EQ353" s="21">
        <f t="shared" si="3291"/>
        <v>0</v>
      </c>
      <c r="ER353" s="21">
        <f t="shared" si="3291"/>
        <v>0</v>
      </c>
      <c r="ES353" s="21">
        <f t="shared" si="3291"/>
        <v>0</v>
      </c>
      <c r="ET353" s="21">
        <f t="shared" si="3291"/>
        <v>0</v>
      </c>
      <c r="EU353" s="21">
        <f t="shared" si="3291"/>
        <v>0</v>
      </c>
      <c r="EV353" s="21">
        <f t="shared" si="3291"/>
        <v>0</v>
      </c>
      <c r="EW353" s="21">
        <f t="shared" si="3291"/>
        <v>0</v>
      </c>
      <c r="EX353" s="21">
        <f t="shared" ref="EX353:FE353" si="3292">IF($F$290, 0, IF($E$300, IF(AND(COLUMN($EX$353)-COLUMN($DZ$351)=$Q$291,ROW($EX$353)-ROW($DZ$351)=$K$291), U$290, EX353), EX353))</f>
        <v>0</v>
      </c>
      <c r="EY353" s="21">
        <f t="shared" si="3292"/>
        <v>0</v>
      </c>
      <c r="EZ353" s="21">
        <f t="shared" si="3292"/>
        <v>0</v>
      </c>
      <c r="FA353" s="21">
        <f t="shared" si="3292"/>
        <v>0</v>
      </c>
      <c r="FB353" s="21">
        <f t="shared" si="3292"/>
        <v>0</v>
      </c>
      <c r="FC353" s="21">
        <f t="shared" si="3292"/>
        <v>0</v>
      </c>
      <c r="FD353" s="21">
        <f t="shared" si="3292"/>
        <v>0</v>
      </c>
      <c r="FE353" s="21">
        <f t="shared" si="3292"/>
        <v>0</v>
      </c>
      <c r="FF353" s="21">
        <f t="shared" ref="FF353:FM353" si="3293">IF($F$290, 0, IF($E$300, IF(AND(COLUMN($FF$353)-COLUMN($DZ$351)=$Q$291,ROW($FF$353)-ROW($DZ$351)=$K$291), U$290, FF353), FF353))</f>
        <v>0</v>
      </c>
      <c r="FG353" s="21">
        <f t="shared" si="3293"/>
        <v>0</v>
      </c>
      <c r="FH353" s="21">
        <f t="shared" si="3293"/>
        <v>0</v>
      </c>
      <c r="FI353" s="21">
        <f t="shared" si="3293"/>
        <v>0</v>
      </c>
      <c r="FJ353" s="21">
        <f t="shared" si="3293"/>
        <v>0</v>
      </c>
      <c r="FK353" s="21">
        <f t="shared" si="3293"/>
        <v>0</v>
      </c>
      <c r="FL353" s="21">
        <f t="shared" si="3293"/>
        <v>0</v>
      </c>
      <c r="FM353" s="21">
        <f t="shared" si="3293"/>
        <v>0</v>
      </c>
      <c r="FN353" s="21">
        <f t="shared" ref="FN353:FU353" si="3294">IF($F$290, 0, IF($E$300, IF(AND(COLUMN($FN$353)-COLUMN($DZ$351)=$Q$291,ROW($FN$353)-ROW($DZ$351)=$K$291), U$290, FN353), FN353))</f>
        <v>0</v>
      </c>
      <c r="FO353" s="21">
        <f t="shared" si="3294"/>
        <v>0</v>
      </c>
      <c r="FP353" s="21">
        <f t="shared" si="3294"/>
        <v>0</v>
      </c>
      <c r="FQ353" s="21">
        <f t="shared" si="3294"/>
        <v>0</v>
      </c>
      <c r="FR353" s="21">
        <f t="shared" si="3294"/>
        <v>0</v>
      </c>
      <c r="FS353" s="21">
        <f t="shared" si="3294"/>
        <v>0</v>
      </c>
      <c r="FT353" s="21">
        <f t="shared" si="3294"/>
        <v>0</v>
      </c>
      <c r="FU353" s="21">
        <f t="shared" si="3294"/>
        <v>0</v>
      </c>
      <c r="FV353" s="21">
        <f t="shared" ref="FV353:GC353" si="3295">IF($F$290, 0, IF($E$300, IF(AND(COLUMN($FV$353)-COLUMN($DZ$351)=$Q$291,ROW($FV$353)-ROW($DZ$351)=$K$291), U$290, FV353), FV353))</f>
        <v>0</v>
      </c>
      <c r="FW353" s="21">
        <f t="shared" si="3295"/>
        <v>0</v>
      </c>
      <c r="FX353" s="21">
        <f t="shared" si="3295"/>
        <v>0</v>
      </c>
      <c r="FY353" s="21">
        <f t="shared" si="3295"/>
        <v>0</v>
      </c>
      <c r="FZ353" s="21">
        <f t="shared" si="3295"/>
        <v>0</v>
      </c>
      <c r="GA353" s="21">
        <f t="shared" si="3295"/>
        <v>0</v>
      </c>
      <c r="GB353" s="21">
        <f t="shared" si="3295"/>
        <v>0</v>
      </c>
      <c r="GC353" s="21">
        <f t="shared" si="3295"/>
        <v>0</v>
      </c>
      <c r="GD353" s="21">
        <f t="shared" ref="GD353:GK353" si="3296">IF($F$290, 0, IF($E$300, IF(AND(COLUMN($GD$353)-COLUMN($DZ$351)=$Q$291,ROW($GD$353)-ROW($DZ$351)=$K$291), U$290, GD353), GD353))</f>
        <v>0</v>
      </c>
      <c r="GE353" s="21">
        <f t="shared" si="3296"/>
        <v>0</v>
      </c>
      <c r="GF353" s="21">
        <f t="shared" si="3296"/>
        <v>0</v>
      </c>
      <c r="GG353" s="21">
        <f t="shared" si="3296"/>
        <v>0</v>
      </c>
      <c r="GH353" s="21">
        <f t="shared" si="3296"/>
        <v>0</v>
      </c>
      <c r="GI353" s="21">
        <f t="shared" si="3296"/>
        <v>0</v>
      </c>
      <c r="GJ353" s="21">
        <f t="shared" si="3296"/>
        <v>0</v>
      </c>
      <c r="GK353" s="21">
        <f t="shared" si="3296"/>
        <v>0</v>
      </c>
      <c r="GL353" s="21">
        <f t="shared" ref="GL353:GS353" si="3297">IF($F$290, 0, IF($F$300, IF(AND(COLUMN($GL$353)-COLUMN($GL$351)=$Q$291,ROW($GL$353)-ROW($GL$351)=$K$291), U$290, GL353), GL353))</f>
        <v>0</v>
      </c>
      <c r="GM353" s="21">
        <f t="shared" si="3297"/>
        <v>0</v>
      </c>
      <c r="GN353" s="21">
        <f t="shared" si="3297"/>
        <v>0</v>
      </c>
      <c r="GO353" s="21">
        <f t="shared" si="3297"/>
        <v>0</v>
      </c>
      <c r="GP353" s="21">
        <f t="shared" si="3297"/>
        <v>0</v>
      </c>
      <c r="GQ353" s="21">
        <f t="shared" si="3297"/>
        <v>0</v>
      </c>
      <c r="GR353" s="21">
        <f t="shared" si="3297"/>
        <v>0</v>
      </c>
      <c r="GS353" s="21">
        <f t="shared" si="3297"/>
        <v>0</v>
      </c>
      <c r="GT353" s="21">
        <f t="shared" ref="GT353:HA353" si="3298">IF($F$290, 0, IF($F$300, IF(AND(COLUMN($GT$353)-COLUMN($GL$351)=$Q$291,ROW($GT$353)-ROW($GL$351)=$K$291), U$290, GT353), GT353))</f>
        <v>0</v>
      </c>
      <c r="GU353" s="21">
        <f t="shared" si="3298"/>
        <v>0</v>
      </c>
      <c r="GV353" s="21">
        <f t="shared" si="3298"/>
        <v>0</v>
      </c>
      <c r="GW353" s="21">
        <f t="shared" si="3298"/>
        <v>0</v>
      </c>
      <c r="GX353" s="21">
        <f t="shared" si="3298"/>
        <v>0</v>
      </c>
      <c r="GY353" s="21">
        <f t="shared" si="3298"/>
        <v>0</v>
      </c>
      <c r="GZ353" s="21">
        <f t="shared" si="3298"/>
        <v>0</v>
      </c>
      <c r="HA353" s="21">
        <f t="shared" si="3298"/>
        <v>0</v>
      </c>
      <c r="HB353" s="21">
        <f t="shared" ref="HB353:HI353" si="3299">IF($F$290, 0, IF($F$300, IF(AND(COLUMN($HB$353)-COLUMN($GL$351)=$Q$291,ROW($HB$353)-ROW($GL$351)=$K$291), U$290, HB353), HB353))</f>
        <v>0</v>
      </c>
      <c r="HC353" s="21">
        <f t="shared" si="3299"/>
        <v>0</v>
      </c>
      <c r="HD353" s="21">
        <f t="shared" si="3299"/>
        <v>0</v>
      </c>
      <c r="HE353" s="21">
        <f t="shared" si="3299"/>
        <v>0</v>
      </c>
      <c r="HF353" s="21">
        <f t="shared" si="3299"/>
        <v>0</v>
      </c>
      <c r="HG353" s="21">
        <f t="shared" si="3299"/>
        <v>0</v>
      </c>
      <c r="HH353" s="21">
        <f t="shared" si="3299"/>
        <v>0</v>
      </c>
      <c r="HI353" s="21">
        <f t="shared" si="3299"/>
        <v>0</v>
      </c>
      <c r="HJ353" s="21">
        <f t="shared" ref="HJ353:HQ353" si="3300">IF($F$290, 0, IF($F$300, IF(AND(COLUMN($HJ$353)-COLUMN($GL$351)=$Q$291,ROW($HJ$353)-ROW($GL$351)=$K$291), U$290, HJ353), HJ353))</f>
        <v>0</v>
      </c>
      <c r="HK353" s="21">
        <f t="shared" si="3300"/>
        <v>0</v>
      </c>
      <c r="HL353" s="21">
        <f t="shared" si="3300"/>
        <v>0</v>
      </c>
      <c r="HM353" s="21">
        <f t="shared" si="3300"/>
        <v>0</v>
      </c>
      <c r="HN353" s="21">
        <f t="shared" si="3300"/>
        <v>0</v>
      </c>
      <c r="HO353" s="21">
        <f t="shared" si="3300"/>
        <v>0</v>
      </c>
      <c r="HP353" s="21">
        <f t="shared" si="3300"/>
        <v>0</v>
      </c>
      <c r="HQ353" s="21">
        <f t="shared" si="3300"/>
        <v>0</v>
      </c>
      <c r="HR353" s="21">
        <f t="shared" ref="HR353:HY353" si="3301">IF($F$290, 0, IF($F$300, IF(AND(COLUMN($HR$353)-COLUMN($GL$351)=$Q$291,ROW($HR$353)-ROW($GL$351)=$K$291), U$290, HR353), HR353))</f>
        <v>0</v>
      </c>
      <c r="HS353" s="21">
        <f t="shared" si="3301"/>
        <v>0</v>
      </c>
      <c r="HT353" s="21">
        <f t="shared" si="3301"/>
        <v>0</v>
      </c>
      <c r="HU353" s="21">
        <f t="shared" si="3301"/>
        <v>0</v>
      </c>
      <c r="HV353" s="21">
        <f t="shared" si="3301"/>
        <v>0</v>
      </c>
      <c r="HW353" s="21">
        <f t="shared" si="3301"/>
        <v>0</v>
      </c>
      <c r="HX353" s="21">
        <f t="shared" si="3301"/>
        <v>0</v>
      </c>
      <c r="HY353" s="21">
        <f t="shared" si="3301"/>
        <v>0</v>
      </c>
      <c r="HZ353" s="21">
        <f t="shared" ref="HZ353:IG353" si="3302">IF($F$290, 0, IF($F$300, IF(AND(COLUMN($HZ$353)-COLUMN($GL$351)=$Q$291,ROW($HZ$353)-ROW($GL$351)=$K$291), U$290, HZ353), HZ353))</f>
        <v>0</v>
      </c>
      <c r="IA353" s="21">
        <f t="shared" si="3302"/>
        <v>0</v>
      </c>
      <c r="IB353" s="21">
        <f t="shared" si="3302"/>
        <v>0</v>
      </c>
      <c r="IC353" s="21">
        <f t="shared" si="3302"/>
        <v>0</v>
      </c>
      <c r="ID353" s="21">
        <f t="shared" si="3302"/>
        <v>0</v>
      </c>
      <c r="IE353" s="21">
        <f t="shared" si="3302"/>
        <v>0</v>
      </c>
      <c r="IF353" s="21">
        <f t="shared" si="3302"/>
        <v>0</v>
      </c>
      <c r="IG353" s="21">
        <f t="shared" si="3302"/>
        <v>0</v>
      </c>
      <c r="IH353" s="21">
        <f t="shared" ref="IH353:IO353" si="3303">IF($F$290, 0, IF($F$300, IF(AND(COLUMN($IH$353)-COLUMN($GL$351)=$Q$291,ROW($IH$353)-ROW($GL$351)=$K$291), U$290, IH353), IH353))</f>
        <v>0</v>
      </c>
      <c r="II353" s="21">
        <f t="shared" si="3303"/>
        <v>0</v>
      </c>
      <c r="IJ353" s="21">
        <f t="shared" si="3303"/>
        <v>0</v>
      </c>
      <c r="IK353" s="21">
        <f t="shared" si="3303"/>
        <v>0</v>
      </c>
      <c r="IL353" s="21">
        <f t="shared" si="3303"/>
        <v>0</v>
      </c>
      <c r="IM353" s="21">
        <f t="shared" si="3303"/>
        <v>0</v>
      </c>
      <c r="IN353" s="21">
        <f t="shared" si="3303"/>
        <v>0</v>
      </c>
      <c r="IO353" s="21">
        <f t="shared" si="3303"/>
        <v>0</v>
      </c>
      <c r="IP353" s="21">
        <f t="shared" ref="IP353:IW353" si="3304">IF($F$290, 0, IF($F$300, IF(AND(COLUMN($IP$353)-COLUMN($GL$351)=$Q$291,ROW($IP$353)-ROW($GL$351)=$K$291), U$290, IP353), IP353))</f>
        <v>0</v>
      </c>
      <c r="IQ353" s="21">
        <f t="shared" si="3304"/>
        <v>0</v>
      </c>
      <c r="IR353" s="21">
        <f t="shared" si="3304"/>
        <v>0</v>
      </c>
      <c r="IS353" s="21">
        <f t="shared" si="3304"/>
        <v>0</v>
      </c>
      <c r="IT353" s="21">
        <f t="shared" si="3304"/>
        <v>0</v>
      </c>
      <c r="IU353" s="21">
        <f t="shared" si="3304"/>
        <v>0</v>
      </c>
      <c r="IV353" s="21">
        <f t="shared" si="3304"/>
        <v>0</v>
      </c>
      <c r="IW353" s="21">
        <f t="shared" si="3304"/>
        <v>0</v>
      </c>
      <c r="IX353" s="21">
        <f t="shared" ref="IX353:JE353" si="3305">IF($F$290, 0, IF($G$300, IF(AND(COLUMN($IX$353)-COLUMN($IX$351)=$Q$291,ROW($IX$353)-ROW($IX$351)=$K$291), U$290, IX353), IX353))</f>
        <v>0</v>
      </c>
      <c r="IY353" s="21">
        <f t="shared" si="3305"/>
        <v>0</v>
      </c>
      <c r="IZ353" s="21">
        <f t="shared" si="3305"/>
        <v>0</v>
      </c>
      <c r="JA353" s="21">
        <f t="shared" si="3305"/>
        <v>0</v>
      </c>
      <c r="JB353" s="21">
        <f t="shared" si="3305"/>
        <v>0</v>
      </c>
      <c r="JC353" s="21">
        <f t="shared" si="3305"/>
        <v>0</v>
      </c>
      <c r="JD353" s="21">
        <f t="shared" si="3305"/>
        <v>0</v>
      </c>
      <c r="JE353" s="21">
        <f t="shared" si="3305"/>
        <v>0</v>
      </c>
      <c r="JF353" s="21">
        <f t="shared" ref="JF353:JM353" si="3306">IF($F$290, 0, IF($G$300, IF(AND(COLUMN($JF$353)-COLUMN($IX$351)=$Q$291,ROW($JF$353)-ROW($IX$351)=$K$291), U$290, JF353), JF353))</f>
        <v>0</v>
      </c>
      <c r="JG353" s="21">
        <f t="shared" si="3306"/>
        <v>0</v>
      </c>
      <c r="JH353" s="21">
        <f t="shared" si="3306"/>
        <v>0</v>
      </c>
      <c r="JI353" s="21">
        <f t="shared" si="3306"/>
        <v>0</v>
      </c>
      <c r="JJ353" s="21">
        <f t="shared" si="3306"/>
        <v>0</v>
      </c>
      <c r="JK353" s="21">
        <f t="shared" si="3306"/>
        <v>0</v>
      </c>
      <c r="JL353" s="21">
        <f t="shared" si="3306"/>
        <v>0</v>
      </c>
      <c r="JM353" s="21">
        <f t="shared" si="3306"/>
        <v>0</v>
      </c>
      <c r="JN353" s="21">
        <f t="shared" ref="JN353:JU353" si="3307">IF($F$290, 0, IF($G$300, IF(AND(COLUMN($JN$353)-COLUMN($IX$351)=$Q$291,ROW($JN$353)-ROW($IX$351)=$K$291), U$290, JN353), JN353))</f>
        <v>0</v>
      </c>
      <c r="JO353" s="21">
        <f t="shared" si="3307"/>
        <v>0</v>
      </c>
      <c r="JP353" s="21">
        <f t="shared" si="3307"/>
        <v>0</v>
      </c>
      <c r="JQ353" s="21">
        <f t="shared" si="3307"/>
        <v>0</v>
      </c>
      <c r="JR353" s="21">
        <f t="shared" si="3307"/>
        <v>0</v>
      </c>
      <c r="JS353" s="21">
        <f t="shared" si="3307"/>
        <v>0</v>
      </c>
      <c r="JT353" s="21">
        <f t="shared" si="3307"/>
        <v>0</v>
      </c>
      <c r="JU353" s="21">
        <f t="shared" si="3307"/>
        <v>0</v>
      </c>
      <c r="JV353" s="21">
        <f t="shared" ref="JV353:KC353" si="3308">IF($F$290, 0, IF($G$300, IF(AND(COLUMN($JV$353)-COLUMN($IX$351)=$Q$291,ROW($JV$353)-ROW($IX$351)=$K$291), U$290, JV353), JV353))</f>
        <v>0</v>
      </c>
      <c r="JW353" s="21">
        <f t="shared" si="3308"/>
        <v>0</v>
      </c>
      <c r="JX353" s="21">
        <f t="shared" si="3308"/>
        <v>0</v>
      </c>
      <c r="JY353" s="21">
        <f t="shared" si="3308"/>
        <v>0</v>
      </c>
      <c r="JZ353" s="21">
        <f t="shared" si="3308"/>
        <v>0</v>
      </c>
      <c r="KA353" s="21">
        <f t="shared" si="3308"/>
        <v>0</v>
      </c>
      <c r="KB353" s="21">
        <f t="shared" si="3308"/>
        <v>0</v>
      </c>
      <c r="KC353" s="21">
        <f t="shared" si="3308"/>
        <v>0</v>
      </c>
      <c r="KD353" s="21">
        <f t="shared" ref="KD353:KK353" si="3309">IF($F$290, 0, IF($G$300, IF(AND(COLUMN($KD$353)-COLUMN($IX$351)=$Q$291,ROW($KD$353)-ROW($IX$351)=$K$291), U$290, KD353), KD353))</f>
        <v>0</v>
      </c>
      <c r="KE353" s="21">
        <f t="shared" si="3309"/>
        <v>0</v>
      </c>
      <c r="KF353" s="21">
        <f t="shared" si="3309"/>
        <v>0</v>
      </c>
      <c r="KG353" s="21">
        <f t="shared" si="3309"/>
        <v>0</v>
      </c>
      <c r="KH353" s="21">
        <f t="shared" si="3309"/>
        <v>0</v>
      </c>
      <c r="KI353" s="21">
        <f t="shared" si="3309"/>
        <v>0</v>
      </c>
      <c r="KJ353" s="21">
        <f t="shared" si="3309"/>
        <v>0</v>
      </c>
      <c r="KK353" s="21">
        <f t="shared" si="3309"/>
        <v>0</v>
      </c>
      <c r="KL353" s="21">
        <f t="shared" ref="KL353:KS353" si="3310">IF($F$290, 0, IF($G$300, IF(AND(COLUMN($KL$353)-COLUMN($IX$351)=$Q$291,ROW($KL$353)-ROW($IX$351)=$K$291), U$290, KL353), KL353))</f>
        <v>0</v>
      </c>
      <c r="KM353" s="21">
        <f t="shared" si="3310"/>
        <v>0</v>
      </c>
      <c r="KN353" s="21">
        <f t="shared" si="3310"/>
        <v>0</v>
      </c>
      <c r="KO353" s="21">
        <f t="shared" si="3310"/>
        <v>0</v>
      </c>
      <c r="KP353" s="21">
        <f t="shared" si="3310"/>
        <v>0</v>
      </c>
      <c r="KQ353" s="21">
        <f t="shared" si="3310"/>
        <v>0</v>
      </c>
      <c r="KR353" s="21">
        <f t="shared" si="3310"/>
        <v>0</v>
      </c>
      <c r="KS353" s="21">
        <f t="shared" si="3310"/>
        <v>0</v>
      </c>
      <c r="KT353" s="21">
        <f t="shared" ref="KT353:LA353" si="3311">IF($F$290, 0, IF($G$300, IF(AND(COLUMN($KT$353)-COLUMN($IX$351)=$Q$291,ROW($KT$353)-ROW($IX$351)=$K$291), U$290, KT353), KT353))</f>
        <v>0</v>
      </c>
      <c r="KU353" s="21">
        <f t="shared" si="3311"/>
        <v>0</v>
      </c>
      <c r="KV353" s="21">
        <f t="shared" si="3311"/>
        <v>0</v>
      </c>
      <c r="KW353" s="21">
        <f t="shared" si="3311"/>
        <v>0</v>
      </c>
      <c r="KX353" s="21">
        <f t="shared" si="3311"/>
        <v>0</v>
      </c>
      <c r="KY353" s="21">
        <f t="shared" si="3311"/>
        <v>0</v>
      </c>
      <c r="KZ353" s="21">
        <f t="shared" si="3311"/>
        <v>0</v>
      </c>
      <c r="LA353" s="21">
        <f t="shared" si="3311"/>
        <v>0</v>
      </c>
      <c r="LB353" s="21">
        <f t="shared" ref="LB353:LI353" si="3312">IF($F$290, 0, IF($G$300, IF(AND(COLUMN($LB$353)-COLUMN($IX$351)=$Q$291,ROW($LB$353)-ROW($IX$351)=$K$291), U$290, LB353), LB353))</f>
        <v>0</v>
      </c>
      <c r="LC353" s="21">
        <f t="shared" si="3312"/>
        <v>0</v>
      </c>
      <c r="LD353" s="21">
        <f t="shared" si="3312"/>
        <v>0</v>
      </c>
      <c r="LE353" s="21">
        <f t="shared" si="3312"/>
        <v>0</v>
      </c>
      <c r="LF353" s="21">
        <f t="shared" si="3312"/>
        <v>0</v>
      </c>
      <c r="LG353" s="21">
        <f t="shared" si="3312"/>
        <v>0</v>
      </c>
      <c r="LH353" s="21">
        <f t="shared" si="3312"/>
        <v>0</v>
      </c>
      <c r="LI353" s="21">
        <f t="shared" si="3312"/>
        <v>0</v>
      </c>
      <c r="LJ353" s="21">
        <f t="shared" ref="LJ353:LQ353" si="3313">IF($F$290, 0, IF($H$300, IF(AND(COLUMN($LJ$353)-COLUMN($LJ$351)=$Q$291,ROW($LJ$353)-ROW($LJ$351)=$K$291), U$290, LJ353), LJ353))</f>
        <v>0</v>
      </c>
      <c r="LK353" s="21">
        <f t="shared" si="3313"/>
        <v>0</v>
      </c>
      <c r="LL353" s="21">
        <f t="shared" si="3313"/>
        <v>0</v>
      </c>
      <c r="LM353" s="21">
        <f t="shared" si="3313"/>
        <v>0</v>
      </c>
      <c r="LN353" s="21">
        <f t="shared" si="3313"/>
        <v>0</v>
      </c>
      <c r="LO353" s="21">
        <f t="shared" si="3313"/>
        <v>0</v>
      </c>
      <c r="LP353" s="21">
        <f t="shared" si="3313"/>
        <v>0</v>
      </c>
      <c r="LQ353" s="21">
        <f t="shared" si="3313"/>
        <v>0</v>
      </c>
      <c r="LR353" s="21">
        <f t="shared" ref="LR353:LY353" si="3314">IF($F$290, 0, IF($H$300, IF(AND(COLUMN($LR$353)-COLUMN($LJ$351)=$Q$291,ROW($LR$353)-ROW($LJ$351)=$K$291), U$290, LR353), LR353))</f>
        <v>0</v>
      </c>
      <c r="LS353" s="21">
        <f t="shared" si="3314"/>
        <v>0</v>
      </c>
      <c r="LT353" s="21">
        <f t="shared" si="3314"/>
        <v>0</v>
      </c>
      <c r="LU353" s="21">
        <f t="shared" si="3314"/>
        <v>0</v>
      </c>
      <c r="LV353" s="21">
        <f t="shared" si="3314"/>
        <v>0</v>
      </c>
      <c r="LW353" s="21">
        <f t="shared" si="3314"/>
        <v>0</v>
      </c>
      <c r="LX353" s="21">
        <f t="shared" si="3314"/>
        <v>0</v>
      </c>
      <c r="LY353" s="21">
        <f t="shared" si="3314"/>
        <v>0</v>
      </c>
      <c r="LZ353" s="21">
        <f t="shared" ref="LZ353:MG353" si="3315">IF($F$290, 0, IF($H$300, IF(AND(COLUMN($LZ$353)-COLUMN($LJ$351)=$Q$291,ROW($LZ$353)-ROW($LJ$351)=$K$291), U$290, LZ353), LZ353))</f>
        <v>0</v>
      </c>
      <c r="MA353" s="21">
        <f t="shared" si="3315"/>
        <v>0</v>
      </c>
      <c r="MB353" s="21">
        <f t="shared" si="3315"/>
        <v>0</v>
      </c>
      <c r="MC353" s="21">
        <f t="shared" si="3315"/>
        <v>0</v>
      </c>
      <c r="MD353" s="21">
        <f t="shared" si="3315"/>
        <v>0</v>
      </c>
      <c r="ME353" s="21">
        <f t="shared" si="3315"/>
        <v>0</v>
      </c>
      <c r="MF353" s="21">
        <f t="shared" si="3315"/>
        <v>0</v>
      </c>
      <c r="MG353" s="21">
        <f t="shared" si="3315"/>
        <v>0</v>
      </c>
      <c r="MH353" s="21">
        <f t="shared" ref="MH353:MO353" si="3316">IF($F$290, 0, IF($H$300, IF(AND(COLUMN($MH$353)-COLUMN($LJ$351)=$Q$291,ROW($MH$353)-ROW($LJ$351)=$K$291), U$290, MH353), MH353))</f>
        <v>0</v>
      </c>
      <c r="MI353" s="21">
        <f t="shared" si="3316"/>
        <v>0</v>
      </c>
      <c r="MJ353" s="21">
        <f t="shared" si="3316"/>
        <v>0</v>
      </c>
      <c r="MK353" s="21">
        <f t="shared" si="3316"/>
        <v>0</v>
      </c>
      <c r="ML353" s="21">
        <f t="shared" si="3316"/>
        <v>0</v>
      </c>
      <c r="MM353" s="21">
        <f t="shared" si="3316"/>
        <v>0</v>
      </c>
      <c r="MN353" s="21">
        <f t="shared" si="3316"/>
        <v>0</v>
      </c>
      <c r="MO353" s="21">
        <f t="shared" si="3316"/>
        <v>0</v>
      </c>
      <c r="MP353" s="21">
        <f t="shared" ref="MP353:MW353" si="3317">IF($F$290, 0, IF($H$300, IF(AND(COLUMN($MP$353)-COLUMN($LJ$351)=$Q$291,ROW($MP$353)-ROW($LJ$351)=$K$291), U$290, MP353), MP353))</f>
        <v>0</v>
      </c>
      <c r="MQ353" s="21">
        <f t="shared" si="3317"/>
        <v>0</v>
      </c>
      <c r="MR353" s="21">
        <f t="shared" si="3317"/>
        <v>0</v>
      </c>
      <c r="MS353" s="21">
        <f t="shared" si="3317"/>
        <v>0</v>
      </c>
      <c r="MT353" s="21">
        <f t="shared" si="3317"/>
        <v>0</v>
      </c>
      <c r="MU353" s="21">
        <f t="shared" si="3317"/>
        <v>0</v>
      </c>
      <c r="MV353" s="21">
        <f t="shared" si="3317"/>
        <v>0</v>
      </c>
      <c r="MW353" s="21">
        <f t="shared" si="3317"/>
        <v>0</v>
      </c>
      <c r="MX353" s="21">
        <f t="shared" ref="MX353:NE353" si="3318">IF($F$290, 0, IF($H$300, IF(AND(COLUMN($MX$353)-COLUMN($LJ$351)=$Q$291,ROW($MX$353)-ROW($LJ$351)=$K$291), U$290, MX353), MX353))</f>
        <v>0</v>
      </c>
      <c r="MY353" s="21">
        <f t="shared" si="3318"/>
        <v>0</v>
      </c>
      <c r="MZ353" s="21">
        <f t="shared" si="3318"/>
        <v>0</v>
      </c>
      <c r="NA353" s="21">
        <f t="shared" si="3318"/>
        <v>0</v>
      </c>
      <c r="NB353" s="21">
        <f t="shared" si="3318"/>
        <v>0</v>
      </c>
      <c r="NC353" s="21">
        <f t="shared" si="3318"/>
        <v>0</v>
      </c>
      <c r="ND353" s="21">
        <f t="shared" si="3318"/>
        <v>0</v>
      </c>
      <c r="NE353" s="21">
        <f t="shared" si="3318"/>
        <v>0</v>
      </c>
      <c r="NF353" s="21">
        <f t="shared" ref="NF353:NM353" si="3319">IF($F$290, 0, IF($H$300, IF(AND(COLUMN($NF$353)-COLUMN($LJ$351)=$Q$291,ROW($NF$353)-ROW($LJ$351)=$K$291), U$290, NF353), NF353))</f>
        <v>0</v>
      </c>
      <c r="NG353" s="21">
        <f t="shared" si="3319"/>
        <v>0</v>
      </c>
      <c r="NH353" s="21">
        <f t="shared" si="3319"/>
        <v>0</v>
      </c>
      <c r="NI353" s="21">
        <f t="shared" si="3319"/>
        <v>0</v>
      </c>
      <c r="NJ353" s="21">
        <f t="shared" si="3319"/>
        <v>0</v>
      </c>
      <c r="NK353" s="21">
        <f t="shared" si="3319"/>
        <v>0</v>
      </c>
      <c r="NL353" s="21">
        <f t="shared" si="3319"/>
        <v>0</v>
      </c>
      <c r="NM353" s="21">
        <f t="shared" si="3319"/>
        <v>0</v>
      </c>
      <c r="NN353" s="21">
        <f t="shared" ref="NN353:NU353" si="3320">IF($F$290, 0, IF($H$300, IF(AND(COLUMN($NN$353)-COLUMN($LJ$351)=$Q$291,ROW($NN$353)-ROW($LJ$351)=$K$291), U$290, NN353), NN353))</f>
        <v>0</v>
      </c>
      <c r="NO353" s="21">
        <f t="shared" si="3320"/>
        <v>0</v>
      </c>
      <c r="NP353" s="21">
        <f t="shared" si="3320"/>
        <v>0</v>
      </c>
      <c r="NQ353" s="21">
        <f t="shared" si="3320"/>
        <v>0</v>
      </c>
      <c r="NR353" s="21">
        <f t="shared" si="3320"/>
        <v>0</v>
      </c>
      <c r="NS353" s="21">
        <f t="shared" si="3320"/>
        <v>0</v>
      </c>
      <c r="NT353" s="21">
        <f t="shared" si="3320"/>
        <v>0</v>
      </c>
      <c r="NU353" s="21">
        <f t="shared" si="3320"/>
        <v>0</v>
      </c>
      <c r="NV353" s="21">
        <f t="shared" ref="NV353:OC353" si="3321">IF($F$290, 0, IF($I$300, IF(AND(COLUMN($NV$353)-COLUMN($NV$351)=$Q$291,ROW($NV$353)-ROW($NV$351)=$K$291), U$290, NV353), NV353))</f>
        <v>0</v>
      </c>
      <c r="NW353" s="21">
        <f t="shared" si="3321"/>
        <v>0</v>
      </c>
      <c r="NX353" s="21">
        <f t="shared" si="3321"/>
        <v>0</v>
      </c>
      <c r="NY353" s="21">
        <f t="shared" si="3321"/>
        <v>0</v>
      </c>
      <c r="NZ353" s="21">
        <f t="shared" si="3321"/>
        <v>0</v>
      </c>
      <c r="OA353" s="21">
        <f t="shared" si="3321"/>
        <v>0</v>
      </c>
      <c r="OB353" s="21">
        <f t="shared" si="3321"/>
        <v>0</v>
      </c>
      <c r="OC353" s="21">
        <f t="shared" si="3321"/>
        <v>0</v>
      </c>
      <c r="OD353" s="21">
        <f t="shared" ref="OD353:OK353" si="3322">IF($F$290, 0, IF($I$300, IF(AND(COLUMN($OD$353)-COLUMN($NV$351)=$Q$291,ROW($OD$353)-ROW($NV$351)=$K$291), U$290, OD353), OD353))</f>
        <v>0</v>
      </c>
      <c r="OE353" s="21">
        <f t="shared" si="3322"/>
        <v>0</v>
      </c>
      <c r="OF353" s="21">
        <f t="shared" si="3322"/>
        <v>0</v>
      </c>
      <c r="OG353" s="21">
        <f t="shared" si="3322"/>
        <v>0</v>
      </c>
      <c r="OH353" s="21">
        <f t="shared" si="3322"/>
        <v>0</v>
      </c>
      <c r="OI353" s="21">
        <f t="shared" si="3322"/>
        <v>0</v>
      </c>
      <c r="OJ353" s="21">
        <f t="shared" si="3322"/>
        <v>0</v>
      </c>
      <c r="OK353" s="21">
        <f t="shared" si="3322"/>
        <v>0</v>
      </c>
      <c r="OL353" s="21">
        <f t="shared" ref="OL353:OS353" si="3323">IF($F$290, 0, IF($I$300, IF(AND(COLUMN($OL$353)-COLUMN($NV$351)=$Q$291,ROW($OL$353)-ROW($NV$351)=$K$291), U$290, OL353), OL353))</f>
        <v>0</v>
      </c>
      <c r="OM353" s="21">
        <f t="shared" si="3323"/>
        <v>0</v>
      </c>
      <c r="ON353" s="21">
        <f t="shared" si="3323"/>
        <v>0</v>
      </c>
      <c r="OO353" s="21">
        <f t="shared" si="3323"/>
        <v>0</v>
      </c>
      <c r="OP353" s="21">
        <f t="shared" si="3323"/>
        <v>0</v>
      </c>
      <c r="OQ353" s="21">
        <f t="shared" si="3323"/>
        <v>0</v>
      </c>
      <c r="OR353" s="21">
        <f t="shared" si="3323"/>
        <v>0</v>
      </c>
      <c r="OS353" s="21">
        <f t="shared" si="3323"/>
        <v>0</v>
      </c>
      <c r="OT353" s="21">
        <f t="shared" ref="OT353:PA353" si="3324">IF($F$290, 0, IF($I$300, IF(AND(COLUMN($OT$353)-COLUMN($NV$351)=$Q$291,ROW($OT$353)-ROW($NV$351)=$K$291), U$290, OT353), OT353))</f>
        <v>0</v>
      </c>
      <c r="OU353" s="21">
        <f t="shared" si="3324"/>
        <v>0</v>
      </c>
      <c r="OV353" s="21">
        <f t="shared" si="3324"/>
        <v>0</v>
      </c>
      <c r="OW353" s="21">
        <f t="shared" si="3324"/>
        <v>0</v>
      </c>
      <c r="OX353" s="21">
        <f t="shared" si="3324"/>
        <v>0</v>
      </c>
      <c r="OY353" s="21">
        <f t="shared" si="3324"/>
        <v>0</v>
      </c>
      <c r="OZ353" s="21">
        <f t="shared" si="3324"/>
        <v>0</v>
      </c>
      <c r="PA353" s="21">
        <f t="shared" si="3324"/>
        <v>0</v>
      </c>
      <c r="PB353" s="21">
        <f t="shared" ref="PB353:PI353" si="3325">IF($F$290, 0, IF($I$300, IF(AND(COLUMN($PB$353)-COLUMN($NV$351)=$Q$291,ROW($PB$353)-ROW($NV$351)=$K$291), U$290, PB353), PB353))</f>
        <v>0</v>
      </c>
      <c r="PC353" s="21">
        <f t="shared" si="3325"/>
        <v>0</v>
      </c>
      <c r="PD353" s="21">
        <f t="shared" si="3325"/>
        <v>0</v>
      </c>
      <c r="PE353" s="21">
        <f t="shared" si="3325"/>
        <v>0</v>
      </c>
      <c r="PF353" s="21">
        <f t="shared" si="3325"/>
        <v>0</v>
      </c>
      <c r="PG353" s="21">
        <f t="shared" si="3325"/>
        <v>0</v>
      </c>
      <c r="PH353" s="21">
        <f t="shared" si="3325"/>
        <v>0</v>
      </c>
      <c r="PI353" s="21">
        <f t="shared" si="3325"/>
        <v>0</v>
      </c>
      <c r="PJ353" s="21">
        <f t="shared" ref="PJ353:PQ353" si="3326">IF($F$290, 0, IF($I$300, IF(AND(COLUMN($PJ$353)-COLUMN($NV$351)=$Q$291,ROW($PJ$353)-ROW($NV$351)=$K$291), U$290, PJ353), PJ353))</f>
        <v>0</v>
      </c>
      <c r="PK353" s="21">
        <f t="shared" si="3326"/>
        <v>0</v>
      </c>
      <c r="PL353" s="21">
        <f t="shared" si="3326"/>
        <v>0</v>
      </c>
      <c r="PM353" s="21">
        <f t="shared" si="3326"/>
        <v>0</v>
      </c>
      <c r="PN353" s="21">
        <f t="shared" si="3326"/>
        <v>0</v>
      </c>
      <c r="PO353" s="21">
        <f t="shared" si="3326"/>
        <v>0</v>
      </c>
      <c r="PP353" s="21">
        <f t="shared" si="3326"/>
        <v>0</v>
      </c>
      <c r="PQ353" s="21">
        <f t="shared" si="3326"/>
        <v>0</v>
      </c>
      <c r="PR353" s="21">
        <f t="shared" ref="PR353:PY353" si="3327">IF($F$290, 0, IF($I$300, IF(AND(COLUMN($PR$353)-COLUMN($NV$351)=$Q$291,ROW($PR$353)-ROW($NV$351)=$K$291), U$290, PR353), PR353))</f>
        <v>0</v>
      </c>
      <c r="PS353" s="21">
        <f t="shared" si="3327"/>
        <v>0</v>
      </c>
      <c r="PT353" s="21">
        <f t="shared" si="3327"/>
        <v>0</v>
      </c>
      <c r="PU353" s="21">
        <f t="shared" si="3327"/>
        <v>0</v>
      </c>
      <c r="PV353" s="21">
        <f t="shared" si="3327"/>
        <v>0</v>
      </c>
      <c r="PW353" s="21">
        <f t="shared" si="3327"/>
        <v>0</v>
      </c>
      <c r="PX353" s="21">
        <f t="shared" si="3327"/>
        <v>0</v>
      </c>
      <c r="PY353" s="21">
        <f t="shared" si="3327"/>
        <v>0</v>
      </c>
      <c r="PZ353" s="21">
        <f t="shared" ref="PZ353:QG353" si="3328">IF($F$290, 0, IF($I$300, IF(AND(COLUMN($PZ$353)-COLUMN($NV$351)=$Q$291,ROW($PZ$353)-ROW($NV$351)=$K$291), U$290, PZ353), PZ353))</f>
        <v>0</v>
      </c>
      <c r="QA353" s="21">
        <f t="shared" si="3328"/>
        <v>0</v>
      </c>
      <c r="QB353" s="21">
        <f t="shared" si="3328"/>
        <v>0</v>
      </c>
      <c r="QC353" s="21">
        <f t="shared" si="3328"/>
        <v>0</v>
      </c>
      <c r="QD353" s="21">
        <f t="shared" si="3328"/>
        <v>0</v>
      </c>
      <c r="QE353" s="21">
        <f t="shared" si="3328"/>
        <v>0</v>
      </c>
      <c r="QF353" s="21">
        <f t="shared" si="3328"/>
        <v>0</v>
      </c>
      <c r="QG353" s="21">
        <f t="shared" si="3328"/>
        <v>0</v>
      </c>
      <c r="QH353" s="21">
        <f t="shared" ref="QH353:QO353" si="3329">IF($F$290, 0, IF($J$300, IF(AND(COLUMN($QH$353)-COLUMN($QH$351)=$Q$291,ROW($QH$353)-ROW($QH$351)=$K$291), U$290, QH353), QH353))</f>
        <v>0</v>
      </c>
      <c r="QI353" s="21">
        <f t="shared" si="3329"/>
        <v>0</v>
      </c>
      <c r="QJ353" s="21">
        <f t="shared" si="3329"/>
        <v>0</v>
      </c>
      <c r="QK353" s="21">
        <f t="shared" si="3329"/>
        <v>0</v>
      </c>
      <c r="QL353" s="21">
        <f t="shared" si="3329"/>
        <v>0</v>
      </c>
      <c r="QM353" s="21">
        <f t="shared" si="3329"/>
        <v>0</v>
      </c>
      <c r="QN353" s="21">
        <f t="shared" si="3329"/>
        <v>0</v>
      </c>
      <c r="QO353" s="21">
        <f t="shared" si="3329"/>
        <v>0</v>
      </c>
      <c r="QP353" s="21">
        <f t="shared" ref="QP353:QW353" si="3330">IF($F$290, 0, IF($J$300, IF(AND(COLUMN($QP$353)-COLUMN($QH$351)=$Q$291,ROW($QP$353)-ROW($QH$351)=$K$291), U$290, QP353), QP353))</f>
        <v>0</v>
      </c>
      <c r="QQ353" s="21">
        <f t="shared" si="3330"/>
        <v>0</v>
      </c>
      <c r="QR353" s="21">
        <f t="shared" si="3330"/>
        <v>0</v>
      </c>
      <c r="QS353" s="21">
        <f t="shared" si="3330"/>
        <v>0</v>
      </c>
      <c r="QT353" s="21">
        <f t="shared" si="3330"/>
        <v>0</v>
      </c>
      <c r="QU353" s="21">
        <f t="shared" si="3330"/>
        <v>0</v>
      </c>
      <c r="QV353" s="21">
        <f t="shared" si="3330"/>
        <v>0</v>
      </c>
      <c r="QW353" s="21">
        <f t="shared" si="3330"/>
        <v>0</v>
      </c>
      <c r="QX353" s="21">
        <f t="shared" ref="QX353:RE353" si="3331">IF($F$290, 0, IF($J$300, IF(AND(COLUMN($QX$353)-COLUMN($QH$351)=$Q$291,ROW($QX$353)-ROW($QH$351)=$K$291), U$290, QX353), QX353))</f>
        <v>0</v>
      </c>
      <c r="QY353" s="21">
        <f t="shared" si="3331"/>
        <v>0</v>
      </c>
      <c r="QZ353" s="21">
        <f t="shared" si="3331"/>
        <v>0</v>
      </c>
      <c r="RA353" s="21">
        <f t="shared" si="3331"/>
        <v>0</v>
      </c>
      <c r="RB353" s="21">
        <f t="shared" si="3331"/>
        <v>0</v>
      </c>
      <c r="RC353" s="21">
        <f t="shared" si="3331"/>
        <v>0</v>
      </c>
      <c r="RD353" s="21">
        <f t="shared" si="3331"/>
        <v>0</v>
      </c>
      <c r="RE353" s="21">
        <f t="shared" si="3331"/>
        <v>0</v>
      </c>
      <c r="RF353" s="21">
        <f t="shared" ref="RF353:RM353" si="3332">IF($F$290, 0, IF($J$300, IF(AND(COLUMN($RF$353)-COLUMN($QH$351)=$Q$291,ROW($RF$353)-ROW($QH$351)=$K$291), U$290, RF353), RF353))</f>
        <v>0</v>
      </c>
      <c r="RG353" s="21">
        <f t="shared" si="3332"/>
        <v>0</v>
      </c>
      <c r="RH353" s="21">
        <f t="shared" si="3332"/>
        <v>0</v>
      </c>
      <c r="RI353" s="21">
        <f t="shared" si="3332"/>
        <v>0</v>
      </c>
      <c r="RJ353" s="21">
        <f t="shared" si="3332"/>
        <v>0</v>
      </c>
      <c r="RK353" s="21">
        <f t="shared" si="3332"/>
        <v>0</v>
      </c>
      <c r="RL353" s="21">
        <f t="shared" si="3332"/>
        <v>0</v>
      </c>
      <c r="RM353" s="21">
        <f t="shared" si="3332"/>
        <v>0</v>
      </c>
      <c r="RN353" s="21">
        <f t="shared" ref="RN353:RU353" si="3333">IF($F$290, 0, IF($J$300, IF(AND(COLUMN($RN$353)-COLUMN($QH$351)=$Q$291,ROW($RN$353)-ROW($QH$351)=$K$291), U$290, RN353), RN353))</f>
        <v>0</v>
      </c>
      <c r="RO353" s="21">
        <f t="shared" si="3333"/>
        <v>0</v>
      </c>
      <c r="RP353" s="21">
        <f t="shared" si="3333"/>
        <v>0</v>
      </c>
      <c r="RQ353" s="21">
        <f t="shared" si="3333"/>
        <v>0</v>
      </c>
      <c r="RR353" s="21">
        <f t="shared" si="3333"/>
        <v>0</v>
      </c>
      <c r="RS353" s="21">
        <f t="shared" si="3333"/>
        <v>0</v>
      </c>
      <c r="RT353" s="21">
        <f t="shared" si="3333"/>
        <v>0</v>
      </c>
      <c r="RU353" s="21">
        <f t="shared" si="3333"/>
        <v>0</v>
      </c>
      <c r="RV353" s="21">
        <f t="shared" ref="RV353:SC353" si="3334">IF($F$290, 0, IF($J$300, IF(AND(COLUMN($RV$353)-COLUMN($QH$351)=$Q$291,ROW($RV$353)-ROW($QH$351)=$K$291), U$290, RV353), RV353))</f>
        <v>0</v>
      </c>
      <c r="RW353" s="21">
        <f t="shared" si="3334"/>
        <v>0</v>
      </c>
      <c r="RX353" s="21">
        <f t="shared" si="3334"/>
        <v>0</v>
      </c>
      <c r="RY353" s="21">
        <f t="shared" si="3334"/>
        <v>0</v>
      </c>
      <c r="RZ353" s="21">
        <f t="shared" si="3334"/>
        <v>0</v>
      </c>
      <c r="SA353" s="21">
        <f t="shared" si="3334"/>
        <v>0</v>
      </c>
      <c r="SB353" s="21">
        <f t="shared" si="3334"/>
        <v>0</v>
      </c>
      <c r="SC353" s="21">
        <f t="shared" si="3334"/>
        <v>0</v>
      </c>
      <c r="SD353" s="21">
        <f t="shared" ref="SD353:SK353" si="3335">IF($F$290, 0, IF($J$300, IF(AND(COLUMN($SD$353)-COLUMN($QH$351)=$Q$291,ROW($SD$353)-ROW($QH$351)=$K$291), U$290, SD353), SD353))</f>
        <v>0</v>
      </c>
      <c r="SE353" s="21">
        <f t="shared" si="3335"/>
        <v>0</v>
      </c>
      <c r="SF353" s="21">
        <f t="shared" si="3335"/>
        <v>0</v>
      </c>
      <c r="SG353" s="21">
        <f t="shared" si="3335"/>
        <v>0</v>
      </c>
      <c r="SH353" s="21">
        <f t="shared" si="3335"/>
        <v>0</v>
      </c>
      <c r="SI353" s="21">
        <f t="shared" si="3335"/>
        <v>0</v>
      </c>
      <c r="SJ353" s="21">
        <f t="shared" si="3335"/>
        <v>0</v>
      </c>
      <c r="SK353" s="21">
        <f t="shared" si="3335"/>
        <v>0</v>
      </c>
      <c r="SL353" s="21">
        <f t="shared" ref="SL353:SS353" si="3336">IF($F$290, 0, IF($J$300, IF(AND(COLUMN($SL$353)-COLUMN($QH$351)=$Q$291,ROW($SL$353)-ROW($QH$351)=$K$291), U$290, SL353), SL353))</f>
        <v>0</v>
      </c>
      <c r="SM353" s="21">
        <f t="shared" si="3336"/>
        <v>0</v>
      </c>
      <c r="SN353" s="21">
        <f t="shared" si="3336"/>
        <v>0</v>
      </c>
      <c r="SO353" s="21">
        <f t="shared" si="3336"/>
        <v>0</v>
      </c>
      <c r="SP353" s="21">
        <f t="shared" si="3336"/>
        <v>0</v>
      </c>
      <c r="SQ353" s="21">
        <f t="shared" si="3336"/>
        <v>0</v>
      </c>
      <c r="SR353" s="21">
        <f t="shared" si="3336"/>
        <v>0</v>
      </c>
      <c r="SS353" s="21">
        <f t="shared" si="3336"/>
        <v>0</v>
      </c>
    </row>
    <row r="354" spans="2:513" ht="15" customHeight="1" x14ac:dyDescent="0.25">
      <c r="B354" s="21">
        <f t="shared" ref="B354:I354" si="3337">IF($F$290, 0, IF($C$300, IF(AND(COLUMN($B$354)-COLUMN($B$351)=$Q$291,ROW($B$354)-ROW($B$351)=$K$291), U$290, B354), B354))</f>
        <v>0</v>
      </c>
      <c r="C354" s="21">
        <f t="shared" si="3337"/>
        <v>0</v>
      </c>
      <c r="D354" s="21">
        <f t="shared" si="3337"/>
        <v>0</v>
      </c>
      <c r="E354" s="21">
        <f t="shared" si="3337"/>
        <v>0</v>
      </c>
      <c r="F354" s="21">
        <f t="shared" si="3337"/>
        <v>0</v>
      </c>
      <c r="G354" s="21">
        <f t="shared" si="3337"/>
        <v>0</v>
      </c>
      <c r="H354" s="21">
        <f t="shared" si="3337"/>
        <v>0</v>
      </c>
      <c r="I354" s="21">
        <f t="shared" si="3337"/>
        <v>0</v>
      </c>
      <c r="J354" s="21">
        <f t="shared" ref="J354:Q354" si="3338">IF($F$290, 0, IF($C$300, IF(AND(COLUMN($J$354)-COLUMN($B$351)=$Q$291,ROW($J$354)-ROW($B$351)=$K$291), U$290, J354), J354))</f>
        <v>0</v>
      </c>
      <c r="K354" s="21">
        <f t="shared" si="3338"/>
        <v>0</v>
      </c>
      <c r="L354" s="21">
        <f t="shared" si="3338"/>
        <v>0</v>
      </c>
      <c r="M354" s="21">
        <f t="shared" si="3338"/>
        <v>0</v>
      </c>
      <c r="N354" s="21">
        <f t="shared" si="3338"/>
        <v>0</v>
      </c>
      <c r="O354" s="21">
        <f t="shared" si="3338"/>
        <v>0</v>
      </c>
      <c r="P354" s="21">
        <f t="shared" si="3338"/>
        <v>0</v>
      </c>
      <c r="Q354" s="21">
        <f t="shared" si="3338"/>
        <v>0</v>
      </c>
      <c r="R354" s="21">
        <f>IF($F$290, 0, IF($C$300, IF(AND(COLUMN($R$354)-COLUMN($B$351)=$Q$291,ROW($R$354)-ROW($B$351)=$K$291), U$290, R354), R354))</f>
        <v>0</v>
      </c>
      <c r="S354" s="21">
        <f t="shared" ref="S354:Y354" si="3339">IF($F$290, 0, IF($C$300, IF(AND(COLUMN($R$354)-COLUMN($B$351)=$Q$291,ROW($R$354)-ROW($B$351)=$K$291), V$290, S354), S354))</f>
        <v>0</v>
      </c>
      <c r="T354" s="21">
        <f t="shared" si="3339"/>
        <v>0</v>
      </c>
      <c r="U354" s="21">
        <f t="shared" si="3339"/>
        <v>0</v>
      </c>
      <c r="V354" s="21">
        <f t="shared" si="3339"/>
        <v>0</v>
      </c>
      <c r="W354" s="21">
        <f t="shared" si="3339"/>
        <v>0</v>
      </c>
      <c r="X354" s="21">
        <f t="shared" si="3339"/>
        <v>0</v>
      </c>
      <c r="Y354" s="21">
        <f t="shared" si="3339"/>
        <v>0</v>
      </c>
      <c r="Z354" s="21">
        <f t="shared" ref="Z354:AG354" si="3340">IF($F$290, 0, IF($C$300, IF(AND(COLUMN($Z$354)-COLUMN($B$351)=$Q$291,ROW($Z$354)-ROW($B$351)=$K$291), U$290, Z354), Z354))</f>
        <v>0</v>
      </c>
      <c r="AA354" s="21">
        <f t="shared" si="3340"/>
        <v>0</v>
      </c>
      <c r="AB354" s="21">
        <f t="shared" si="3340"/>
        <v>0</v>
      </c>
      <c r="AC354" s="21">
        <f t="shared" si="3340"/>
        <v>0</v>
      </c>
      <c r="AD354" s="21">
        <f t="shared" si="3340"/>
        <v>0</v>
      </c>
      <c r="AE354" s="21">
        <f t="shared" si="3340"/>
        <v>0</v>
      </c>
      <c r="AF354" s="21">
        <f t="shared" si="3340"/>
        <v>0</v>
      </c>
      <c r="AG354" s="21">
        <f t="shared" si="3340"/>
        <v>0</v>
      </c>
      <c r="AH354" s="21">
        <f t="shared" ref="AH354:AO354" si="3341">IF($F$290, 0, IF($C$300, IF(AND(COLUMN($AH$354)-COLUMN($B$351)=$Q$291,ROW($AH$354)-ROW($B$351)=$K$291), U$290, AH354), AH354))</f>
        <v>0</v>
      </c>
      <c r="AI354" s="21">
        <f t="shared" si="3341"/>
        <v>0</v>
      </c>
      <c r="AJ354" s="21">
        <f t="shared" si="3341"/>
        <v>0</v>
      </c>
      <c r="AK354" s="21">
        <f t="shared" si="3341"/>
        <v>0</v>
      </c>
      <c r="AL354" s="21">
        <f t="shared" si="3341"/>
        <v>0</v>
      </c>
      <c r="AM354" s="21">
        <f t="shared" si="3341"/>
        <v>0</v>
      </c>
      <c r="AN354" s="21">
        <f t="shared" si="3341"/>
        <v>0</v>
      </c>
      <c r="AO354" s="21">
        <f t="shared" si="3341"/>
        <v>0</v>
      </c>
      <c r="AP354" s="21">
        <f t="shared" ref="AP354:AW354" si="3342">IF($F$290, 0, IF($C$300, IF(AND(COLUMN($AP$354)-COLUMN($B$351)=$Q$291,ROW($AP$354)-ROW($B$351)=$K$291), U$290, AP354), AP354))</f>
        <v>0</v>
      </c>
      <c r="AQ354" s="21">
        <f t="shared" si="3342"/>
        <v>0</v>
      </c>
      <c r="AR354" s="21">
        <f t="shared" si="3342"/>
        <v>0</v>
      </c>
      <c r="AS354" s="21">
        <f t="shared" si="3342"/>
        <v>0</v>
      </c>
      <c r="AT354" s="21">
        <f t="shared" si="3342"/>
        <v>0</v>
      </c>
      <c r="AU354" s="21">
        <f t="shared" si="3342"/>
        <v>0</v>
      </c>
      <c r="AV354" s="21">
        <f t="shared" si="3342"/>
        <v>0</v>
      </c>
      <c r="AW354" s="21">
        <f t="shared" si="3342"/>
        <v>0</v>
      </c>
      <c r="AX354" s="21">
        <f t="shared" ref="AX354:BE354" si="3343">IF($F$290, 0, IF($C$300, IF(AND(COLUMN($AX$354)-COLUMN($B$351)=$Q$291,ROW($AX$354)-ROW($B$351)=$K$291), U$290, AX354), AX354))</f>
        <v>0</v>
      </c>
      <c r="AY354" s="21">
        <f t="shared" si="3343"/>
        <v>0</v>
      </c>
      <c r="AZ354" s="21">
        <f t="shared" si="3343"/>
        <v>0</v>
      </c>
      <c r="BA354" s="21">
        <f t="shared" si="3343"/>
        <v>0</v>
      </c>
      <c r="BB354" s="21">
        <f t="shared" si="3343"/>
        <v>0</v>
      </c>
      <c r="BC354" s="21">
        <f t="shared" si="3343"/>
        <v>0</v>
      </c>
      <c r="BD354" s="21">
        <f t="shared" si="3343"/>
        <v>0</v>
      </c>
      <c r="BE354" s="21">
        <f t="shared" si="3343"/>
        <v>0</v>
      </c>
      <c r="BF354" s="21">
        <f t="shared" ref="BF354:BM354" si="3344">IF($F$290, 0, IF($C$300, IF(AND(COLUMN($BF$354)-COLUMN($B$351)=$Q$291,ROW($BF$354)-ROW($B$351)=$K$291), U$290, BF354), BF354))</f>
        <v>0</v>
      </c>
      <c r="BG354" s="21">
        <f t="shared" si="3344"/>
        <v>0</v>
      </c>
      <c r="BH354" s="21">
        <f t="shared" si="3344"/>
        <v>0</v>
      </c>
      <c r="BI354" s="21">
        <f t="shared" si="3344"/>
        <v>0</v>
      </c>
      <c r="BJ354" s="21">
        <f t="shared" si="3344"/>
        <v>0</v>
      </c>
      <c r="BK354" s="21">
        <f t="shared" si="3344"/>
        <v>0</v>
      </c>
      <c r="BL354" s="21">
        <f t="shared" si="3344"/>
        <v>0</v>
      </c>
      <c r="BM354" s="21">
        <f t="shared" si="3344"/>
        <v>0</v>
      </c>
      <c r="BN354" s="21">
        <f t="shared" ref="BN354:BU354" si="3345">IF($F$290, 0, IF($D$300, IF(AND(COLUMN($BN$354)-COLUMN($BN$351)=$Q$291,ROW($BN$354)-ROW($BN$351)=$K$291), U$290, BN354), BN354))</f>
        <v>0</v>
      </c>
      <c r="BO354" s="21">
        <f t="shared" si="3345"/>
        <v>0</v>
      </c>
      <c r="BP354" s="21">
        <f t="shared" si="3345"/>
        <v>0</v>
      </c>
      <c r="BQ354" s="21">
        <f t="shared" si="3345"/>
        <v>0</v>
      </c>
      <c r="BR354" s="21">
        <f t="shared" si="3345"/>
        <v>0</v>
      </c>
      <c r="BS354" s="21">
        <f t="shared" si="3345"/>
        <v>0</v>
      </c>
      <c r="BT354" s="21">
        <f t="shared" si="3345"/>
        <v>0</v>
      </c>
      <c r="BU354" s="21">
        <f t="shared" si="3345"/>
        <v>0</v>
      </c>
      <c r="BV354" s="21">
        <f t="shared" ref="BV354:CC354" si="3346">IF($F$290, 0, IF($D$300, IF(AND(COLUMN($BV$354)-COLUMN($BN$351)=$Q$291,ROW($BV$354)-ROW($BN$351)=$K$291), U$290, BV354), BV354))</f>
        <v>0</v>
      </c>
      <c r="BW354" s="21">
        <f t="shared" si="3346"/>
        <v>0</v>
      </c>
      <c r="BX354" s="21">
        <f t="shared" si="3346"/>
        <v>0</v>
      </c>
      <c r="BY354" s="21">
        <f t="shared" si="3346"/>
        <v>0</v>
      </c>
      <c r="BZ354" s="21">
        <f t="shared" si="3346"/>
        <v>0</v>
      </c>
      <c r="CA354" s="21">
        <f t="shared" si="3346"/>
        <v>0</v>
      </c>
      <c r="CB354" s="21">
        <f t="shared" si="3346"/>
        <v>0</v>
      </c>
      <c r="CC354" s="21">
        <f t="shared" si="3346"/>
        <v>0</v>
      </c>
      <c r="CD354" s="21">
        <f t="shared" ref="CD354:CK354" si="3347">IF($F$290, 0, IF($D$300, IF(AND(COLUMN($CD$354)-COLUMN($BN$351)=$Q$291,ROW($CD$354)-ROW($BN$351)=$K$291), U$290, CD354), CD354))</f>
        <v>0</v>
      </c>
      <c r="CE354" s="21">
        <f t="shared" si="3347"/>
        <v>0</v>
      </c>
      <c r="CF354" s="21">
        <f t="shared" si="3347"/>
        <v>0</v>
      </c>
      <c r="CG354" s="21">
        <f t="shared" si="3347"/>
        <v>0</v>
      </c>
      <c r="CH354" s="21">
        <f t="shared" si="3347"/>
        <v>0</v>
      </c>
      <c r="CI354" s="21">
        <f t="shared" si="3347"/>
        <v>0</v>
      </c>
      <c r="CJ354" s="21">
        <f t="shared" si="3347"/>
        <v>0</v>
      </c>
      <c r="CK354" s="21">
        <f t="shared" si="3347"/>
        <v>0</v>
      </c>
      <c r="CL354" s="21">
        <f t="shared" ref="CL354:CS354" si="3348">IF($F$290, 0, IF($D$300, IF(AND(COLUMN($CL$354)-COLUMN($BN$351)=$Q$291,ROW($CL$354)-ROW($BN$351)=$K$291), U$290, CL354), CL354))</f>
        <v>0</v>
      </c>
      <c r="CM354" s="21">
        <f t="shared" si="3348"/>
        <v>0</v>
      </c>
      <c r="CN354" s="21">
        <f t="shared" si="3348"/>
        <v>0</v>
      </c>
      <c r="CO354" s="21">
        <f t="shared" si="3348"/>
        <v>0</v>
      </c>
      <c r="CP354" s="21">
        <f t="shared" si="3348"/>
        <v>0</v>
      </c>
      <c r="CQ354" s="21">
        <f t="shared" si="3348"/>
        <v>0</v>
      </c>
      <c r="CR354" s="21">
        <f t="shared" si="3348"/>
        <v>0</v>
      </c>
      <c r="CS354" s="21">
        <f t="shared" si="3348"/>
        <v>0</v>
      </c>
      <c r="CT354" s="21">
        <f t="shared" ref="CT354:DA354" si="3349">IF($F$290, 0, IF($D$300, IF(AND(COLUMN($CT$354)-COLUMN($BN$351)=$Q$291,ROW($CT$354)-ROW($BN$351)=$K$291), U$290, CT354), CT354))</f>
        <v>0</v>
      </c>
      <c r="CU354" s="21">
        <f t="shared" si="3349"/>
        <v>0</v>
      </c>
      <c r="CV354" s="21">
        <f t="shared" si="3349"/>
        <v>0</v>
      </c>
      <c r="CW354" s="21">
        <f t="shared" si="3349"/>
        <v>0</v>
      </c>
      <c r="CX354" s="21">
        <f t="shared" si="3349"/>
        <v>0</v>
      </c>
      <c r="CY354" s="21">
        <f t="shared" si="3349"/>
        <v>0</v>
      </c>
      <c r="CZ354" s="21">
        <f t="shared" si="3349"/>
        <v>0</v>
      </c>
      <c r="DA354" s="21">
        <f t="shared" si="3349"/>
        <v>0</v>
      </c>
      <c r="DB354" s="21">
        <f t="shared" ref="DB354:DI354" si="3350">IF($F$290, 0, IF($D$300, IF(AND(COLUMN($DB$354)-COLUMN($BN$351)=$Q$291,ROW($DB$354)-ROW($BN$351)=$K$291), U$290, DB354), DB354))</f>
        <v>0</v>
      </c>
      <c r="DC354" s="21">
        <f t="shared" si="3350"/>
        <v>0</v>
      </c>
      <c r="DD354" s="21">
        <f t="shared" si="3350"/>
        <v>0</v>
      </c>
      <c r="DE354" s="21">
        <f t="shared" si="3350"/>
        <v>0</v>
      </c>
      <c r="DF354" s="21">
        <f t="shared" si="3350"/>
        <v>0</v>
      </c>
      <c r="DG354" s="21">
        <f t="shared" si="3350"/>
        <v>0</v>
      </c>
      <c r="DH354" s="21">
        <f t="shared" si="3350"/>
        <v>0</v>
      </c>
      <c r="DI354" s="21">
        <f t="shared" si="3350"/>
        <v>0</v>
      </c>
      <c r="DJ354" s="21">
        <f t="shared" ref="DJ354:DQ354" si="3351">IF($F$290, 0, IF($D$300, IF(AND(COLUMN($DJ$354)-COLUMN($BN$351)=$Q$291,ROW($DJ$354)-ROW($BN$351)=$K$291), U$290, DJ354), DJ354))</f>
        <v>0</v>
      </c>
      <c r="DK354" s="21">
        <f t="shared" si="3351"/>
        <v>0</v>
      </c>
      <c r="DL354" s="21">
        <f t="shared" si="3351"/>
        <v>0</v>
      </c>
      <c r="DM354" s="21">
        <f t="shared" si="3351"/>
        <v>0</v>
      </c>
      <c r="DN354" s="21">
        <f t="shared" si="3351"/>
        <v>0</v>
      </c>
      <c r="DO354" s="21">
        <f t="shared" si="3351"/>
        <v>0</v>
      </c>
      <c r="DP354" s="21">
        <f t="shared" si="3351"/>
        <v>0</v>
      </c>
      <c r="DQ354" s="21">
        <f t="shared" si="3351"/>
        <v>0</v>
      </c>
      <c r="DR354" s="21">
        <f t="shared" ref="DR354:DY354" si="3352">IF($F$290, 0, IF($D$300, IF(AND(COLUMN($DR$354)-COLUMN($BN$351)=$Q$291,ROW($DR$354)-ROW($BN$351)=$K$291), U$290, DR354), DR354))</f>
        <v>0</v>
      </c>
      <c r="DS354" s="21">
        <f t="shared" si="3352"/>
        <v>0</v>
      </c>
      <c r="DT354" s="21">
        <f t="shared" si="3352"/>
        <v>0</v>
      </c>
      <c r="DU354" s="21">
        <f t="shared" si="3352"/>
        <v>0</v>
      </c>
      <c r="DV354" s="21">
        <f t="shared" si="3352"/>
        <v>0</v>
      </c>
      <c r="DW354" s="21">
        <f t="shared" si="3352"/>
        <v>0</v>
      </c>
      <c r="DX354" s="21">
        <f t="shared" si="3352"/>
        <v>0</v>
      </c>
      <c r="DY354" s="21">
        <f t="shared" si="3352"/>
        <v>0</v>
      </c>
      <c r="DZ354" s="21">
        <f t="shared" ref="DZ354:EG354" si="3353">IF($F$290, 0, IF($E$300, IF(AND(COLUMN($DZ$354)-COLUMN($DZ$351)=$Q$291,ROW($DZ$354)-ROW($DZ$351)=$K$291), U$290, DZ354), DZ354))</f>
        <v>0</v>
      </c>
      <c r="EA354" s="21">
        <f t="shared" si="3353"/>
        <v>0</v>
      </c>
      <c r="EB354" s="21">
        <f t="shared" si="3353"/>
        <v>0</v>
      </c>
      <c r="EC354" s="21">
        <f t="shared" si="3353"/>
        <v>0</v>
      </c>
      <c r="ED354" s="21">
        <f t="shared" si="3353"/>
        <v>0</v>
      </c>
      <c r="EE354" s="21">
        <f t="shared" si="3353"/>
        <v>0</v>
      </c>
      <c r="EF354" s="21">
        <f t="shared" si="3353"/>
        <v>0</v>
      </c>
      <c r="EG354" s="21">
        <f t="shared" si="3353"/>
        <v>0</v>
      </c>
      <c r="EH354" s="21">
        <f t="shared" ref="EH354:EO354" si="3354">IF($F$290, 0, IF($E$300, IF(AND(COLUMN($EH$354)-COLUMN($DZ$351)=$Q$291,ROW($EH$354)-ROW($DZ$351)=$K$291), U$290, EH354), EH354))</f>
        <v>0</v>
      </c>
      <c r="EI354" s="21">
        <f t="shared" si="3354"/>
        <v>0</v>
      </c>
      <c r="EJ354" s="21">
        <f t="shared" si="3354"/>
        <v>0</v>
      </c>
      <c r="EK354" s="21">
        <f t="shared" si="3354"/>
        <v>0</v>
      </c>
      <c r="EL354" s="21">
        <f t="shared" si="3354"/>
        <v>0</v>
      </c>
      <c r="EM354" s="21">
        <f t="shared" si="3354"/>
        <v>0</v>
      </c>
      <c r="EN354" s="21">
        <f t="shared" si="3354"/>
        <v>0</v>
      </c>
      <c r="EO354" s="21">
        <f t="shared" si="3354"/>
        <v>0</v>
      </c>
      <c r="EP354" s="21">
        <f t="shared" ref="EP354:EW354" si="3355">IF($F$290, 0, IF($E$300, IF(AND(COLUMN($EP$354)-COLUMN($DZ$351)=$Q$291,ROW($EP$354)-ROW($DZ$351)=$K$291), U$290, EP354), EP354))</f>
        <v>0</v>
      </c>
      <c r="EQ354" s="21">
        <f t="shared" si="3355"/>
        <v>0</v>
      </c>
      <c r="ER354" s="21">
        <f t="shared" si="3355"/>
        <v>0</v>
      </c>
      <c r="ES354" s="21">
        <f t="shared" si="3355"/>
        <v>0</v>
      </c>
      <c r="ET354" s="21">
        <f t="shared" si="3355"/>
        <v>0</v>
      </c>
      <c r="EU354" s="21">
        <f t="shared" si="3355"/>
        <v>0</v>
      </c>
      <c r="EV354" s="21">
        <f t="shared" si="3355"/>
        <v>0</v>
      </c>
      <c r="EW354" s="21">
        <f t="shared" si="3355"/>
        <v>0</v>
      </c>
      <c r="EX354" s="21">
        <f t="shared" ref="EX354:FE354" si="3356">IF($F$290, 0, IF($E$300, IF(AND(COLUMN($EX$354)-COLUMN($DZ$351)=$Q$291,ROW($EX$354)-ROW($DZ$351)=$K$291), U$290, EX354), EX354))</f>
        <v>0</v>
      </c>
      <c r="EY354" s="21">
        <f t="shared" si="3356"/>
        <v>0</v>
      </c>
      <c r="EZ354" s="21">
        <f t="shared" si="3356"/>
        <v>0</v>
      </c>
      <c r="FA354" s="21">
        <f t="shared" si="3356"/>
        <v>0</v>
      </c>
      <c r="FB354" s="21">
        <f t="shared" si="3356"/>
        <v>0</v>
      </c>
      <c r="FC354" s="21">
        <f t="shared" si="3356"/>
        <v>0</v>
      </c>
      <c r="FD354" s="21">
        <f t="shared" si="3356"/>
        <v>0</v>
      </c>
      <c r="FE354" s="21">
        <f t="shared" si="3356"/>
        <v>0</v>
      </c>
      <c r="FF354" s="21">
        <f t="shared" ref="FF354:FM354" si="3357">IF($F$290, 0, IF($E$300, IF(AND(COLUMN($FF$354)-COLUMN($DZ$351)=$Q$291,ROW($FF$354)-ROW($DZ$351)=$K$291), U$290, FF354), FF354))</f>
        <v>0</v>
      </c>
      <c r="FG354" s="21">
        <f t="shared" si="3357"/>
        <v>0</v>
      </c>
      <c r="FH354" s="21">
        <f t="shared" si="3357"/>
        <v>0</v>
      </c>
      <c r="FI354" s="21">
        <f t="shared" si="3357"/>
        <v>0</v>
      </c>
      <c r="FJ354" s="21">
        <f t="shared" si="3357"/>
        <v>0</v>
      </c>
      <c r="FK354" s="21">
        <f t="shared" si="3357"/>
        <v>0</v>
      </c>
      <c r="FL354" s="21">
        <f t="shared" si="3357"/>
        <v>0</v>
      </c>
      <c r="FM354" s="21">
        <f t="shared" si="3357"/>
        <v>0</v>
      </c>
      <c r="FN354" s="21">
        <f t="shared" ref="FN354:FU354" si="3358">IF($F$290, 0, IF($E$300, IF(AND(COLUMN($FN$354)-COLUMN($DZ$351)=$Q$291,ROW($FN$354)-ROW($DZ$351)=$K$291), U$290, FN354), FN354))</f>
        <v>0</v>
      </c>
      <c r="FO354" s="21">
        <f t="shared" si="3358"/>
        <v>0</v>
      </c>
      <c r="FP354" s="21">
        <f t="shared" si="3358"/>
        <v>0</v>
      </c>
      <c r="FQ354" s="21">
        <f t="shared" si="3358"/>
        <v>0</v>
      </c>
      <c r="FR354" s="21">
        <f t="shared" si="3358"/>
        <v>0</v>
      </c>
      <c r="FS354" s="21">
        <f t="shared" si="3358"/>
        <v>0</v>
      </c>
      <c r="FT354" s="21">
        <f t="shared" si="3358"/>
        <v>0</v>
      </c>
      <c r="FU354" s="21">
        <f t="shared" si="3358"/>
        <v>0</v>
      </c>
      <c r="FV354" s="21">
        <f t="shared" ref="FV354:GC354" si="3359">IF($F$290, 0, IF($E$300, IF(AND(COLUMN($FV$354)-COLUMN($DZ$351)=$Q$291,ROW($FV$354)-ROW($DZ$351)=$K$291), U$290, FV354), FV354))</f>
        <v>0</v>
      </c>
      <c r="FW354" s="21">
        <f t="shared" si="3359"/>
        <v>0</v>
      </c>
      <c r="FX354" s="21">
        <f t="shared" si="3359"/>
        <v>0</v>
      </c>
      <c r="FY354" s="21">
        <f t="shared" si="3359"/>
        <v>0</v>
      </c>
      <c r="FZ354" s="21">
        <f t="shared" si="3359"/>
        <v>0</v>
      </c>
      <c r="GA354" s="21">
        <f t="shared" si="3359"/>
        <v>0</v>
      </c>
      <c r="GB354" s="21">
        <f t="shared" si="3359"/>
        <v>0</v>
      </c>
      <c r="GC354" s="21">
        <f t="shared" si="3359"/>
        <v>0</v>
      </c>
      <c r="GD354" s="21">
        <f t="shared" ref="GD354:GK354" si="3360">IF($F$290, 0, IF($E$300, IF(AND(COLUMN($GD$354)-COLUMN($DZ$351)=$Q$291,ROW($GD$354)-ROW($DZ$351)=$K$291), U$290, GD354), GD354))</f>
        <v>0</v>
      </c>
      <c r="GE354" s="21">
        <f t="shared" si="3360"/>
        <v>0</v>
      </c>
      <c r="GF354" s="21">
        <f t="shared" si="3360"/>
        <v>0</v>
      </c>
      <c r="GG354" s="21">
        <f t="shared" si="3360"/>
        <v>0</v>
      </c>
      <c r="GH354" s="21">
        <f t="shared" si="3360"/>
        <v>0</v>
      </c>
      <c r="GI354" s="21">
        <f t="shared" si="3360"/>
        <v>0</v>
      </c>
      <c r="GJ354" s="21">
        <f t="shared" si="3360"/>
        <v>0</v>
      </c>
      <c r="GK354" s="21">
        <f t="shared" si="3360"/>
        <v>0</v>
      </c>
      <c r="GL354" s="21">
        <f t="shared" ref="GL354:GS354" si="3361">IF($F$290, 0, IF($F$300, IF(AND(COLUMN($GL$354)-COLUMN($GL$351)=$Q$291,ROW($GL$354)-ROW($GL$351)=$K$291), U$290, GL354), GL354))</f>
        <v>0</v>
      </c>
      <c r="GM354" s="21">
        <f t="shared" si="3361"/>
        <v>0</v>
      </c>
      <c r="GN354" s="21">
        <f t="shared" si="3361"/>
        <v>0</v>
      </c>
      <c r="GO354" s="21">
        <f t="shared" si="3361"/>
        <v>0</v>
      </c>
      <c r="GP354" s="21">
        <f t="shared" si="3361"/>
        <v>0</v>
      </c>
      <c r="GQ354" s="21">
        <f t="shared" si="3361"/>
        <v>0</v>
      </c>
      <c r="GR354" s="21">
        <f t="shared" si="3361"/>
        <v>0</v>
      </c>
      <c r="GS354" s="21">
        <f t="shared" si="3361"/>
        <v>0</v>
      </c>
      <c r="GT354" s="21">
        <f t="shared" ref="GT354:HA354" si="3362">IF($F$290, 0, IF($F$300, IF(AND(COLUMN($GT$354)-COLUMN($GL$351)=$Q$291,ROW($GT$354)-ROW($GL$351)=$K$291), U$290, GT354), GT354))</f>
        <v>0</v>
      </c>
      <c r="GU354" s="21">
        <f t="shared" si="3362"/>
        <v>0</v>
      </c>
      <c r="GV354" s="21">
        <f t="shared" si="3362"/>
        <v>0</v>
      </c>
      <c r="GW354" s="21">
        <f t="shared" si="3362"/>
        <v>0</v>
      </c>
      <c r="GX354" s="21">
        <f t="shared" si="3362"/>
        <v>0</v>
      </c>
      <c r="GY354" s="21">
        <f t="shared" si="3362"/>
        <v>0</v>
      </c>
      <c r="GZ354" s="21">
        <f t="shared" si="3362"/>
        <v>0</v>
      </c>
      <c r="HA354" s="21">
        <f t="shared" si="3362"/>
        <v>0</v>
      </c>
      <c r="HB354" s="21">
        <f t="shared" ref="HB354:HI354" si="3363">IF($F$290, 0, IF($F$300, IF(AND(COLUMN($HB$354)-COLUMN($GL$351)=$Q$291,ROW($HB$354)-ROW($GL$351)=$K$291), U$290, HB354), HB354))</f>
        <v>0</v>
      </c>
      <c r="HC354" s="21">
        <f t="shared" si="3363"/>
        <v>0</v>
      </c>
      <c r="HD354" s="21">
        <f t="shared" si="3363"/>
        <v>0</v>
      </c>
      <c r="HE354" s="21">
        <f t="shared" si="3363"/>
        <v>0</v>
      </c>
      <c r="HF354" s="21">
        <f t="shared" si="3363"/>
        <v>0</v>
      </c>
      <c r="HG354" s="21">
        <f t="shared" si="3363"/>
        <v>0</v>
      </c>
      <c r="HH354" s="21">
        <f t="shared" si="3363"/>
        <v>0</v>
      </c>
      <c r="HI354" s="21">
        <f t="shared" si="3363"/>
        <v>0</v>
      </c>
      <c r="HJ354" s="21">
        <f t="shared" ref="HJ354:HQ354" si="3364">IF($F$290, 0, IF($F$300, IF(AND(COLUMN($HJ$354)-COLUMN($GL$351)=$Q$291,ROW($HJ$354)-ROW($GL$351)=$K$291), U$290, HJ354), HJ354))</f>
        <v>0</v>
      </c>
      <c r="HK354" s="21">
        <f t="shared" si="3364"/>
        <v>0</v>
      </c>
      <c r="HL354" s="21">
        <f t="shared" si="3364"/>
        <v>0</v>
      </c>
      <c r="HM354" s="21">
        <f t="shared" si="3364"/>
        <v>0</v>
      </c>
      <c r="HN354" s="21">
        <f t="shared" si="3364"/>
        <v>0</v>
      </c>
      <c r="HO354" s="21">
        <f t="shared" si="3364"/>
        <v>0</v>
      </c>
      <c r="HP354" s="21">
        <f t="shared" si="3364"/>
        <v>0</v>
      </c>
      <c r="HQ354" s="21">
        <f t="shared" si="3364"/>
        <v>0</v>
      </c>
      <c r="HR354" s="21">
        <f t="shared" ref="HR354:HY354" si="3365">IF($F$290, 0, IF($F$300, IF(AND(COLUMN($HR$354)-COLUMN($GL$351)=$Q$291,ROW($HR$354)-ROW($GL$351)=$K$291), U$290, HR354), HR354))</f>
        <v>0</v>
      </c>
      <c r="HS354" s="21">
        <f t="shared" si="3365"/>
        <v>0</v>
      </c>
      <c r="HT354" s="21">
        <f t="shared" si="3365"/>
        <v>0</v>
      </c>
      <c r="HU354" s="21">
        <f t="shared" si="3365"/>
        <v>0</v>
      </c>
      <c r="HV354" s="21">
        <f t="shared" si="3365"/>
        <v>0</v>
      </c>
      <c r="HW354" s="21">
        <f t="shared" si="3365"/>
        <v>0</v>
      </c>
      <c r="HX354" s="21">
        <f t="shared" si="3365"/>
        <v>0</v>
      </c>
      <c r="HY354" s="21">
        <f t="shared" si="3365"/>
        <v>0</v>
      </c>
      <c r="HZ354" s="21">
        <f t="shared" ref="HZ354:IG354" si="3366">IF($F$290, 0, IF($F$300, IF(AND(COLUMN($HZ$354)-COLUMN($GL$351)=$Q$291,ROW($HZ$354)-ROW($GL$351)=$K$291), U$290, HZ354), HZ354))</f>
        <v>0</v>
      </c>
      <c r="IA354" s="21">
        <f t="shared" si="3366"/>
        <v>0</v>
      </c>
      <c r="IB354" s="21">
        <f t="shared" si="3366"/>
        <v>0</v>
      </c>
      <c r="IC354" s="21">
        <f t="shared" si="3366"/>
        <v>0</v>
      </c>
      <c r="ID354" s="21">
        <f t="shared" si="3366"/>
        <v>0</v>
      </c>
      <c r="IE354" s="21">
        <f t="shared" si="3366"/>
        <v>0</v>
      </c>
      <c r="IF354" s="21">
        <f t="shared" si="3366"/>
        <v>0</v>
      </c>
      <c r="IG354" s="21">
        <f t="shared" si="3366"/>
        <v>0</v>
      </c>
      <c r="IH354" s="21">
        <f t="shared" ref="IH354:IO354" si="3367">IF($F$290, 0, IF($F$300, IF(AND(COLUMN($IH$354)-COLUMN($GL$351)=$Q$291,ROW($IH$354)-ROW($GL$351)=$K$291), U$290, IH354), IH354))</f>
        <v>0</v>
      </c>
      <c r="II354" s="21">
        <f t="shared" si="3367"/>
        <v>0</v>
      </c>
      <c r="IJ354" s="21">
        <f t="shared" si="3367"/>
        <v>0</v>
      </c>
      <c r="IK354" s="21">
        <f t="shared" si="3367"/>
        <v>0</v>
      </c>
      <c r="IL354" s="21">
        <f t="shared" si="3367"/>
        <v>0</v>
      </c>
      <c r="IM354" s="21">
        <f t="shared" si="3367"/>
        <v>0</v>
      </c>
      <c r="IN354" s="21">
        <f t="shared" si="3367"/>
        <v>0</v>
      </c>
      <c r="IO354" s="21">
        <f t="shared" si="3367"/>
        <v>0</v>
      </c>
      <c r="IP354" s="21">
        <f t="shared" ref="IP354:IW354" si="3368">IF($F$290, 0, IF($F$300, IF(AND(COLUMN($IP$354)-COLUMN($GL$351)=$Q$291,ROW($IP$354)-ROW($GL$351)=$K$291), U$290, IP354), IP354))</f>
        <v>0</v>
      </c>
      <c r="IQ354" s="21">
        <f t="shared" si="3368"/>
        <v>0</v>
      </c>
      <c r="IR354" s="21">
        <f t="shared" si="3368"/>
        <v>0</v>
      </c>
      <c r="IS354" s="21">
        <f t="shared" si="3368"/>
        <v>0</v>
      </c>
      <c r="IT354" s="21">
        <f t="shared" si="3368"/>
        <v>0</v>
      </c>
      <c r="IU354" s="21">
        <f t="shared" si="3368"/>
        <v>0</v>
      </c>
      <c r="IV354" s="21">
        <f t="shared" si="3368"/>
        <v>0</v>
      </c>
      <c r="IW354" s="21">
        <f t="shared" si="3368"/>
        <v>0</v>
      </c>
      <c r="IX354" s="21">
        <f t="shared" ref="IX354:JE354" si="3369">IF($F$290, 0, IF($G$300, IF(AND(COLUMN($IX$354)-COLUMN($IX$351)=$Q$291,ROW($IX$354)-ROW($IX$351)=$K$291), U$290, IX354), IX354))</f>
        <v>0</v>
      </c>
      <c r="IY354" s="21">
        <f t="shared" si="3369"/>
        <v>0</v>
      </c>
      <c r="IZ354" s="21">
        <f t="shared" si="3369"/>
        <v>0</v>
      </c>
      <c r="JA354" s="21">
        <f t="shared" si="3369"/>
        <v>0</v>
      </c>
      <c r="JB354" s="21">
        <f t="shared" si="3369"/>
        <v>0</v>
      </c>
      <c r="JC354" s="21">
        <f t="shared" si="3369"/>
        <v>0</v>
      </c>
      <c r="JD354" s="21">
        <f t="shared" si="3369"/>
        <v>0</v>
      </c>
      <c r="JE354" s="21">
        <f t="shared" si="3369"/>
        <v>0</v>
      </c>
      <c r="JF354" s="21">
        <f t="shared" ref="JF354:JM354" si="3370">IF($F$290, 0, IF($G$300, IF(AND(COLUMN($JF$354)-COLUMN($IX$351)=$Q$291,ROW($JF$354)-ROW($IX$351)=$K$291), U$290, JF354), JF354))</f>
        <v>0</v>
      </c>
      <c r="JG354" s="21">
        <f t="shared" si="3370"/>
        <v>0</v>
      </c>
      <c r="JH354" s="21">
        <f t="shared" si="3370"/>
        <v>0</v>
      </c>
      <c r="JI354" s="21">
        <f t="shared" si="3370"/>
        <v>0</v>
      </c>
      <c r="JJ354" s="21">
        <f t="shared" si="3370"/>
        <v>0</v>
      </c>
      <c r="JK354" s="21">
        <f t="shared" si="3370"/>
        <v>0</v>
      </c>
      <c r="JL354" s="21">
        <f t="shared" si="3370"/>
        <v>0</v>
      </c>
      <c r="JM354" s="21">
        <f t="shared" si="3370"/>
        <v>0</v>
      </c>
      <c r="JN354" s="21">
        <f t="shared" ref="JN354:JU354" si="3371">IF($F$290, 0, IF($G$300, IF(AND(COLUMN($JN$354)-COLUMN($IX$351)=$Q$291,ROW($JN$354)-ROW($IX$351)=$K$291), U$290, JN354), JN354))</f>
        <v>0</v>
      </c>
      <c r="JO354" s="21">
        <f t="shared" si="3371"/>
        <v>0</v>
      </c>
      <c r="JP354" s="21">
        <f t="shared" si="3371"/>
        <v>0</v>
      </c>
      <c r="JQ354" s="21">
        <f t="shared" si="3371"/>
        <v>0</v>
      </c>
      <c r="JR354" s="21">
        <f t="shared" si="3371"/>
        <v>0</v>
      </c>
      <c r="JS354" s="21">
        <f t="shared" si="3371"/>
        <v>0</v>
      </c>
      <c r="JT354" s="21">
        <f t="shared" si="3371"/>
        <v>0</v>
      </c>
      <c r="JU354" s="21">
        <f t="shared" si="3371"/>
        <v>0</v>
      </c>
      <c r="JV354" s="21">
        <f t="shared" ref="JV354:KC354" si="3372">IF($F$290, 0, IF($G$300, IF(AND(COLUMN($JV$354)-COLUMN($IX$351)=$Q$291,ROW($JV$354)-ROW($IX$351)=$K$291), U$290, JV354), JV354))</f>
        <v>0</v>
      </c>
      <c r="JW354" s="21">
        <f t="shared" si="3372"/>
        <v>0</v>
      </c>
      <c r="JX354" s="21">
        <f t="shared" si="3372"/>
        <v>0</v>
      </c>
      <c r="JY354" s="21">
        <f t="shared" si="3372"/>
        <v>0</v>
      </c>
      <c r="JZ354" s="21">
        <f t="shared" si="3372"/>
        <v>0</v>
      </c>
      <c r="KA354" s="21">
        <f t="shared" si="3372"/>
        <v>0</v>
      </c>
      <c r="KB354" s="21">
        <f t="shared" si="3372"/>
        <v>0</v>
      </c>
      <c r="KC354" s="21">
        <f t="shared" si="3372"/>
        <v>0</v>
      </c>
      <c r="KD354" s="21">
        <f t="shared" ref="KD354:KK354" si="3373">IF($F$290, 0, IF($G$300, IF(AND(COLUMN($KD$354)-COLUMN($IX$351)=$Q$291,ROW($KD$354)-ROW($IX$351)=$K$291), U$290, KD354), KD354))</f>
        <v>0</v>
      </c>
      <c r="KE354" s="21">
        <f t="shared" si="3373"/>
        <v>0</v>
      </c>
      <c r="KF354" s="21">
        <f t="shared" si="3373"/>
        <v>0</v>
      </c>
      <c r="KG354" s="21">
        <f t="shared" si="3373"/>
        <v>0</v>
      </c>
      <c r="KH354" s="21">
        <f t="shared" si="3373"/>
        <v>0</v>
      </c>
      <c r="KI354" s="21">
        <f t="shared" si="3373"/>
        <v>0</v>
      </c>
      <c r="KJ354" s="21">
        <f t="shared" si="3373"/>
        <v>0</v>
      </c>
      <c r="KK354" s="21">
        <f t="shared" si="3373"/>
        <v>0</v>
      </c>
      <c r="KL354" s="21">
        <f t="shared" ref="KL354:KS354" si="3374">IF($F$290, 0, IF($G$300, IF(AND(COLUMN($KL$354)-COLUMN($IX$351)=$Q$291,ROW($KL$354)-ROW($IX$351)=$K$291), U$290, KL354), KL354))</f>
        <v>0</v>
      </c>
      <c r="KM354" s="21">
        <f t="shared" si="3374"/>
        <v>0</v>
      </c>
      <c r="KN354" s="21">
        <f t="shared" si="3374"/>
        <v>0</v>
      </c>
      <c r="KO354" s="21">
        <f t="shared" si="3374"/>
        <v>0</v>
      </c>
      <c r="KP354" s="21">
        <f t="shared" si="3374"/>
        <v>0</v>
      </c>
      <c r="KQ354" s="21">
        <f t="shared" si="3374"/>
        <v>0</v>
      </c>
      <c r="KR354" s="21">
        <f t="shared" si="3374"/>
        <v>0</v>
      </c>
      <c r="KS354" s="21">
        <f t="shared" si="3374"/>
        <v>0</v>
      </c>
      <c r="KT354" s="21">
        <f t="shared" ref="KT354:LA354" si="3375">IF($F$290, 0, IF($G$300, IF(AND(COLUMN($KT$354)-COLUMN($IX$351)=$Q$291,ROW($KT$354)-ROW($IX$351)=$K$291), U$290, KT354), KT354))</f>
        <v>0</v>
      </c>
      <c r="KU354" s="21">
        <f t="shared" si="3375"/>
        <v>0</v>
      </c>
      <c r="KV354" s="21">
        <f t="shared" si="3375"/>
        <v>0</v>
      </c>
      <c r="KW354" s="21">
        <f t="shared" si="3375"/>
        <v>0</v>
      </c>
      <c r="KX354" s="21">
        <f t="shared" si="3375"/>
        <v>0</v>
      </c>
      <c r="KY354" s="21">
        <f t="shared" si="3375"/>
        <v>0</v>
      </c>
      <c r="KZ354" s="21">
        <f t="shared" si="3375"/>
        <v>0</v>
      </c>
      <c r="LA354" s="21">
        <f t="shared" si="3375"/>
        <v>0</v>
      </c>
      <c r="LB354" s="21">
        <f t="shared" ref="LB354:LI354" si="3376">IF($F$290, 0, IF($G$300, IF(AND(COLUMN($LB$354)-COLUMN($IX$351)=$Q$291,ROW($LB$354)-ROW($IX$351)=$K$291), U$290, LB354), LB354))</f>
        <v>0</v>
      </c>
      <c r="LC354" s="21">
        <f t="shared" si="3376"/>
        <v>0</v>
      </c>
      <c r="LD354" s="21">
        <f t="shared" si="3376"/>
        <v>0</v>
      </c>
      <c r="LE354" s="21">
        <f t="shared" si="3376"/>
        <v>0</v>
      </c>
      <c r="LF354" s="21">
        <f t="shared" si="3376"/>
        <v>0</v>
      </c>
      <c r="LG354" s="21">
        <f t="shared" si="3376"/>
        <v>0</v>
      </c>
      <c r="LH354" s="21">
        <f t="shared" si="3376"/>
        <v>0</v>
      </c>
      <c r="LI354" s="21">
        <f t="shared" si="3376"/>
        <v>0</v>
      </c>
      <c r="LJ354" s="21">
        <f t="shared" ref="LJ354:LQ354" si="3377">IF($F$290, 0, IF($H$300, IF(AND(COLUMN($LJ$354)-COLUMN($LJ$351)=$Q$291,ROW($LJ$354)-ROW($LJ$351)=$K$291), U$290, LJ354), LJ354))</f>
        <v>0</v>
      </c>
      <c r="LK354" s="21">
        <f t="shared" si="3377"/>
        <v>0</v>
      </c>
      <c r="LL354" s="21">
        <f t="shared" si="3377"/>
        <v>0</v>
      </c>
      <c r="LM354" s="21">
        <f t="shared" si="3377"/>
        <v>0</v>
      </c>
      <c r="LN354" s="21">
        <f t="shared" si="3377"/>
        <v>0</v>
      </c>
      <c r="LO354" s="21">
        <f t="shared" si="3377"/>
        <v>0</v>
      </c>
      <c r="LP354" s="21">
        <f t="shared" si="3377"/>
        <v>0</v>
      </c>
      <c r="LQ354" s="21">
        <f t="shared" si="3377"/>
        <v>0</v>
      </c>
      <c r="LR354" s="21">
        <f t="shared" ref="LR354:LY354" si="3378">IF($F$290, 0, IF($H$300, IF(AND(COLUMN($LR$354)-COLUMN($LJ$351)=$Q$291,ROW($LR$354)-ROW($LJ$351)=$K$291), U$290, LR354), LR354))</f>
        <v>0</v>
      </c>
      <c r="LS354" s="21">
        <f t="shared" si="3378"/>
        <v>0</v>
      </c>
      <c r="LT354" s="21">
        <f t="shared" si="3378"/>
        <v>0</v>
      </c>
      <c r="LU354" s="21">
        <f t="shared" si="3378"/>
        <v>0</v>
      </c>
      <c r="LV354" s="21">
        <f t="shared" si="3378"/>
        <v>0</v>
      </c>
      <c r="LW354" s="21">
        <f t="shared" si="3378"/>
        <v>0</v>
      </c>
      <c r="LX354" s="21">
        <f t="shared" si="3378"/>
        <v>0</v>
      </c>
      <c r="LY354" s="21">
        <f t="shared" si="3378"/>
        <v>0</v>
      </c>
      <c r="LZ354" s="21">
        <f t="shared" ref="LZ354:MG354" si="3379">IF($F$290, 0, IF($H$300, IF(AND(COLUMN($LZ$354)-COLUMN($LJ$351)=$Q$291,ROW($LZ$354)-ROW($LJ$351)=$K$291), U$290, LZ354), LZ354))</f>
        <v>0</v>
      </c>
      <c r="MA354" s="21">
        <f t="shared" si="3379"/>
        <v>0</v>
      </c>
      <c r="MB354" s="21">
        <f t="shared" si="3379"/>
        <v>0</v>
      </c>
      <c r="MC354" s="21">
        <f t="shared" si="3379"/>
        <v>0</v>
      </c>
      <c r="MD354" s="21">
        <f t="shared" si="3379"/>
        <v>0</v>
      </c>
      <c r="ME354" s="21">
        <f t="shared" si="3379"/>
        <v>0</v>
      </c>
      <c r="MF354" s="21">
        <f t="shared" si="3379"/>
        <v>0</v>
      </c>
      <c r="MG354" s="21">
        <f t="shared" si="3379"/>
        <v>0</v>
      </c>
      <c r="MH354" s="21">
        <f t="shared" ref="MH354:MO354" si="3380">IF($F$290, 0, IF($H$300, IF(AND(COLUMN($MH$354)-COLUMN($LJ$351)=$Q$291,ROW($MH$354)-ROW($LJ$351)=$K$291), U$290, MH354), MH354))</f>
        <v>0</v>
      </c>
      <c r="MI354" s="21">
        <f t="shared" si="3380"/>
        <v>0</v>
      </c>
      <c r="MJ354" s="21">
        <f t="shared" si="3380"/>
        <v>0</v>
      </c>
      <c r="MK354" s="21">
        <f t="shared" si="3380"/>
        <v>0</v>
      </c>
      <c r="ML354" s="21">
        <f t="shared" si="3380"/>
        <v>0</v>
      </c>
      <c r="MM354" s="21">
        <f t="shared" si="3380"/>
        <v>0</v>
      </c>
      <c r="MN354" s="21">
        <f t="shared" si="3380"/>
        <v>0</v>
      </c>
      <c r="MO354" s="21">
        <f t="shared" si="3380"/>
        <v>0</v>
      </c>
      <c r="MP354" s="21">
        <f t="shared" ref="MP354:MW354" si="3381">IF($F$290, 0, IF($H$300, IF(AND(COLUMN($MP$354)-COLUMN($LJ$351)=$Q$291,ROW($MP$354)-ROW($LJ$351)=$K$291), U$290, MP354), MP354))</f>
        <v>0</v>
      </c>
      <c r="MQ354" s="21">
        <f t="shared" si="3381"/>
        <v>0</v>
      </c>
      <c r="MR354" s="21">
        <f t="shared" si="3381"/>
        <v>0</v>
      </c>
      <c r="MS354" s="21">
        <f t="shared" si="3381"/>
        <v>0</v>
      </c>
      <c r="MT354" s="21">
        <f t="shared" si="3381"/>
        <v>0</v>
      </c>
      <c r="MU354" s="21">
        <f t="shared" si="3381"/>
        <v>0</v>
      </c>
      <c r="MV354" s="21">
        <f t="shared" si="3381"/>
        <v>0</v>
      </c>
      <c r="MW354" s="21">
        <f t="shared" si="3381"/>
        <v>0</v>
      </c>
      <c r="MX354" s="21">
        <f t="shared" ref="MX354:NE354" si="3382">IF($F$290, 0, IF($H$300, IF(AND(COLUMN($MX$354)-COLUMN($LJ$351)=$Q$291,ROW($MX$354)-ROW($LJ$351)=$K$291), U$290, MX354), MX354))</f>
        <v>0</v>
      </c>
      <c r="MY354" s="21">
        <f t="shared" si="3382"/>
        <v>0</v>
      </c>
      <c r="MZ354" s="21">
        <f t="shared" si="3382"/>
        <v>0</v>
      </c>
      <c r="NA354" s="21">
        <f t="shared" si="3382"/>
        <v>0</v>
      </c>
      <c r="NB354" s="21">
        <f t="shared" si="3382"/>
        <v>0</v>
      </c>
      <c r="NC354" s="21">
        <f t="shared" si="3382"/>
        <v>0</v>
      </c>
      <c r="ND354" s="21">
        <f t="shared" si="3382"/>
        <v>0</v>
      </c>
      <c r="NE354" s="21">
        <f t="shared" si="3382"/>
        <v>0</v>
      </c>
      <c r="NF354" s="21">
        <f t="shared" ref="NF354:NM354" si="3383">IF($F$290, 0, IF($H$300, IF(AND(COLUMN($NF$354)-COLUMN($LJ$351)=$Q$291,ROW($NF$354)-ROW($LJ$351)=$K$291), U$290, NF354), NF354))</f>
        <v>0</v>
      </c>
      <c r="NG354" s="21">
        <f t="shared" si="3383"/>
        <v>0</v>
      </c>
      <c r="NH354" s="21">
        <f t="shared" si="3383"/>
        <v>0</v>
      </c>
      <c r="NI354" s="21">
        <f t="shared" si="3383"/>
        <v>0</v>
      </c>
      <c r="NJ354" s="21">
        <f t="shared" si="3383"/>
        <v>0</v>
      </c>
      <c r="NK354" s="21">
        <f t="shared" si="3383"/>
        <v>0</v>
      </c>
      <c r="NL354" s="21">
        <f t="shared" si="3383"/>
        <v>0</v>
      </c>
      <c r="NM354" s="21">
        <f t="shared" si="3383"/>
        <v>0</v>
      </c>
      <c r="NN354" s="21">
        <f t="shared" ref="NN354:NU354" si="3384">IF($F$290, 0, IF($H$300, IF(AND(COLUMN($NN$354)-COLUMN($LJ$351)=$Q$291,ROW($NN$354)-ROW($LJ$351)=$K$291), U$290, NN354), NN354))</f>
        <v>0</v>
      </c>
      <c r="NO354" s="21">
        <f t="shared" si="3384"/>
        <v>0</v>
      </c>
      <c r="NP354" s="21">
        <f t="shared" si="3384"/>
        <v>0</v>
      </c>
      <c r="NQ354" s="21">
        <f t="shared" si="3384"/>
        <v>0</v>
      </c>
      <c r="NR354" s="21">
        <f t="shared" si="3384"/>
        <v>0</v>
      </c>
      <c r="NS354" s="21">
        <f t="shared" si="3384"/>
        <v>0</v>
      </c>
      <c r="NT354" s="21">
        <f t="shared" si="3384"/>
        <v>0</v>
      </c>
      <c r="NU354" s="21">
        <f t="shared" si="3384"/>
        <v>0</v>
      </c>
      <c r="NV354" s="21">
        <f t="shared" ref="NV354:OC354" si="3385">IF($F$290, 0, IF($I$300, IF(AND(COLUMN($NV$354)-COLUMN($NV$351)=$Q$291,ROW($NV$354)-ROW($NV$351)=$K$291), U$290, NV354), NV354))</f>
        <v>0</v>
      </c>
      <c r="NW354" s="21">
        <f t="shared" si="3385"/>
        <v>0</v>
      </c>
      <c r="NX354" s="21">
        <f t="shared" si="3385"/>
        <v>0</v>
      </c>
      <c r="NY354" s="21">
        <f t="shared" si="3385"/>
        <v>0</v>
      </c>
      <c r="NZ354" s="21">
        <f t="shared" si="3385"/>
        <v>0</v>
      </c>
      <c r="OA354" s="21">
        <f t="shared" si="3385"/>
        <v>0</v>
      </c>
      <c r="OB354" s="21">
        <f t="shared" si="3385"/>
        <v>0</v>
      </c>
      <c r="OC354" s="21">
        <f t="shared" si="3385"/>
        <v>0</v>
      </c>
      <c r="OD354" s="21">
        <f t="shared" ref="OD354:OK354" si="3386">IF($F$290, 0, IF($I$300, IF(AND(COLUMN($OD$354)-COLUMN($NV$351)=$Q$291,ROW($OD$354)-ROW($NV$351)=$K$291), U$290, OD354), OD354))</f>
        <v>0</v>
      </c>
      <c r="OE354" s="21">
        <f t="shared" si="3386"/>
        <v>0</v>
      </c>
      <c r="OF354" s="21">
        <f t="shared" si="3386"/>
        <v>0</v>
      </c>
      <c r="OG354" s="21">
        <f t="shared" si="3386"/>
        <v>0</v>
      </c>
      <c r="OH354" s="21">
        <f t="shared" si="3386"/>
        <v>0</v>
      </c>
      <c r="OI354" s="21">
        <f t="shared" si="3386"/>
        <v>0</v>
      </c>
      <c r="OJ354" s="21">
        <f t="shared" si="3386"/>
        <v>0</v>
      </c>
      <c r="OK354" s="21">
        <f t="shared" si="3386"/>
        <v>0</v>
      </c>
      <c r="OL354" s="21">
        <f t="shared" ref="OL354:OS354" si="3387">IF($F$290, 0, IF($I$300, IF(AND(COLUMN($OL$354)-COLUMN($NV$351)=$Q$291,ROW($OL$354)-ROW($NV$351)=$K$291), U$290, OL354), OL354))</f>
        <v>0</v>
      </c>
      <c r="OM354" s="21">
        <f t="shared" si="3387"/>
        <v>0</v>
      </c>
      <c r="ON354" s="21">
        <f t="shared" si="3387"/>
        <v>0</v>
      </c>
      <c r="OO354" s="21">
        <f t="shared" si="3387"/>
        <v>0</v>
      </c>
      <c r="OP354" s="21">
        <f t="shared" si="3387"/>
        <v>0</v>
      </c>
      <c r="OQ354" s="21">
        <f t="shared" si="3387"/>
        <v>0</v>
      </c>
      <c r="OR354" s="21">
        <f t="shared" si="3387"/>
        <v>0</v>
      </c>
      <c r="OS354" s="21">
        <f t="shared" si="3387"/>
        <v>0</v>
      </c>
      <c r="OT354" s="21">
        <f t="shared" ref="OT354:PA354" si="3388">IF($F$290, 0, IF($I$300, IF(AND(COLUMN($OT$354)-COLUMN($NV$351)=$Q$291,ROW($OT$354)-ROW($NV$351)=$K$291), U$290, OT354), OT354))</f>
        <v>0</v>
      </c>
      <c r="OU354" s="21">
        <f t="shared" si="3388"/>
        <v>0</v>
      </c>
      <c r="OV354" s="21">
        <f t="shared" si="3388"/>
        <v>0</v>
      </c>
      <c r="OW354" s="21">
        <f t="shared" si="3388"/>
        <v>0</v>
      </c>
      <c r="OX354" s="21">
        <f t="shared" si="3388"/>
        <v>0</v>
      </c>
      <c r="OY354" s="21">
        <f t="shared" si="3388"/>
        <v>0</v>
      </c>
      <c r="OZ354" s="21">
        <f t="shared" si="3388"/>
        <v>0</v>
      </c>
      <c r="PA354" s="21">
        <f t="shared" si="3388"/>
        <v>0</v>
      </c>
      <c r="PB354" s="21">
        <f t="shared" ref="PB354:PI354" si="3389">IF($F$290, 0, IF($I$300, IF(AND(COLUMN($PB$354)-COLUMN($NV$351)=$Q$291,ROW($PB$354)-ROW($NV$351)=$K$291), U$290, PB354), PB354))</f>
        <v>0</v>
      </c>
      <c r="PC354" s="21">
        <f t="shared" si="3389"/>
        <v>0</v>
      </c>
      <c r="PD354" s="21">
        <f t="shared" si="3389"/>
        <v>0</v>
      </c>
      <c r="PE354" s="21">
        <f t="shared" si="3389"/>
        <v>0</v>
      </c>
      <c r="PF354" s="21">
        <f t="shared" si="3389"/>
        <v>0</v>
      </c>
      <c r="PG354" s="21">
        <f t="shared" si="3389"/>
        <v>0</v>
      </c>
      <c r="PH354" s="21">
        <f t="shared" si="3389"/>
        <v>0</v>
      </c>
      <c r="PI354" s="21">
        <f t="shared" si="3389"/>
        <v>0</v>
      </c>
      <c r="PJ354" s="21">
        <f t="shared" ref="PJ354:PQ354" si="3390">IF($F$290, 0, IF($I$300, IF(AND(COLUMN($PJ$354)-COLUMN($NV$351)=$Q$291,ROW($PJ$354)-ROW($NV$351)=$K$291), U$290, PJ354), PJ354))</f>
        <v>0</v>
      </c>
      <c r="PK354" s="21">
        <f t="shared" si="3390"/>
        <v>0</v>
      </c>
      <c r="PL354" s="21">
        <f t="shared" si="3390"/>
        <v>0</v>
      </c>
      <c r="PM354" s="21">
        <f t="shared" si="3390"/>
        <v>0</v>
      </c>
      <c r="PN354" s="21">
        <f t="shared" si="3390"/>
        <v>0</v>
      </c>
      <c r="PO354" s="21">
        <f t="shared" si="3390"/>
        <v>0</v>
      </c>
      <c r="PP354" s="21">
        <f t="shared" si="3390"/>
        <v>0</v>
      </c>
      <c r="PQ354" s="21">
        <f t="shared" si="3390"/>
        <v>0</v>
      </c>
      <c r="PR354" s="21">
        <f t="shared" ref="PR354:PY354" si="3391">IF($F$290, 0, IF($I$300, IF(AND(COLUMN($PR$354)-COLUMN($NV$351)=$Q$291,ROW($PR$354)-ROW($NV$351)=$K$291), U$290, PR354), PR354))</f>
        <v>0</v>
      </c>
      <c r="PS354" s="21">
        <f t="shared" si="3391"/>
        <v>0</v>
      </c>
      <c r="PT354" s="21">
        <f t="shared" si="3391"/>
        <v>0</v>
      </c>
      <c r="PU354" s="21">
        <f t="shared" si="3391"/>
        <v>0</v>
      </c>
      <c r="PV354" s="21">
        <f t="shared" si="3391"/>
        <v>0</v>
      </c>
      <c r="PW354" s="21">
        <f t="shared" si="3391"/>
        <v>0</v>
      </c>
      <c r="PX354" s="21">
        <f t="shared" si="3391"/>
        <v>0</v>
      </c>
      <c r="PY354" s="21">
        <f t="shared" si="3391"/>
        <v>0</v>
      </c>
      <c r="PZ354" s="21">
        <f t="shared" ref="PZ354:QG354" si="3392">IF($F$290, 0, IF($I$300, IF(AND(COLUMN($PZ$354)-COLUMN($NV$351)=$Q$291,ROW($PZ$354)-ROW($NV$351)=$K$291), U$290, PZ354), PZ354))</f>
        <v>0</v>
      </c>
      <c r="QA354" s="21">
        <f t="shared" si="3392"/>
        <v>0</v>
      </c>
      <c r="QB354" s="21">
        <f t="shared" si="3392"/>
        <v>0</v>
      </c>
      <c r="QC354" s="21">
        <f t="shared" si="3392"/>
        <v>0</v>
      </c>
      <c r="QD354" s="21">
        <f t="shared" si="3392"/>
        <v>0</v>
      </c>
      <c r="QE354" s="21">
        <f t="shared" si="3392"/>
        <v>0</v>
      </c>
      <c r="QF354" s="21">
        <f t="shared" si="3392"/>
        <v>0</v>
      </c>
      <c r="QG354" s="21">
        <f t="shared" si="3392"/>
        <v>0</v>
      </c>
      <c r="QH354" s="21">
        <f t="shared" ref="QH354:QO354" si="3393">IF($F$290, 0, IF($J$300, IF(AND(COLUMN($QH$354)-COLUMN($QH$351)=$Q$291,ROW($QH$354)-ROW($QH$351)=$K$291), U$290, QH354), QH354))</f>
        <v>0</v>
      </c>
      <c r="QI354" s="21">
        <f t="shared" si="3393"/>
        <v>0</v>
      </c>
      <c r="QJ354" s="21">
        <f t="shared" si="3393"/>
        <v>0</v>
      </c>
      <c r="QK354" s="21">
        <f t="shared" si="3393"/>
        <v>0</v>
      </c>
      <c r="QL354" s="21">
        <f t="shared" si="3393"/>
        <v>0</v>
      </c>
      <c r="QM354" s="21">
        <f t="shared" si="3393"/>
        <v>0</v>
      </c>
      <c r="QN354" s="21">
        <f t="shared" si="3393"/>
        <v>0</v>
      </c>
      <c r="QO354" s="21">
        <f t="shared" si="3393"/>
        <v>0</v>
      </c>
      <c r="QP354" s="21">
        <f t="shared" ref="QP354:QW354" si="3394">IF($F$290, 0, IF($J$300, IF(AND(COLUMN($QP$354)-COLUMN($QH$351)=$Q$291,ROW($QP$354)-ROW($QH$351)=$K$291), U$290, QP354), QP354))</f>
        <v>0</v>
      </c>
      <c r="QQ354" s="21">
        <f t="shared" si="3394"/>
        <v>0</v>
      </c>
      <c r="QR354" s="21">
        <f t="shared" si="3394"/>
        <v>0</v>
      </c>
      <c r="QS354" s="21">
        <f t="shared" si="3394"/>
        <v>0</v>
      </c>
      <c r="QT354" s="21">
        <f t="shared" si="3394"/>
        <v>0</v>
      </c>
      <c r="QU354" s="21">
        <f t="shared" si="3394"/>
        <v>0</v>
      </c>
      <c r="QV354" s="21">
        <f t="shared" si="3394"/>
        <v>0</v>
      </c>
      <c r="QW354" s="21">
        <f t="shared" si="3394"/>
        <v>0</v>
      </c>
      <c r="QX354" s="21">
        <f t="shared" ref="QX354:RE354" si="3395">IF($F$290, 0, IF($J$300, IF(AND(COLUMN($QX$354)-COLUMN($QH$351)=$Q$291,ROW($QX$354)-ROW($QH$351)=$K$291), U$290, QX354), QX354))</f>
        <v>0</v>
      </c>
      <c r="QY354" s="21">
        <f t="shared" si="3395"/>
        <v>0</v>
      </c>
      <c r="QZ354" s="21">
        <f t="shared" si="3395"/>
        <v>0</v>
      </c>
      <c r="RA354" s="21">
        <f t="shared" si="3395"/>
        <v>0</v>
      </c>
      <c r="RB354" s="21">
        <f t="shared" si="3395"/>
        <v>0</v>
      </c>
      <c r="RC354" s="21">
        <f t="shared" si="3395"/>
        <v>0</v>
      </c>
      <c r="RD354" s="21">
        <f t="shared" si="3395"/>
        <v>0</v>
      </c>
      <c r="RE354" s="21">
        <f t="shared" si="3395"/>
        <v>0</v>
      </c>
      <c r="RF354" s="21">
        <f t="shared" ref="RF354:RM354" si="3396">IF($F$290, 0, IF($J$300, IF(AND(COLUMN($RF$354)-COLUMN($QH$351)=$Q$291,ROW($RF$354)-ROW($QH$351)=$K$291), U$290, RF354), RF354))</f>
        <v>0</v>
      </c>
      <c r="RG354" s="21">
        <f t="shared" si="3396"/>
        <v>0</v>
      </c>
      <c r="RH354" s="21">
        <f t="shared" si="3396"/>
        <v>0</v>
      </c>
      <c r="RI354" s="21">
        <f t="shared" si="3396"/>
        <v>0</v>
      </c>
      <c r="RJ354" s="21">
        <f t="shared" si="3396"/>
        <v>0</v>
      </c>
      <c r="RK354" s="21">
        <f t="shared" si="3396"/>
        <v>0</v>
      </c>
      <c r="RL354" s="21">
        <f t="shared" si="3396"/>
        <v>0</v>
      </c>
      <c r="RM354" s="21">
        <f t="shared" si="3396"/>
        <v>0</v>
      </c>
      <c r="RN354" s="21">
        <f t="shared" ref="RN354:RU354" si="3397">IF($F$290, 0, IF($J$300, IF(AND(COLUMN($RN$354)-COLUMN($QH$351)=$Q$291,ROW($RN$354)-ROW($QH$351)=$K$291), U$290, RN354), RN354))</f>
        <v>0</v>
      </c>
      <c r="RO354" s="21">
        <f t="shared" si="3397"/>
        <v>0</v>
      </c>
      <c r="RP354" s="21">
        <f t="shared" si="3397"/>
        <v>0</v>
      </c>
      <c r="RQ354" s="21">
        <f t="shared" si="3397"/>
        <v>0</v>
      </c>
      <c r="RR354" s="21">
        <f t="shared" si="3397"/>
        <v>0</v>
      </c>
      <c r="RS354" s="21">
        <f t="shared" si="3397"/>
        <v>0</v>
      </c>
      <c r="RT354" s="21">
        <f t="shared" si="3397"/>
        <v>0</v>
      </c>
      <c r="RU354" s="21">
        <f t="shared" si="3397"/>
        <v>0</v>
      </c>
      <c r="RV354" s="21">
        <f t="shared" ref="RV354:SC354" si="3398">IF($F$290, 0, IF($J$300, IF(AND(COLUMN($RV$354)-COLUMN($QH$351)=$Q$291,ROW($RV$354)-ROW($QH$351)=$K$291), U$290, RV354), RV354))</f>
        <v>0</v>
      </c>
      <c r="RW354" s="21">
        <f t="shared" si="3398"/>
        <v>0</v>
      </c>
      <c r="RX354" s="21">
        <f t="shared" si="3398"/>
        <v>0</v>
      </c>
      <c r="RY354" s="21">
        <f t="shared" si="3398"/>
        <v>0</v>
      </c>
      <c r="RZ354" s="21">
        <f t="shared" si="3398"/>
        <v>0</v>
      </c>
      <c r="SA354" s="21">
        <f t="shared" si="3398"/>
        <v>0</v>
      </c>
      <c r="SB354" s="21">
        <f t="shared" si="3398"/>
        <v>0</v>
      </c>
      <c r="SC354" s="21">
        <f t="shared" si="3398"/>
        <v>0</v>
      </c>
      <c r="SD354" s="21">
        <f t="shared" ref="SD354:SK354" si="3399">IF($F$290, 0, IF($J$300, IF(AND(COLUMN($SD$354)-COLUMN($QH$351)=$Q$291,ROW($SD$354)-ROW($QH$351)=$K$291), U$290, SD354), SD354))</f>
        <v>0</v>
      </c>
      <c r="SE354" s="21">
        <f t="shared" si="3399"/>
        <v>0</v>
      </c>
      <c r="SF354" s="21">
        <f t="shared" si="3399"/>
        <v>0</v>
      </c>
      <c r="SG354" s="21">
        <f t="shared" si="3399"/>
        <v>0</v>
      </c>
      <c r="SH354" s="21">
        <f t="shared" si="3399"/>
        <v>0</v>
      </c>
      <c r="SI354" s="21">
        <f t="shared" si="3399"/>
        <v>0</v>
      </c>
      <c r="SJ354" s="21">
        <f t="shared" si="3399"/>
        <v>0</v>
      </c>
      <c r="SK354" s="21">
        <f t="shared" si="3399"/>
        <v>0</v>
      </c>
      <c r="SL354" s="21">
        <f t="shared" ref="SL354:SS354" si="3400">IF($F$290, 0, IF($J$300, IF(AND(COLUMN($SL$354)-COLUMN($QH$351)=$Q$291,ROW($SL$354)-ROW($QH$351)=$K$291), U$290, SL354), SL354))</f>
        <v>0</v>
      </c>
      <c r="SM354" s="21">
        <f t="shared" si="3400"/>
        <v>0</v>
      </c>
      <c r="SN354" s="21">
        <f t="shared" si="3400"/>
        <v>0</v>
      </c>
      <c r="SO354" s="21">
        <f t="shared" si="3400"/>
        <v>0</v>
      </c>
      <c r="SP354" s="21">
        <f t="shared" si="3400"/>
        <v>0</v>
      </c>
      <c r="SQ354" s="21">
        <f t="shared" si="3400"/>
        <v>0</v>
      </c>
      <c r="SR354" s="21">
        <f t="shared" si="3400"/>
        <v>0</v>
      </c>
      <c r="SS354" s="21">
        <f t="shared" si="3400"/>
        <v>0</v>
      </c>
    </row>
    <row r="355" spans="2:513" ht="15" customHeight="1" x14ac:dyDescent="0.25">
      <c r="B355" s="21">
        <f t="shared" ref="B355:I355" si="3401">IF($F$290, 0, IF($C$300, IF(AND(COLUMN($B$355)-COLUMN($B$351)=$Q$291,ROW($B$355)-ROW($B$351)=$K$291), U$290, B355), B355))</f>
        <v>0</v>
      </c>
      <c r="C355" s="21">
        <f t="shared" si="3401"/>
        <v>0</v>
      </c>
      <c r="D355" s="21">
        <f t="shared" si="3401"/>
        <v>0</v>
      </c>
      <c r="E355" s="21">
        <f t="shared" si="3401"/>
        <v>0</v>
      </c>
      <c r="F355" s="21">
        <f t="shared" si="3401"/>
        <v>0</v>
      </c>
      <c r="G355" s="21">
        <f t="shared" si="3401"/>
        <v>0</v>
      </c>
      <c r="H355" s="21">
        <f t="shared" si="3401"/>
        <v>0</v>
      </c>
      <c r="I355" s="21">
        <f t="shared" si="3401"/>
        <v>0</v>
      </c>
      <c r="J355" s="21">
        <f t="shared" ref="J355:Q355" si="3402">IF($F$290, 0, IF($C$300, IF(AND(COLUMN($J$355)-COLUMN($B$351)=$Q$291,ROW($J$355)-ROW($B$351)=$K$291), U$290, J355), J355))</f>
        <v>0</v>
      </c>
      <c r="K355" s="21">
        <f t="shared" si="3402"/>
        <v>0</v>
      </c>
      <c r="L355" s="21">
        <f t="shared" si="3402"/>
        <v>0</v>
      </c>
      <c r="M355" s="21">
        <f t="shared" si="3402"/>
        <v>0</v>
      </c>
      <c r="N355" s="21">
        <f t="shared" si="3402"/>
        <v>0</v>
      </c>
      <c r="O355" s="21">
        <f t="shared" si="3402"/>
        <v>0</v>
      </c>
      <c r="P355" s="21">
        <f t="shared" si="3402"/>
        <v>0</v>
      </c>
      <c r="Q355" s="21">
        <f t="shared" si="3402"/>
        <v>0</v>
      </c>
      <c r="R355" s="21">
        <f>IF($F$290, 0, IF($C$300, IF(AND(COLUMN($R$355)-COLUMN($B$351)=$Q$291,ROW($R$355)-ROW($B$351)=$K$291), U$290, R355), R355))</f>
        <v>0</v>
      </c>
      <c r="S355" s="21">
        <f t="shared" ref="S355:Y355" si="3403">IF($F$290, 0, IF($C$300, IF(AND(COLUMN($R$355)-COLUMN($B$351)=$Q$291,ROW($R$355)-ROW($B$351)=$K$291), V$290, S355), S355))</f>
        <v>0</v>
      </c>
      <c r="T355" s="21">
        <f t="shared" si="3403"/>
        <v>0</v>
      </c>
      <c r="U355" s="21">
        <f t="shared" si="3403"/>
        <v>0</v>
      </c>
      <c r="V355" s="21">
        <f t="shared" si="3403"/>
        <v>0</v>
      </c>
      <c r="W355" s="21">
        <f t="shared" si="3403"/>
        <v>0</v>
      </c>
      <c r="X355" s="21">
        <f t="shared" si="3403"/>
        <v>0</v>
      </c>
      <c r="Y355" s="21">
        <f t="shared" si="3403"/>
        <v>0</v>
      </c>
      <c r="Z355" s="21">
        <f t="shared" ref="Z355:AG355" si="3404">IF($F$290, 0, IF($C$300, IF(AND(COLUMN($Z$355)-COLUMN($B$351)=$Q$291,ROW($Z$355)-ROW($B$351)=$K$291), U$290, Z355), Z355))</f>
        <v>0</v>
      </c>
      <c r="AA355" s="21">
        <f t="shared" si="3404"/>
        <v>0</v>
      </c>
      <c r="AB355" s="21">
        <f t="shared" si="3404"/>
        <v>0</v>
      </c>
      <c r="AC355" s="21">
        <f t="shared" si="3404"/>
        <v>0</v>
      </c>
      <c r="AD355" s="21">
        <f t="shared" si="3404"/>
        <v>0</v>
      </c>
      <c r="AE355" s="21">
        <f t="shared" si="3404"/>
        <v>0</v>
      </c>
      <c r="AF355" s="21">
        <f t="shared" si="3404"/>
        <v>0</v>
      </c>
      <c r="AG355" s="21">
        <f t="shared" si="3404"/>
        <v>0</v>
      </c>
      <c r="AH355" s="21">
        <f t="shared" ref="AH355:AO355" si="3405">IF($F$290, 0, IF($C$300, IF(AND(COLUMN($AH$355)-COLUMN($B$351)=$Q$291,ROW($AH$355)-ROW($B$351)=$K$291), U$290, AH355), AH355))</f>
        <v>0</v>
      </c>
      <c r="AI355" s="21">
        <f t="shared" si="3405"/>
        <v>0</v>
      </c>
      <c r="AJ355" s="21">
        <f t="shared" si="3405"/>
        <v>0</v>
      </c>
      <c r="AK355" s="21">
        <f t="shared" si="3405"/>
        <v>0</v>
      </c>
      <c r="AL355" s="21">
        <f t="shared" si="3405"/>
        <v>0</v>
      </c>
      <c r="AM355" s="21">
        <f t="shared" si="3405"/>
        <v>0</v>
      </c>
      <c r="AN355" s="21">
        <f t="shared" si="3405"/>
        <v>0</v>
      </c>
      <c r="AO355" s="21">
        <f t="shared" si="3405"/>
        <v>0</v>
      </c>
      <c r="AP355" s="21">
        <f t="shared" ref="AP355:AW355" si="3406">IF($F$290, 0, IF($C$300, IF(AND(COLUMN($AP$355)-COLUMN($B$351)=$Q$291,ROW($AP$355)-ROW($B$351)=$K$291), U$290, AP355), AP355))</f>
        <v>0</v>
      </c>
      <c r="AQ355" s="21">
        <f t="shared" si="3406"/>
        <v>0</v>
      </c>
      <c r="AR355" s="21">
        <f t="shared" si="3406"/>
        <v>0</v>
      </c>
      <c r="AS355" s="21">
        <f t="shared" si="3406"/>
        <v>0</v>
      </c>
      <c r="AT355" s="21">
        <f t="shared" si="3406"/>
        <v>0</v>
      </c>
      <c r="AU355" s="21">
        <f t="shared" si="3406"/>
        <v>0</v>
      </c>
      <c r="AV355" s="21">
        <f t="shared" si="3406"/>
        <v>0</v>
      </c>
      <c r="AW355" s="21">
        <f t="shared" si="3406"/>
        <v>0</v>
      </c>
      <c r="AX355" s="21">
        <f t="shared" ref="AX355:BE355" si="3407">IF($F$290, 0, IF($C$300, IF(AND(COLUMN($AX$355)-COLUMN($B$351)=$Q$291,ROW($AX$355)-ROW($B$351)=$K$291), U$290, AX355), AX355))</f>
        <v>0</v>
      </c>
      <c r="AY355" s="21">
        <f t="shared" si="3407"/>
        <v>0</v>
      </c>
      <c r="AZ355" s="21">
        <f t="shared" si="3407"/>
        <v>0</v>
      </c>
      <c r="BA355" s="21">
        <f t="shared" si="3407"/>
        <v>0</v>
      </c>
      <c r="BB355" s="21">
        <f t="shared" si="3407"/>
        <v>0</v>
      </c>
      <c r="BC355" s="21">
        <f t="shared" si="3407"/>
        <v>0</v>
      </c>
      <c r="BD355" s="21">
        <f t="shared" si="3407"/>
        <v>0</v>
      </c>
      <c r="BE355" s="21">
        <f t="shared" si="3407"/>
        <v>0</v>
      </c>
      <c r="BF355" s="21">
        <f t="shared" ref="BF355:BM355" si="3408">IF($F$290, 0, IF($C$300, IF(AND(COLUMN($BF$355)-COLUMN($B$351)=$Q$291,ROW($BF$355)-ROW($B$351)=$K$291), U$290, BF355), BF355))</f>
        <v>0</v>
      </c>
      <c r="BG355" s="21">
        <f t="shared" si="3408"/>
        <v>0</v>
      </c>
      <c r="BH355" s="21">
        <f t="shared" si="3408"/>
        <v>0</v>
      </c>
      <c r="BI355" s="21">
        <f t="shared" si="3408"/>
        <v>0</v>
      </c>
      <c r="BJ355" s="21">
        <f t="shared" si="3408"/>
        <v>0</v>
      </c>
      <c r="BK355" s="21">
        <f t="shared" si="3408"/>
        <v>0</v>
      </c>
      <c r="BL355" s="21">
        <f t="shared" si="3408"/>
        <v>0</v>
      </c>
      <c r="BM355" s="21">
        <f t="shared" si="3408"/>
        <v>0</v>
      </c>
      <c r="BN355" s="21">
        <f t="shared" ref="BN355:BU355" si="3409">IF($F$290, 0, IF($D$300, IF(AND(COLUMN($BN$355)-COLUMN($BN$351)=$Q$291,ROW($BN$355)-ROW($BN$351)=$K$291), U$290, BN355), BN355))</f>
        <v>0</v>
      </c>
      <c r="BO355" s="21">
        <f t="shared" si="3409"/>
        <v>0</v>
      </c>
      <c r="BP355" s="21">
        <f t="shared" si="3409"/>
        <v>0</v>
      </c>
      <c r="BQ355" s="21">
        <f t="shared" si="3409"/>
        <v>0</v>
      </c>
      <c r="BR355" s="21">
        <f t="shared" si="3409"/>
        <v>0</v>
      </c>
      <c r="BS355" s="21">
        <f t="shared" si="3409"/>
        <v>0</v>
      </c>
      <c r="BT355" s="21">
        <f t="shared" si="3409"/>
        <v>0</v>
      </c>
      <c r="BU355" s="21">
        <f t="shared" si="3409"/>
        <v>0</v>
      </c>
      <c r="BV355" s="21">
        <f t="shared" ref="BV355:CC355" si="3410">IF($F$290, 0, IF($D$300, IF(AND(COLUMN($BV$355)-COLUMN($BN$351)=$Q$291,ROW($BV$355)-ROW($BN$351)=$K$291), U$290, BV355), BV355))</f>
        <v>0</v>
      </c>
      <c r="BW355" s="21">
        <f t="shared" si="3410"/>
        <v>0</v>
      </c>
      <c r="BX355" s="21">
        <f t="shared" si="3410"/>
        <v>0</v>
      </c>
      <c r="BY355" s="21">
        <f t="shared" si="3410"/>
        <v>0</v>
      </c>
      <c r="BZ355" s="21">
        <f t="shared" si="3410"/>
        <v>0</v>
      </c>
      <c r="CA355" s="21">
        <f t="shared" si="3410"/>
        <v>0</v>
      </c>
      <c r="CB355" s="21">
        <f t="shared" si="3410"/>
        <v>0</v>
      </c>
      <c r="CC355" s="21">
        <f t="shared" si="3410"/>
        <v>0</v>
      </c>
      <c r="CD355" s="21">
        <f t="shared" ref="CD355:CK355" si="3411">IF($F$290, 0, IF($D$300, IF(AND(COLUMN($CD$355)-COLUMN($BN$351)=$Q$291,ROW($CD$355)-ROW($BN$351)=$K$291), U$290, CD355), CD355))</f>
        <v>0</v>
      </c>
      <c r="CE355" s="21">
        <f t="shared" si="3411"/>
        <v>0</v>
      </c>
      <c r="CF355" s="21">
        <f t="shared" si="3411"/>
        <v>0</v>
      </c>
      <c r="CG355" s="21">
        <f t="shared" si="3411"/>
        <v>0</v>
      </c>
      <c r="CH355" s="21">
        <f t="shared" si="3411"/>
        <v>0</v>
      </c>
      <c r="CI355" s="21">
        <f t="shared" si="3411"/>
        <v>0</v>
      </c>
      <c r="CJ355" s="21">
        <f t="shared" si="3411"/>
        <v>0</v>
      </c>
      <c r="CK355" s="21">
        <f t="shared" si="3411"/>
        <v>0</v>
      </c>
      <c r="CL355" s="21">
        <f t="shared" ref="CL355:CS355" si="3412">IF($F$290, 0, IF($D$300, IF(AND(COLUMN($CL$355)-COLUMN($BN$351)=$Q$291,ROW($CL$355)-ROW($BN$351)=$K$291), U$290, CL355), CL355))</f>
        <v>0</v>
      </c>
      <c r="CM355" s="21">
        <f t="shared" si="3412"/>
        <v>0</v>
      </c>
      <c r="CN355" s="21">
        <f t="shared" si="3412"/>
        <v>0</v>
      </c>
      <c r="CO355" s="21">
        <f t="shared" si="3412"/>
        <v>0</v>
      </c>
      <c r="CP355" s="21">
        <f t="shared" si="3412"/>
        <v>0</v>
      </c>
      <c r="CQ355" s="21">
        <f t="shared" si="3412"/>
        <v>0</v>
      </c>
      <c r="CR355" s="21">
        <f t="shared" si="3412"/>
        <v>0</v>
      </c>
      <c r="CS355" s="21">
        <f t="shared" si="3412"/>
        <v>0</v>
      </c>
      <c r="CT355" s="21">
        <f t="shared" ref="CT355:DA355" si="3413">IF($F$290, 0, IF($D$300, IF(AND(COLUMN($CT$355)-COLUMN($BN$351)=$Q$291,ROW($CT$355)-ROW($BN$351)=$K$291), U$290, CT355), CT355))</f>
        <v>0</v>
      </c>
      <c r="CU355" s="21">
        <f t="shared" si="3413"/>
        <v>0</v>
      </c>
      <c r="CV355" s="21">
        <f t="shared" si="3413"/>
        <v>0</v>
      </c>
      <c r="CW355" s="21">
        <f t="shared" si="3413"/>
        <v>0</v>
      </c>
      <c r="CX355" s="21">
        <f t="shared" si="3413"/>
        <v>0</v>
      </c>
      <c r="CY355" s="21">
        <f t="shared" si="3413"/>
        <v>0</v>
      </c>
      <c r="CZ355" s="21">
        <f t="shared" si="3413"/>
        <v>0</v>
      </c>
      <c r="DA355" s="21">
        <f t="shared" si="3413"/>
        <v>0</v>
      </c>
      <c r="DB355" s="21">
        <f t="shared" ref="DB355:DI355" si="3414">IF($F$290, 0, IF($D$300, IF(AND(COLUMN($DB$355)-COLUMN($BN$351)=$Q$291,ROW($DB$355)-ROW($BN$351)=$K$291), U$290, DB355), DB355))</f>
        <v>0</v>
      </c>
      <c r="DC355" s="21">
        <f t="shared" si="3414"/>
        <v>0</v>
      </c>
      <c r="DD355" s="21">
        <f t="shared" si="3414"/>
        <v>0</v>
      </c>
      <c r="DE355" s="21">
        <f t="shared" si="3414"/>
        <v>0</v>
      </c>
      <c r="DF355" s="21">
        <f t="shared" si="3414"/>
        <v>0</v>
      </c>
      <c r="DG355" s="21">
        <f t="shared" si="3414"/>
        <v>0</v>
      </c>
      <c r="DH355" s="21">
        <f t="shared" si="3414"/>
        <v>0</v>
      </c>
      <c r="DI355" s="21">
        <f t="shared" si="3414"/>
        <v>0</v>
      </c>
      <c r="DJ355" s="21">
        <f t="shared" ref="DJ355:DQ355" si="3415">IF($F$290, 0, IF($D$300, IF(AND(COLUMN($DJ$355)-COLUMN($BN$351)=$Q$291,ROW($DJ$355)-ROW($BN$351)=$K$291), U$290, DJ355), DJ355))</f>
        <v>0</v>
      </c>
      <c r="DK355" s="21">
        <f t="shared" si="3415"/>
        <v>0</v>
      </c>
      <c r="DL355" s="21">
        <f t="shared" si="3415"/>
        <v>0</v>
      </c>
      <c r="DM355" s="21">
        <f t="shared" si="3415"/>
        <v>0</v>
      </c>
      <c r="DN355" s="21">
        <f t="shared" si="3415"/>
        <v>0</v>
      </c>
      <c r="DO355" s="21">
        <f t="shared" si="3415"/>
        <v>0</v>
      </c>
      <c r="DP355" s="21">
        <f t="shared" si="3415"/>
        <v>0</v>
      </c>
      <c r="DQ355" s="21">
        <f t="shared" si="3415"/>
        <v>0</v>
      </c>
      <c r="DR355" s="21">
        <f t="shared" ref="DR355:DY355" si="3416">IF($F$290, 0, IF($D$300, IF(AND(COLUMN($DR$355)-COLUMN($BN$351)=$Q$291,ROW($DR$355)-ROW($BN$351)=$K$291), U$290, DR355), DR355))</f>
        <v>0</v>
      </c>
      <c r="DS355" s="21">
        <f t="shared" si="3416"/>
        <v>0</v>
      </c>
      <c r="DT355" s="21">
        <f t="shared" si="3416"/>
        <v>0</v>
      </c>
      <c r="DU355" s="21">
        <f t="shared" si="3416"/>
        <v>0</v>
      </c>
      <c r="DV355" s="21">
        <f t="shared" si="3416"/>
        <v>0</v>
      </c>
      <c r="DW355" s="21">
        <f t="shared" si="3416"/>
        <v>0</v>
      </c>
      <c r="DX355" s="21">
        <f t="shared" si="3416"/>
        <v>0</v>
      </c>
      <c r="DY355" s="21">
        <f t="shared" si="3416"/>
        <v>0</v>
      </c>
      <c r="DZ355" s="21">
        <f t="shared" ref="DZ355:EG355" si="3417">IF($F$290, 0, IF($E$300, IF(AND(COLUMN($DZ$355)-COLUMN($DZ$351)=$Q$291,ROW($DZ$355)-ROW($DZ$351)=$K$291), U$290, DZ355), DZ355))</f>
        <v>0</v>
      </c>
      <c r="EA355" s="21">
        <f t="shared" si="3417"/>
        <v>0</v>
      </c>
      <c r="EB355" s="21">
        <f t="shared" si="3417"/>
        <v>0</v>
      </c>
      <c r="EC355" s="21">
        <f t="shared" si="3417"/>
        <v>0</v>
      </c>
      <c r="ED355" s="21">
        <f t="shared" si="3417"/>
        <v>0</v>
      </c>
      <c r="EE355" s="21">
        <f t="shared" si="3417"/>
        <v>0</v>
      </c>
      <c r="EF355" s="21">
        <f t="shared" si="3417"/>
        <v>0</v>
      </c>
      <c r="EG355" s="21">
        <f t="shared" si="3417"/>
        <v>0</v>
      </c>
      <c r="EH355" s="21">
        <f t="shared" ref="EH355:EO355" si="3418">IF($F$290, 0, IF($E$300, IF(AND(COLUMN($EH$355)-COLUMN($DZ$351)=$Q$291,ROW($EH$355)-ROW($DZ$351)=$K$291), U$290, EH355), EH355))</f>
        <v>0</v>
      </c>
      <c r="EI355" s="21">
        <f t="shared" si="3418"/>
        <v>0</v>
      </c>
      <c r="EJ355" s="21">
        <f t="shared" si="3418"/>
        <v>0</v>
      </c>
      <c r="EK355" s="21">
        <f t="shared" si="3418"/>
        <v>0</v>
      </c>
      <c r="EL355" s="21">
        <f t="shared" si="3418"/>
        <v>0</v>
      </c>
      <c r="EM355" s="21">
        <f t="shared" si="3418"/>
        <v>0</v>
      </c>
      <c r="EN355" s="21">
        <f t="shared" si="3418"/>
        <v>0</v>
      </c>
      <c r="EO355" s="21">
        <f t="shared" si="3418"/>
        <v>0</v>
      </c>
      <c r="EP355" s="21">
        <f t="shared" ref="EP355:EW355" si="3419">IF($F$290, 0, IF($E$300, IF(AND(COLUMN($EP$355)-COLUMN($DZ$351)=$Q$291,ROW($EP$355)-ROW($DZ$351)=$K$291), U$290, EP355), EP355))</f>
        <v>0</v>
      </c>
      <c r="EQ355" s="21">
        <f t="shared" si="3419"/>
        <v>0</v>
      </c>
      <c r="ER355" s="21">
        <f t="shared" si="3419"/>
        <v>0</v>
      </c>
      <c r="ES355" s="21">
        <f t="shared" si="3419"/>
        <v>0</v>
      </c>
      <c r="ET355" s="21">
        <f t="shared" si="3419"/>
        <v>0</v>
      </c>
      <c r="EU355" s="21">
        <f t="shared" si="3419"/>
        <v>0</v>
      </c>
      <c r="EV355" s="21">
        <f t="shared" si="3419"/>
        <v>0</v>
      </c>
      <c r="EW355" s="21">
        <f t="shared" si="3419"/>
        <v>0</v>
      </c>
      <c r="EX355" s="21">
        <f t="shared" ref="EX355:FE355" si="3420">IF($F$290, 0, IF($E$300, IF(AND(COLUMN($EX$355)-COLUMN($DZ$351)=$Q$291,ROW($EX$355)-ROW($DZ$351)=$K$291), U$290, EX355), EX355))</f>
        <v>0</v>
      </c>
      <c r="EY355" s="21">
        <f t="shared" si="3420"/>
        <v>0</v>
      </c>
      <c r="EZ355" s="21">
        <f t="shared" si="3420"/>
        <v>0</v>
      </c>
      <c r="FA355" s="21">
        <f t="shared" si="3420"/>
        <v>0</v>
      </c>
      <c r="FB355" s="21">
        <f t="shared" si="3420"/>
        <v>0</v>
      </c>
      <c r="FC355" s="21">
        <f t="shared" si="3420"/>
        <v>0</v>
      </c>
      <c r="FD355" s="21">
        <f t="shared" si="3420"/>
        <v>0</v>
      </c>
      <c r="FE355" s="21">
        <f t="shared" si="3420"/>
        <v>0</v>
      </c>
      <c r="FF355" s="21">
        <f t="shared" ref="FF355:FM355" si="3421">IF($F$290, 0, IF($E$300, IF(AND(COLUMN($FF$355)-COLUMN($DZ$351)=$Q$291,ROW($FF$355)-ROW($DZ$351)=$K$291), U$290, FF355), FF355))</f>
        <v>0</v>
      </c>
      <c r="FG355" s="21">
        <f t="shared" si="3421"/>
        <v>0</v>
      </c>
      <c r="FH355" s="21">
        <f t="shared" si="3421"/>
        <v>0</v>
      </c>
      <c r="FI355" s="21">
        <f t="shared" si="3421"/>
        <v>0</v>
      </c>
      <c r="FJ355" s="21">
        <f t="shared" si="3421"/>
        <v>0</v>
      </c>
      <c r="FK355" s="21">
        <f t="shared" si="3421"/>
        <v>0</v>
      </c>
      <c r="FL355" s="21">
        <f t="shared" si="3421"/>
        <v>0</v>
      </c>
      <c r="FM355" s="21">
        <f t="shared" si="3421"/>
        <v>0</v>
      </c>
      <c r="FN355" s="21">
        <f t="shared" ref="FN355:FU355" si="3422">IF($F$290, 0, IF($E$300, IF(AND(COLUMN($FN$355)-COLUMN($DZ$351)=$Q$291,ROW($FN$355)-ROW($DZ$351)=$K$291), U$290, FN355), FN355))</f>
        <v>0</v>
      </c>
      <c r="FO355" s="21">
        <f t="shared" si="3422"/>
        <v>0</v>
      </c>
      <c r="FP355" s="21">
        <f t="shared" si="3422"/>
        <v>0</v>
      </c>
      <c r="FQ355" s="21">
        <f t="shared" si="3422"/>
        <v>0</v>
      </c>
      <c r="FR355" s="21">
        <f t="shared" si="3422"/>
        <v>0</v>
      </c>
      <c r="FS355" s="21">
        <f t="shared" si="3422"/>
        <v>0</v>
      </c>
      <c r="FT355" s="21">
        <f t="shared" si="3422"/>
        <v>0</v>
      </c>
      <c r="FU355" s="21">
        <f t="shared" si="3422"/>
        <v>0</v>
      </c>
      <c r="FV355" s="21">
        <f t="shared" ref="FV355:GC355" si="3423">IF($F$290, 0, IF($E$300, IF(AND(COLUMN($FV$355)-COLUMN($DZ$351)=$Q$291,ROW($FV$355)-ROW($DZ$351)=$K$291), U$290, FV355), FV355))</f>
        <v>0</v>
      </c>
      <c r="FW355" s="21">
        <f t="shared" si="3423"/>
        <v>0</v>
      </c>
      <c r="FX355" s="21">
        <f t="shared" si="3423"/>
        <v>0</v>
      </c>
      <c r="FY355" s="21">
        <f t="shared" si="3423"/>
        <v>0</v>
      </c>
      <c r="FZ355" s="21">
        <f t="shared" si="3423"/>
        <v>0</v>
      </c>
      <c r="GA355" s="21">
        <f t="shared" si="3423"/>
        <v>0</v>
      </c>
      <c r="GB355" s="21">
        <f t="shared" si="3423"/>
        <v>0</v>
      </c>
      <c r="GC355" s="21">
        <f t="shared" si="3423"/>
        <v>0</v>
      </c>
      <c r="GD355" s="21">
        <f t="shared" ref="GD355:GK355" si="3424">IF($F$290, 0, IF($E$300, IF(AND(COLUMN($GD$355)-COLUMN($DZ$351)=$Q$291,ROW($GD$355)-ROW($DZ$351)=$K$291), U$290, GD355), GD355))</f>
        <v>0</v>
      </c>
      <c r="GE355" s="21">
        <f t="shared" si="3424"/>
        <v>0</v>
      </c>
      <c r="GF355" s="21">
        <f t="shared" si="3424"/>
        <v>0</v>
      </c>
      <c r="GG355" s="21">
        <f t="shared" si="3424"/>
        <v>0</v>
      </c>
      <c r="GH355" s="21">
        <f t="shared" si="3424"/>
        <v>0</v>
      </c>
      <c r="GI355" s="21">
        <f t="shared" si="3424"/>
        <v>0</v>
      </c>
      <c r="GJ355" s="21">
        <f t="shared" si="3424"/>
        <v>0</v>
      </c>
      <c r="GK355" s="21">
        <f t="shared" si="3424"/>
        <v>0</v>
      </c>
      <c r="GL355" s="21">
        <f t="shared" ref="GL355:GS355" si="3425">IF($F$290, 0, IF($F$300, IF(AND(COLUMN($GL$355)-COLUMN($GL$351)=$Q$291,ROW($GL$355)-ROW($GL$351)=$K$291), U$290, GL355), GL355))</f>
        <v>0</v>
      </c>
      <c r="GM355" s="21">
        <f t="shared" si="3425"/>
        <v>0</v>
      </c>
      <c r="GN355" s="21">
        <f t="shared" si="3425"/>
        <v>0</v>
      </c>
      <c r="GO355" s="21">
        <f t="shared" si="3425"/>
        <v>0</v>
      </c>
      <c r="GP355" s="21">
        <f t="shared" si="3425"/>
        <v>0</v>
      </c>
      <c r="GQ355" s="21">
        <f t="shared" si="3425"/>
        <v>0</v>
      </c>
      <c r="GR355" s="21">
        <f t="shared" si="3425"/>
        <v>0</v>
      </c>
      <c r="GS355" s="21">
        <f t="shared" si="3425"/>
        <v>0</v>
      </c>
      <c r="GT355" s="21">
        <f t="shared" ref="GT355:HA355" si="3426">IF($F$290, 0, IF($F$300, IF(AND(COLUMN($GT$355)-COLUMN($GL$351)=$Q$291,ROW($GT$355)-ROW($GL$351)=$K$291), U$290, GT355), GT355))</f>
        <v>0</v>
      </c>
      <c r="GU355" s="21">
        <f t="shared" si="3426"/>
        <v>0</v>
      </c>
      <c r="GV355" s="21">
        <f t="shared" si="3426"/>
        <v>0</v>
      </c>
      <c r="GW355" s="21">
        <f t="shared" si="3426"/>
        <v>0</v>
      </c>
      <c r="GX355" s="21">
        <f t="shared" si="3426"/>
        <v>0</v>
      </c>
      <c r="GY355" s="21">
        <f t="shared" si="3426"/>
        <v>0</v>
      </c>
      <c r="GZ355" s="21">
        <f t="shared" si="3426"/>
        <v>0</v>
      </c>
      <c r="HA355" s="21">
        <f t="shared" si="3426"/>
        <v>0</v>
      </c>
      <c r="HB355" s="21">
        <f t="shared" ref="HB355:HI355" si="3427">IF($F$290, 0, IF($F$300, IF(AND(COLUMN($HB$355)-COLUMN($GL$351)=$Q$291,ROW($HB$355)-ROW($GL$351)=$K$291), U$290, HB355), HB355))</f>
        <v>0</v>
      </c>
      <c r="HC355" s="21">
        <f t="shared" si="3427"/>
        <v>0</v>
      </c>
      <c r="HD355" s="21">
        <f t="shared" si="3427"/>
        <v>0</v>
      </c>
      <c r="HE355" s="21">
        <f t="shared" si="3427"/>
        <v>0</v>
      </c>
      <c r="HF355" s="21">
        <f t="shared" si="3427"/>
        <v>0</v>
      </c>
      <c r="HG355" s="21">
        <f t="shared" si="3427"/>
        <v>0</v>
      </c>
      <c r="HH355" s="21">
        <f t="shared" si="3427"/>
        <v>0</v>
      </c>
      <c r="HI355" s="21">
        <f t="shared" si="3427"/>
        <v>0</v>
      </c>
      <c r="HJ355" s="21">
        <f t="shared" ref="HJ355:HQ355" si="3428">IF($F$290, 0, IF($F$300, IF(AND(COLUMN($HJ$355)-COLUMN($GL$351)=$Q$291,ROW($HJ$355)-ROW($GL$351)=$K$291), U$290, HJ355), HJ355))</f>
        <v>0</v>
      </c>
      <c r="HK355" s="21">
        <f t="shared" si="3428"/>
        <v>0</v>
      </c>
      <c r="HL355" s="21">
        <f t="shared" si="3428"/>
        <v>0</v>
      </c>
      <c r="HM355" s="21">
        <f t="shared" si="3428"/>
        <v>0</v>
      </c>
      <c r="HN355" s="21">
        <f t="shared" si="3428"/>
        <v>0</v>
      </c>
      <c r="HO355" s="21">
        <f t="shared" si="3428"/>
        <v>0</v>
      </c>
      <c r="HP355" s="21">
        <f t="shared" si="3428"/>
        <v>0</v>
      </c>
      <c r="HQ355" s="21">
        <f t="shared" si="3428"/>
        <v>0</v>
      </c>
      <c r="HR355" s="21">
        <f t="shared" ref="HR355:HY355" si="3429">IF($F$290, 0, IF($F$300, IF(AND(COLUMN($HR$355)-COLUMN($GL$351)=$Q$291,ROW($HR$355)-ROW($GL$351)=$K$291), U$290, HR355), HR355))</f>
        <v>0</v>
      </c>
      <c r="HS355" s="21">
        <f t="shared" si="3429"/>
        <v>0</v>
      </c>
      <c r="HT355" s="21">
        <f t="shared" si="3429"/>
        <v>0</v>
      </c>
      <c r="HU355" s="21">
        <f t="shared" si="3429"/>
        <v>0</v>
      </c>
      <c r="HV355" s="21">
        <f t="shared" si="3429"/>
        <v>0</v>
      </c>
      <c r="HW355" s="21">
        <f t="shared" si="3429"/>
        <v>0</v>
      </c>
      <c r="HX355" s="21">
        <f t="shared" si="3429"/>
        <v>0</v>
      </c>
      <c r="HY355" s="21">
        <f t="shared" si="3429"/>
        <v>0</v>
      </c>
      <c r="HZ355" s="21">
        <f t="shared" ref="HZ355:IG355" si="3430">IF($F$290, 0, IF($F$300, IF(AND(COLUMN($HZ$355)-COLUMN($GL$351)=$Q$291,ROW($HZ$355)-ROW($GL$351)=$K$291), U$290, HZ355), HZ355))</f>
        <v>0</v>
      </c>
      <c r="IA355" s="21">
        <f t="shared" si="3430"/>
        <v>0</v>
      </c>
      <c r="IB355" s="21">
        <f t="shared" si="3430"/>
        <v>0</v>
      </c>
      <c r="IC355" s="21">
        <f t="shared" si="3430"/>
        <v>0</v>
      </c>
      <c r="ID355" s="21">
        <f t="shared" si="3430"/>
        <v>0</v>
      </c>
      <c r="IE355" s="21">
        <f t="shared" si="3430"/>
        <v>0</v>
      </c>
      <c r="IF355" s="21">
        <f t="shared" si="3430"/>
        <v>0</v>
      </c>
      <c r="IG355" s="21">
        <f t="shared" si="3430"/>
        <v>0</v>
      </c>
      <c r="IH355" s="21">
        <f t="shared" ref="IH355:IO355" si="3431">IF($F$290, 0, IF($F$300, IF(AND(COLUMN($IH$355)-COLUMN($GL$351)=$Q$291,ROW($IH$355)-ROW($GL$351)=$K$291), U$290, IH355), IH355))</f>
        <v>0</v>
      </c>
      <c r="II355" s="21">
        <f t="shared" si="3431"/>
        <v>0</v>
      </c>
      <c r="IJ355" s="21">
        <f t="shared" si="3431"/>
        <v>0</v>
      </c>
      <c r="IK355" s="21">
        <f t="shared" si="3431"/>
        <v>0</v>
      </c>
      <c r="IL355" s="21">
        <f t="shared" si="3431"/>
        <v>0</v>
      </c>
      <c r="IM355" s="21">
        <f t="shared" si="3431"/>
        <v>0</v>
      </c>
      <c r="IN355" s="21">
        <f t="shared" si="3431"/>
        <v>0</v>
      </c>
      <c r="IO355" s="21">
        <f t="shared" si="3431"/>
        <v>0</v>
      </c>
      <c r="IP355" s="21">
        <f t="shared" ref="IP355:IW355" si="3432">IF($F$290, 0, IF($F$300, IF(AND(COLUMN($IP$355)-COLUMN($GL$351)=$Q$291,ROW($IP$355)-ROW($GL$351)=$K$291), U$290, IP355), IP355))</f>
        <v>0</v>
      </c>
      <c r="IQ355" s="21">
        <f t="shared" si="3432"/>
        <v>0</v>
      </c>
      <c r="IR355" s="21">
        <f t="shared" si="3432"/>
        <v>0</v>
      </c>
      <c r="IS355" s="21">
        <f t="shared" si="3432"/>
        <v>0</v>
      </c>
      <c r="IT355" s="21">
        <f t="shared" si="3432"/>
        <v>0</v>
      </c>
      <c r="IU355" s="21">
        <f t="shared" si="3432"/>
        <v>0</v>
      </c>
      <c r="IV355" s="21">
        <f t="shared" si="3432"/>
        <v>0</v>
      </c>
      <c r="IW355" s="21">
        <f t="shared" si="3432"/>
        <v>0</v>
      </c>
      <c r="IX355" s="21">
        <f t="shared" ref="IX355:JE355" si="3433">IF($F$290, 0, IF($G$300, IF(AND(COLUMN($IX$355)-COLUMN($IX$351)=$Q$291,ROW($IX$355)-ROW($IX$351)=$K$291), U$290, IX355), IX355))</f>
        <v>0</v>
      </c>
      <c r="IY355" s="21">
        <f t="shared" si="3433"/>
        <v>0</v>
      </c>
      <c r="IZ355" s="21">
        <f t="shared" si="3433"/>
        <v>0</v>
      </c>
      <c r="JA355" s="21">
        <f t="shared" si="3433"/>
        <v>0</v>
      </c>
      <c r="JB355" s="21">
        <f t="shared" si="3433"/>
        <v>0</v>
      </c>
      <c r="JC355" s="21">
        <f t="shared" si="3433"/>
        <v>0</v>
      </c>
      <c r="JD355" s="21">
        <f t="shared" si="3433"/>
        <v>0</v>
      </c>
      <c r="JE355" s="21">
        <f t="shared" si="3433"/>
        <v>0</v>
      </c>
      <c r="JF355" s="21">
        <f t="shared" ref="JF355:JM355" si="3434">IF($F$290, 0, IF($G$300, IF(AND(COLUMN($JF$355)-COLUMN($IX$351)=$Q$291,ROW($JF$355)-ROW($IX$351)=$K$291), U$290, JF355), JF355))</f>
        <v>0</v>
      </c>
      <c r="JG355" s="21">
        <f t="shared" si="3434"/>
        <v>0</v>
      </c>
      <c r="JH355" s="21">
        <f t="shared" si="3434"/>
        <v>0</v>
      </c>
      <c r="JI355" s="21">
        <f t="shared" si="3434"/>
        <v>0</v>
      </c>
      <c r="JJ355" s="21">
        <f t="shared" si="3434"/>
        <v>0</v>
      </c>
      <c r="JK355" s="21">
        <f t="shared" si="3434"/>
        <v>0</v>
      </c>
      <c r="JL355" s="21">
        <f t="shared" si="3434"/>
        <v>0</v>
      </c>
      <c r="JM355" s="21">
        <f t="shared" si="3434"/>
        <v>0</v>
      </c>
      <c r="JN355" s="21">
        <f t="shared" ref="JN355:JU355" si="3435">IF($F$290, 0, IF($G$300, IF(AND(COLUMN($JN$355)-COLUMN($IX$351)=$Q$291,ROW($JN$355)-ROW($IX$351)=$K$291), U$290, JN355), JN355))</f>
        <v>0</v>
      </c>
      <c r="JO355" s="21">
        <f t="shared" si="3435"/>
        <v>0</v>
      </c>
      <c r="JP355" s="21">
        <f t="shared" si="3435"/>
        <v>0</v>
      </c>
      <c r="JQ355" s="21">
        <f t="shared" si="3435"/>
        <v>0</v>
      </c>
      <c r="JR355" s="21">
        <f t="shared" si="3435"/>
        <v>0</v>
      </c>
      <c r="JS355" s="21">
        <f t="shared" si="3435"/>
        <v>0</v>
      </c>
      <c r="JT355" s="21">
        <f t="shared" si="3435"/>
        <v>0</v>
      </c>
      <c r="JU355" s="21">
        <f t="shared" si="3435"/>
        <v>0</v>
      </c>
      <c r="JV355" s="21">
        <f t="shared" ref="JV355:KC355" si="3436">IF($F$290, 0, IF($G$300, IF(AND(COLUMN($JV$355)-COLUMN($IX$351)=$Q$291,ROW($JV$355)-ROW($IX$351)=$K$291), U$290, JV355), JV355))</f>
        <v>0</v>
      </c>
      <c r="JW355" s="21">
        <f t="shared" si="3436"/>
        <v>0</v>
      </c>
      <c r="JX355" s="21">
        <f t="shared" si="3436"/>
        <v>0</v>
      </c>
      <c r="JY355" s="21">
        <f t="shared" si="3436"/>
        <v>0</v>
      </c>
      <c r="JZ355" s="21">
        <f t="shared" si="3436"/>
        <v>0</v>
      </c>
      <c r="KA355" s="21">
        <f t="shared" si="3436"/>
        <v>0</v>
      </c>
      <c r="KB355" s="21">
        <f t="shared" si="3436"/>
        <v>0</v>
      </c>
      <c r="KC355" s="21">
        <f t="shared" si="3436"/>
        <v>0</v>
      </c>
      <c r="KD355" s="21">
        <f t="shared" ref="KD355:KK355" si="3437">IF($F$290, 0, IF($G$300, IF(AND(COLUMN($KD$355)-COLUMN($IX$351)=$Q$291,ROW($KD$355)-ROW($IX$351)=$K$291), U$290, KD355), KD355))</f>
        <v>0</v>
      </c>
      <c r="KE355" s="21">
        <f t="shared" si="3437"/>
        <v>0</v>
      </c>
      <c r="KF355" s="21">
        <f t="shared" si="3437"/>
        <v>0</v>
      </c>
      <c r="KG355" s="21">
        <f t="shared" si="3437"/>
        <v>0</v>
      </c>
      <c r="KH355" s="21">
        <f t="shared" si="3437"/>
        <v>0</v>
      </c>
      <c r="KI355" s="21">
        <f t="shared" si="3437"/>
        <v>0</v>
      </c>
      <c r="KJ355" s="21">
        <f t="shared" si="3437"/>
        <v>0</v>
      </c>
      <c r="KK355" s="21">
        <f t="shared" si="3437"/>
        <v>0</v>
      </c>
      <c r="KL355" s="21">
        <f t="shared" ref="KL355:KS355" si="3438">IF($F$290, 0, IF($G$300, IF(AND(COLUMN($KL$355)-COLUMN($IX$351)=$Q$291,ROW($KL$355)-ROW($IX$351)=$K$291), U$290, KL355), KL355))</f>
        <v>0</v>
      </c>
      <c r="KM355" s="21">
        <f t="shared" si="3438"/>
        <v>0</v>
      </c>
      <c r="KN355" s="21">
        <f t="shared" si="3438"/>
        <v>0</v>
      </c>
      <c r="KO355" s="21">
        <f t="shared" si="3438"/>
        <v>0</v>
      </c>
      <c r="KP355" s="21">
        <f t="shared" si="3438"/>
        <v>0</v>
      </c>
      <c r="KQ355" s="21">
        <f t="shared" si="3438"/>
        <v>0</v>
      </c>
      <c r="KR355" s="21">
        <f t="shared" si="3438"/>
        <v>0</v>
      </c>
      <c r="KS355" s="21">
        <f t="shared" si="3438"/>
        <v>0</v>
      </c>
      <c r="KT355" s="21">
        <f t="shared" ref="KT355:LA355" si="3439">IF($F$290, 0, IF($G$300, IF(AND(COLUMN($KT$355)-COLUMN($IX$351)=$Q$291,ROW($KT$355)-ROW($IX$351)=$K$291), U$290, KT355), KT355))</f>
        <v>0</v>
      </c>
      <c r="KU355" s="21">
        <f t="shared" si="3439"/>
        <v>0</v>
      </c>
      <c r="KV355" s="21">
        <f t="shared" si="3439"/>
        <v>0</v>
      </c>
      <c r="KW355" s="21">
        <f t="shared" si="3439"/>
        <v>0</v>
      </c>
      <c r="KX355" s="21">
        <f t="shared" si="3439"/>
        <v>0</v>
      </c>
      <c r="KY355" s="21">
        <f t="shared" si="3439"/>
        <v>0</v>
      </c>
      <c r="KZ355" s="21">
        <f t="shared" si="3439"/>
        <v>0</v>
      </c>
      <c r="LA355" s="21">
        <f t="shared" si="3439"/>
        <v>0</v>
      </c>
      <c r="LB355" s="21">
        <f t="shared" ref="LB355:LI355" si="3440">IF($F$290, 0, IF($G$300, IF(AND(COLUMN($LB$355)-COLUMN($IX$351)=$Q$291,ROW($LB$355)-ROW($IX$351)=$K$291), U$290, LB355), LB355))</f>
        <v>0</v>
      </c>
      <c r="LC355" s="21">
        <f t="shared" si="3440"/>
        <v>0</v>
      </c>
      <c r="LD355" s="21">
        <f t="shared" si="3440"/>
        <v>0</v>
      </c>
      <c r="LE355" s="21">
        <f t="shared" si="3440"/>
        <v>0</v>
      </c>
      <c r="LF355" s="21">
        <f t="shared" si="3440"/>
        <v>0</v>
      </c>
      <c r="LG355" s="21">
        <f t="shared" si="3440"/>
        <v>0</v>
      </c>
      <c r="LH355" s="21">
        <f t="shared" si="3440"/>
        <v>0</v>
      </c>
      <c r="LI355" s="21">
        <f t="shared" si="3440"/>
        <v>0</v>
      </c>
      <c r="LJ355" s="21">
        <f t="shared" ref="LJ355:LQ355" si="3441">IF($F$290, 0, IF($H$300, IF(AND(COLUMN($LJ$355)-COLUMN($LJ$351)=$Q$291,ROW($LJ$355)-ROW($LJ$351)=$K$291), U$290, LJ355), LJ355))</f>
        <v>0</v>
      </c>
      <c r="LK355" s="21">
        <f t="shared" si="3441"/>
        <v>0</v>
      </c>
      <c r="LL355" s="21">
        <f t="shared" si="3441"/>
        <v>0</v>
      </c>
      <c r="LM355" s="21">
        <f t="shared" si="3441"/>
        <v>0</v>
      </c>
      <c r="LN355" s="21">
        <f t="shared" si="3441"/>
        <v>0</v>
      </c>
      <c r="LO355" s="21">
        <f t="shared" si="3441"/>
        <v>0</v>
      </c>
      <c r="LP355" s="21">
        <f t="shared" si="3441"/>
        <v>0</v>
      </c>
      <c r="LQ355" s="21">
        <f t="shared" si="3441"/>
        <v>0</v>
      </c>
      <c r="LR355" s="21">
        <f t="shared" ref="LR355:LY355" si="3442">IF($F$290, 0, IF($H$300, IF(AND(COLUMN($LR$355)-COLUMN($LJ$351)=$Q$291,ROW($LR$355)-ROW($LJ$351)=$K$291), U$290, LR355), LR355))</f>
        <v>0</v>
      </c>
      <c r="LS355" s="21">
        <f t="shared" si="3442"/>
        <v>0</v>
      </c>
      <c r="LT355" s="21">
        <f t="shared" si="3442"/>
        <v>0</v>
      </c>
      <c r="LU355" s="21">
        <f t="shared" si="3442"/>
        <v>0</v>
      </c>
      <c r="LV355" s="21">
        <f t="shared" si="3442"/>
        <v>0</v>
      </c>
      <c r="LW355" s="21">
        <f t="shared" si="3442"/>
        <v>0</v>
      </c>
      <c r="LX355" s="21">
        <f t="shared" si="3442"/>
        <v>0</v>
      </c>
      <c r="LY355" s="21">
        <f t="shared" si="3442"/>
        <v>0</v>
      </c>
      <c r="LZ355" s="21">
        <f t="shared" ref="LZ355:MG355" si="3443">IF($F$290, 0, IF($H$300, IF(AND(COLUMN($LZ$355)-COLUMN($LJ$351)=$Q$291,ROW($LZ$355)-ROW($LJ$351)=$K$291), U$290, LZ355), LZ355))</f>
        <v>0</v>
      </c>
      <c r="MA355" s="21">
        <f t="shared" si="3443"/>
        <v>0</v>
      </c>
      <c r="MB355" s="21">
        <f t="shared" si="3443"/>
        <v>0</v>
      </c>
      <c r="MC355" s="21">
        <f t="shared" si="3443"/>
        <v>0</v>
      </c>
      <c r="MD355" s="21">
        <f t="shared" si="3443"/>
        <v>0</v>
      </c>
      <c r="ME355" s="21">
        <f t="shared" si="3443"/>
        <v>0</v>
      </c>
      <c r="MF355" s="21">
        <f t="shared" si="3443"/>
        <v>0</v>
      </c>
      <c r="MG355" s="21">
        <f t="shared" si="3443"/>
        <v>0</v>
      </c>
      <c r="MH355" s="21">
        <f t="shared" ref="MH355:MO355" si="3444">IF($F$290, 0, IF($H$300, IF(AND(COLUMN($MH$355)-COLUMN($LJ$351)=$Q$291,ROW($MH$355)-ROW($LJ$351)=$K$291), U$290, MH355), MH355))</f>
        <v>0</v>
      </c>
      <c r="MI355" s="21">
        <f t="shared" si="3444"/>
        <v>0</v>
      </c>
      <c r="MJ355" s="21">
        <f t="shared" si="3444"/>
        <v>0</v>
      </c>
      <c r="MK355" s="21">
        <f t="shared" si="3444"/>
        <v>0</v>
      </c>
      <c r="ML355" s="21">
        <f t="shared" si="3444"/>
        <v>0</v>
      </c>
      <c r="MM355" s="21">
        <f t="shared" si="3444"/>
        <v>0</v>
      </c>
      <c r="MN355" s="21">
        <f t="shared" si="3444"/>
        <v>0</v>
      </c>
      <c r="MO355" s="21">
        <f t="shared" si="3444"/>
        <v>0</v>
      </c>
      <c r="MP355" s="21">
        <f t="shared" ref="MP355:MW355" si="3445">IF($F$290, 0, IF($H$300, IF(AND(COLUMN($MP$355)-COLUMN($LJ$351)=$Q$291,ROW($MP$355)-ROW($LJ$351)=$K$291), U$290, MP355), MP355))</f>
        <v>0</v>
      </c>
      <c r="MQ355" s="21">
        <f t="shared" si="3445"/>
        <v>0</v>
      </c>
      <c r="MR355" s="21">
        <f t="shared" si="3445"/>
        <v>0</v>
      </c>
      <c r="MS355" s="21">
        <f t="shared" si="3445"/>
        <v>0</v>
      </c>
      <c r="MT355" s="21">
        <f t="shared" si="3445"/>
        <v>0</v>
      </c>
      <c r="MU355" s="21">
        <f t="shared" si="3445"/>
        <v>0</v>
      </c>
      <c r="MV355" s="21">
        <f t="shared" si="3445"/>
        <v>0</v>
      </c>
      <c r="MW355" s="21">
        <f t="shared" si="3445"/>
        <v>0</v>
      </c>
      <c r="MX355" s="21">
        <f t="shared" ref="MX355:NE355" si="3446">IF($F$290, 0, IF($H$300, IF(AND(COLUMN($MX$355)-COLUMN($LJ$351)=$Q$291,ROW($MX$355)-ROW($LJ$351)=$K$291), U$290, MX355), MX355))</f>
        <v>0</v>
      </c>
      <c r="MY355" s="21">
        <f t="shared" si="3446"/>
        <v>0</v>
      </c>
      <c r="MZ355" s="21">
        <f t="shared" si="3446"/>
        <v>0</v>
      </c>
      <c r="NA355" s="21">
        <f t="shared" si="3446"/>
        <v>0</v>
      </c>
      <c r="NB355" s="21">
        <f t="shared" si="3446"/>
        <v>0</v>
      </c>
      <c r="NC355" s="21">
        <f t="shared" si="3446"/>
        <v>0</v>
      </c>
      <c r="ND355" s="21">
        <f t="shared" si="3446"/>
        <v>0</v>
      </c>
      <c r="NE355" s="21">
        <f t="shared" si="3446"/>
        <v>0</v>
      </c>
      <c r="NF355" s="21">
        <f t="shared" ref="NF355:NM355" si="3447">IF($F$290, 0, IF($H$300, IF(AND(COLUMN($NF$355)-COLUMN($LJ$351)=$Q$291,ROW($NF$355)-ROW($LJ$351)=$K$291), U$290, NF355), NF355))</f>
        <v>0</v>
      </c>
      <c r="NG355" s="21">
        <f t="shared" si="3447"/>
        <v>0</v>
      </c>
      <c r="NH355" s="21">
        <f t="shared" si="3447"/>
        <v>0</v>
      </c>
      <c r="NI355" s="21">
        <f t="shared" si="3447"/>
        <v>0</v>
      </c>
      <c r="NJ355" s="21">
        <f t="shared" si="3447"/>
        <v>0</v>
      </c>
      <c r="NK355" s="21">
        <f t="shared" si="3447"/>
        <v>0</v>
      </c>
      <c r="NL355" s="21">
        <f t="shared" si="3447"/>
        <v>0</v>
      </c>
      <c r="NM355" s="21">
        <f t="shared" si="3447"/>
        <v>0</v>
      </c>
      <c r="NN355" s="21">
        <f t="shared" ref="NN355:NU355" si="3448">IF($F$290, 0, IF($H$300, IF(AND(COLUMN($NN$355)-COLUMN($LJ$351)=$Q$291,ROW($NN$355)-ROW($LJ$351)=$K$291), U$290, NN355), NN355))</f>
        <v>0</v>
      </c>
      <c r="NO355" s="21">
        <f t="shared" si="3448"/>
        <v>0</v>
      </c>
      <c r="NP355" s="21">
        <f t="shared" si="3448"/>
        <v>0</v>
      </c>
      <c r="NQ355" s="21">
        <f t="shared" si="3448"/>
        <v>0</v>
      </c>
      <c r="NR355" s="21">
        <f t="shared" si="3448"/>
        <v>0</v>
      </c>
      <c r="NS355" s="21">
        <f t="shared" si="3448"/>
        <v>0</v>
      </c>
      <c r="NT355" s="21">
        <f t="shared" si="3448"/>
        <v>0</v>
      </c>
      <c r="NU355" s="21">
        <f t="shared" si="3448"/>
        <v>0</v>
      </c>
      <c r="NV355" s="21">
        <f t="shared" ref="NV355:OC355" si="3449">IF($F$290, 0, IF($I$300, IF(AND(COLUMN($NV$355)-COLUMN($NV$351)=$Q$291,ROW($NV$355)-ROW($NV$351)=$K$291), U$290, NV355), NV355))</f>
        <v>0</v>
      </c>
      <c r="NW355" s="21">
        <f t="shared" si="3449"/>
        <v>0</v>
      </c>
      <c r="NX355" s="21">
        <f t="shared" si="3449"/>
        <v>0</v>
      </c>
      <c r="NY355" s="21">
        <f t="shared" si="3449"/>
        <v>0</v>
      </c>
      <c r="NZ355" s="21">
        <f t="shared" si="3449"/>
        <v>0</v>
      </c>
      <c r="OA355" s="21">
        <f t="shared" si="3449"/>
        <v>0</v>
      </c>
      <c r="OB355" s="21">
        <f t="shared" si="3449"/>
        <v>0</v>
      </c>
      <c r="OC355" s="21">
        <f t="shared" si="3449"/>
        <v>0</v>
      </c>
      <c r="OD355" s="21">
        <f t="shared" ref="OD355:OK355" si="3450">IF($F$290, 0, IF($I$300, IF(AND(COLUMN($OD$355)-COLUMN($NV$351)=$Q$291,ROW($OD$355)-ROW($NV$351)=$K$291), U$290, OD355), OD355))</f>
        <v>0</v>
      </c>
      <c r="OE355" s="21">
        <f t="shared" si="3450"/>
        <v>0</v>
      </c>
      <c r="OF355" s="21">
        <f t="shared" si="3450"/>
        <v>0</v>
      </c>
      <c r="OG355" s="21">
        <f t="shared" si="3450"/>
        <v>0</v>
      </c>
      <c r="OH355" s="21">
        <f t="shared" si="3450"/>
        <v>0</v>
      </c>
      <c r="OI355" s="21">
        <f t="shared" si="3450"/>
        <v>0</v>
      </c>
      <c r="OJ355" s="21">
        <f t="shared" si="3450"/>
        <v>0</v>
      </c>
      <c r="OK355" s="21">
        <f t="shared" si="3450"/>
        <v>0</v>
      </c>
      <c r="OL355" s="21">
        <f t="shared" ref="OL355:OS355" si="3451">IF($F$290, 0, IF($I$300, IF(AND(COLUMN($OL$355)-COLUMN($NV$351)=$Q$291,ROW($OL$355)-ROW($NV$351)=$K$291), U$290, OL355), OL355))</f>
        <v>0</v>
      </c>
      <c r="OM355" s="21">
        <f t="shared" si="3451"/>
        <v>0</v>
      </c>
      <c r="ON355" s="21">
        <f t="shared" si="3451"/>
        <v>0</v>
      </c>
      <c r="OO355" s="21">
        <f t="shared" si="3451"/>
        <v>0</v>
      </c>
      <c r="OP355" s="21">
        <f t="shared" si="3451"/>
        <v>0</v>
      </c>
      <c r="OQ355" s="21">
        <f t="shared" si="3451"/>
        <v>0</v>
      </c>
      <c r="OR355" s="21">
        <f t="shared" si="3451"/>
        <v>0</v>
      </c>
      <c r="OS355" s="21">
        <f t="shared" si="3451"/>
        <v>0</v>
      </c>
      <c r="OT355" s="21">
        <f t="shared" ref="OT355:PA355" si="3452">IF($F$290, 0, IF($I$300, IF(AND(COLUMN($OT$355)-COLUMN($NV$351)=$Q$291,ROW($OT$355)-ROW($NV$351)=$K$291), U$290, OT355), OT355))</f>
        <v>0</v>
      </c>
      <c r="OU355" s="21">
        <f t="shared" si="3452"/>
        <v>0</v>
      </c>
      <c r="OV355" s="21">
        <f t="shared" si="3452"/>
        <v>0</v>
      </c>
      <c r="OW355" s="21">
        <f t="shared" si="3452"/>
        <v>0</v>
      </c>
      <c r="OX355" s="21">
        <f t="shared" si="3452"/>
        <v>0</v>
      </c>
      <c r="OY355" s="21">
        <f t="shared" si="3452"/>
        <v>0</v>
      </c>
      <c r="OZ355" s="21">
        <f t="shared" si="3452"/>
        <v>0</v>
      </c>
      <c r="PA355" s="21">
        <f t="shared" si="3452"/>
        <v>0</v>
      </c>
      <c r="PB355" s="21">
        <f t="shared" ref="PB355:PI355" si="3453">IF($F$290, 0, IF($I$300, IF(AND(COLUMN($PB$355)-COLUMN($NV$351)=$Q$291,ROW($PB$355)-ROW($NV$351)=$K$291), U$290, PB355), PB355))</f>
        <v>0</v>
      </c>
      <c r="PC355" s="21">
        <f t="shared" si="3453"/>
        <v>0</v>
      </c>
      <c r="PD355" s="21">
        <f t="shared" si="3453"/>
        <v>0</v>
      </c>
      <c r="PE355" s="21">
        <f t="shared" si="3453"/>
        <v>0</v>
      </c>
      <c r="PF355" s="21">
        <f t="shared" si="3453"/>
        <v>0</v>
      </c>
      <c r="PG355" s="21">
        <f t="shared" si="3453"/>
        <v>0</v>
      </c>
      <c r="PH355" s="21">
        <f t="shared" si="3453"/>
        <v>0</v>
      </c>
      <c r="PI355" s="21">
        <f t="shared" si="3453"/>
        <v>0</v>
      </c>
      <c r="PJ355" s="21">
        <f t="shared" ref="PJ355:PQ355" si="3454">IF($F$290, 0, IF($I$300, IF(AND(COLUMN($PJ$355)-COLUMN($NV$351)=$Q$291,ROW($PJ$355)-ROW($NV$351)=$K$291), U$290, PJ355), PJ355))</f>
        <v>0</v>
      </c>
      <c r="PK355" s="21">
        <f t="shared" si="3454"/>
        <v>0</v>
      </c>
      <c r="PL355" s="21">
        <f t="shared" si="3454"/>
        <v>0</v>
      </c>
      <c r="PM355" s="21">
        <f t="shared" si="3454"/>
        <v>0</v>
      </c>
      <c r="PN355" s="21">
        <f t="shared" si="3454"/>
        <v>0</v>
      </c>
      <c r="PO355" s="21">
        <f t="shared" si="3454"/>
        <v>0</v>
      </c>
      <c r="PP355" s="21">
        <f t="shared" si="3454"/>
        <v>0</v>
      </c>
      <c r="PQ355" s="21">
        <f t="shared" si="3454"/>
        <v>0</v>
      </c>
      <c r="PR355" s="21">
        <f t="shared" ref="PR355:PY355" si="3455">IF($F$290, 0, IF($I$300, IF(AND(COLUMN($PR$355)-COLUMN($NV$351)=$Q$291,ROW($PR$355)-ROW($NV$351)=$K$291), U$290, PR355), PR355))</f>
        <v>0</v>
      </c>
      <c r="PS355" s="21">
        <f t="shared" si="3455"/>
        <v>0</v>
      </c>
      <c r="PT355" s="21">
        <f t="shared" si="3455"/>
        <v>0</v>
      </c>
      <c r="PU355" s="21">
        <f t="shared" si="3455"/>
        <v>0</v>
      </c>
      <c r="PV355" s="21">
        <f t="shared" si="3455"/>
        <v>0</v>
      </c>
      <c r="PW355" s="21">
        <f t="shared" si="3455"/>
        <v>0</v>
      </c>
      <c r="PX355" s="21">
        <f t="shared" si="3455"/>
        <v>0</v>
      </c>
      <c r="PY355" s="21">
        <f t="shared" si="3455"/>
        <v>0</v>
      </c>
      <c r="PZ355" s="21">
        <f t="shared" ref="PZ355:QG355" si="3456">IF($F$290, 0, IF($I$300, IF(AND(COLUMN($PZ$355)-COLUMN($NV$351)=$Q$291,ROW($PZ$355)-ROW($NV$351)=$K$291), U$290, PZ355), PZ355))</f>
        <v>0</v>
      </c>
      <c r="QA355" s="21">
        <f t="shared" si="3456"/>
        <v>0</v>
      </c>
      <c r="QB355" s="21">
        <f t="shared" si="3456"/>
        <v>0</v>
      </c>
      <c r="QC355" s="21">
        <f t="shared" si="3456"/>
        <v>0</v>
      </c>
      <c r="QD355" s="21">
        <f t="shared" si="3456"/>
        <v>0</v>
      </c>
      <c r="QE355" s="21">
        <f t="shared" si="3456"/>
        <v>0</v>
      </c>
      <c r="QF355" s="21">
        <f t="shared" si="3456"/>
        <v>0</v>
      </c>
      <c r="QG355" s="21">
        <f t="shared" si="3456"/>
        <v>0</v>
      </c>
      <c r="QH355" s="21">
        <f t="shared" ref="QH355:QO355" si="3457">IF($F$290, 0, IF($J$300, IF(AND(COLUMN($QH$355)-COLUMN($QH$351)=$Q$291,ROW($QH$355)-ROW($QH$351)=$K$291), U$290, QH355), QH355))</f>
        <v>0</v>
      </c>
      <c r="QI355" s="21">
        <f t="shared" si="3457"/>
        <v>0</v>
      </c>
      <c r="QJ355" s="21">
        <f t="shared" si="3457"/>
        <v>0</v>
      </c>
      <c r="QK355" s="21">
        <f t="shared" si="3457"/>
        <v>0</v>
      </c>
      <c r="QL355" s="21">
        <f t="shared" si="3457"/>
        <v>0</v>
      </c>
      <c r="QM355" s="21">
        <f t="shared" si="3457"/>
        <v>0</v>
      </c>
      <c r="QN355" s="21">
        <f t="shared" si="3457"/>
        <v>0</v>
      </c>
      <c r="QO355" s="21">
        <f t="shared" si="3457"/>
        <v>0</v>
      </c>
      <c r="QP355" s="21">
        <f t="shared" ref="QP355:QW355" si="3458">IF($F$290, 0, IF($J$300, IF(AND(COLUMN($QP$355)-COLUMN($QH$351)=$Q$291,ROW($QP$355)-ROW($QH$351)=$K$291), U$290, QP355), QP355))</f>
        <v>0</v>
      </c>
      <c r="QQ355" s="21">
        <f t="shared" si="3458"/>
        <v>0</v>
      </c>
      <c r="QR355" s="21">
        <f t="shared" si="3458"/>
        <v>0</v>
      </c>
      <c r="QS355" s="21">
        <f t="shared" si="3458"/>
        <v>0</v>
      </c>
      <c r="QT355" s="21">
        <f t="shared" si="3458"/>
        <v>0</v>
      </c>
      <c r="QU355" s="21">
        <f t="shared" si="3458"/>
        <v>0</v>
      </c>
      <c r="QV355" s="21">
        <f t="shared" si="3458"/>
        <v>0</v>
      </c>
      <c r="QW355" s="21">
        <f t="shared" si="3458"/>
        <v>0</v>
      </c>
      <c r="QX355" s="21">
        <f t="shared" ref="QX355:RE355" si="3459">IF($F$290, 0, IF($J$300, IF(AND(COLUMN($QX$355)-COLUMN($QH$351)=$Q$291,ROW($QX$355)-ROW($QH$351)=$K$291), U$290, QX355), QX355))</f>
        <v>0</v>
      </c>
      <c r="QY355" s="21">
        <f t="shared" si="3459"/>
        <v>0</v>
      </c>
      <c r="QZ355" s="21">
        <f t="shared" si="3459"/>
        <v>0</v>
      </c>
      <c r="RA355" s="21">
        <f t="shared" si="3459"/>
        <v>0</v>
      </c>
      <c r="RB355" s="21">
        <f t="shared" si="3459"/>
        <v>0</v>
      </c>
      <c r="RC355" s="21">
        <f t="shared" si="3459"/>
        <v>0</v>
      </c>
      <c r="RD355" s="21">
        <f t="shared" si="3459"/>
        <v>0</v>
      </c>
      <c r="RE355" s="21">
        <f t="shared" si="3459"/>
        <v>0</v>
      </c>
      <c r="RF355" s="21">
        <f t="shared" ref="RF355:RM355" si="3460">IF($F$290, 0, IF($J$300, IF(AND(COLUMN($RF$355)-COLUMN($QH$351)=$Q$291,ROW($RF$355)-ROW($QH$351)=$K$291), U$290, RF355), RF355))</f>
        <v>0</v>
      </c>
      <c r="RG355" s="21">
        <f t="shared" si="3460"/>
        <v>0</v>
      </c>
      <c r="RH355" s="21">
        <f t="shared" si="3460"/>
        <v>0</v>
      </c>
      <c r="RI355" s="21">
        <f t="shared" si="3460"/>
        <v>0</v>
      </c>
      <c r="RJ355" s="21">
        <f t="shared" si="3460"/>
        <v>0</v>
      </c>
      <c r="RK355" s="21">
        <f t="shared" si="3460"/>
        <v>0</v>
      </c>
      <c r="RL355" s="21">
        <f t="shared" si="3460"/>
        <v>0</v>
      </c>
      <c r="RM355" s="21">
        <f t="shared" si="3460"/>
        <v>0</v>
      </c>
      <c r="RN355" s="21">
        <f t="shared" ref="RN355:RU355" si="3461">IF($F$290, 0, IF($J$300, IF(AND(COLUMN($RN$355)-COLUMN($QH$351)=$Q$291,ROW($RN$355)-ROW($QH$351)=$K$291), U$290, RN355), RN355))</f>
        <v>0</v>
      </c>
      <c r="RO355" s="21">
        <f t="shared" si="3461"/>
        <v>0</v>
      </c>
      <c r="RP355" s="21">
        <f t="shared" si="3461"/>
        <v>0</v>
      </c>
      <c r="RQ355" s="21">
        <f t="shared" si="3461"/>
        <v>0</v>
      </c>
      <c r="RR355" s="21">
        <f t="shared" si="3461"/>
        <v>0</v>
      </c>
      <c r="RS355" s="21">
        <f t="shared" si="3461"/>
        <v>0</v>
      </c>
      <c r="RT355" s="21">
        <f t="shared" si="3461"/>
        <v>0</v>
      </c>
      <c r="RU355" s="21">
        <f t="shared" si="3461"/>
        <v>0</v>
      </c>
      <c r="RV355" s="21">
        <f t="shared" ref="RV355:SC355" si="3462">IF($F$290, 0, IF($J$300, IF(AND(COLUMN($RV$355)-COLUMN($QH$351)=$Q$291,ROW($RV$355)-ROW($QH$351)=$K$291), U$290, RV355), RV355))</f>
        <v>0</v>
      </c>
      <c r="RW355" s="21">
        <f t="shared" si="3462"/>
        <v>0</v>
      </c>
      <c r="RX355" s="21">
        <f t="shared" si="3462"/>
        <v>0</v>
      </c>
      <c r="RY355" s="21">
        <f t="shared" si="3462"/>
        <v>0</v>
      </c>
      <c r="RZ355" s="21">
        <f t="shared" si="3462"/>
        <v>0</v>
      </c>
      <c r="SA355" s="21">
        <f t="shared" si="3462"/>
        <v>0</v>
      </c>
      <c r="SB355" s="21">
        <f t="shared" si="3462"/>
        <v>0</v>
      </c>
      <c r="SC355" s="21">
        <f t="shared" si="3462"/>
        <v>0</v>
      </c>
      <c r="SD355" s="21">
        <f t="shared" ref="SD355:SK355" si="3463">IF($F$290, 0, IF($J$300, IF(AND(COLUMN($SD$355)-COLUMN($QH$351)=$Q$291,ROW($SD$355)-ROW($QH$351)=$K$291), U$290, SD355), SD355))</f>
        <v>0</v>
      </c>
      <c r="SE355" s="21">
        <f t="shared" si="3463"/>
        <v>0</v>
      </c>
      <c r="SF355" s="21">
        <f t="shared" si="3463"/>
        <v>0</v>
      </c>
      <c r="SG355" s="21">
        <f t="shared" si="3463"/>
        <v>0</v>
      </c>
      <c r="SH355" s="21">
        <f t="shared" si="3463"/>
        <v>0</v>
      </c>
      <c r="SI355" s="21">
        <f t="shared" si="3463"/>
        <v>0</v>
      </c>
      <c r="SJ355" s="21">
        <f t="shared" si="3463"/>
        <v>0</v>
      </c>
      <c r="SK355" s="21">
        <f t="shared" si="3463"/>
        <v>0</v>
      </c>
      <c r="SL355" s="21">
        <f t="shared" ref="SL355:SS355" si="3464">IF($F$290, 0, IF($J$300, IF(AND(COLUMN($SL$355)-COLUMN($QH$351)=$Q$291,ROW($SL$355)-ROW($QH$351)=$K$291), U$290, SL355), SL355))</f>
        <v>0</v>
      </c>
      <c r="SM355" s="21">
        <f t="shared" si="3464"/>
        <v>0</v>
      </c>
      <c r="SN355" s="21">
        <f t="shared" si="3464"/>
        <v>0</v>
      </c>
      <c r="SO355" s="21">
        <f t="shared" si="3464"/>
        <v>0</v>
      </c>
      <c r="SP355" s="21">
        <f t="shared" si="3464"/>
        <v>0</v>
      </c>
      <c r="SQ355" s="21">
        <f t="shared" si="3464"/>
        <v>0</v>
      </c>
      <c r="SR355" s="21">
        <f t="shared" si="3464"/>
        <v>0</v>
      </c>
      <c r="SS355" s="21">
        <f t="shared" si="3464"/>
        <v>0</v>
      </c>
    </row>
    <row r="356" spans="2:513" ht="15" customHeight="1" x14ac:dyDescent="0.25">
      <c r="B356" s="21">
        <f t="shared" ref="B356:I356" si="3465">IF($F$290, 0, IF($C$300, IF(AND(COLUMN($B$356)-COLUMN($B$351)=$Q$291,ROW($B$356)-ROW($B$351)=$K$291), U$290, B356), B356))</f>
        <v>0</v>
      </c>
      <c r="C356" s="21">
        <f t="shared" si="3465"/>
        <v>0</v>
      </c>
      <c r="D356" s="21">
        <f t="shared" si="3465"/>
        <v>0</v>
      </c>
      <c r="E356" s="21">
        <f t="shared" si="3465"/>
        <v>0</v>
      </c>
      <c r="F356" s="21">
        <f t="shared" si="3465"/>
        <v>0</v>
      </c>
      <c r="G356" s="21">
        <f t="shared" si="3465"/>
        <v>0</v>
      </c>
      <c r="H356" s="21">
        <f t="shared" si="3465"/>
        <v>0</v>
      </c>
      <c r="I356" s="21">
        <f t="shared" si="3465"/>
        <v>0</v>
      </c>
      <c r="J356" s="21">
        <f t="shared" ref="J356:Q356" si="3466">IF($F$290, 0, IF($C$300, IF(AND(COLUMN($J$356)-COLUMN($B$351)=$Q$291,ROW($J$356)-ROW($B$351)=$K$291), U$290, J356), J356))</f>
        <v>0</v>
      </c>
      <c r="K356" s="21">
        <f t="shared" si="3466"/>
        <v>0</v>
      </c>
      <c r="L356" s="21">
        <f t="shared" si="3466"/>
        <v>0</v>
      </c>
      <c r="M356" s="21">
        <f t="shared" si="3466"/>
        <v>0</v>
      </c>
      <c r="N356" s="21">
        <f t="shared" si="3466"/>
        <v>0</v>
      </c>
      <c r="O356" s="21">
        <f t="shared" si="3466"/>
        <v>0</v>
      </c>
      <c r="P356" s="21">
        <f t="shared" si="3466"/>
        <v>0</v>
      </c>
      <c r="Q356" s="21">
        <f t="shared" si="3466"/>
        <v>0</v>
      </c>
      <c r="R356" s="21">
        <f>IF($F$290, 0, IF($C$300, IF(AND(COLUMN($R$356)-COLUMN($B$351)=$Q$291,ROW($R$356)-ROW($B$351)=$K$291), U$290, R356), R356))</f>
        <v>0</v>
      </c>
      <c r="S356" s="21">
        <f t="shared" ref="S356:Y356" si="3467">IF($F$290, 0, IF($C$300, IF(AND(COLUMN($R$356)-COLUMN($B$351)=$Q$291,ROW($R$356)-ROW($B$351)=$K$291), V$290, S356), S356))</f>
        <v>0</v>
      </c>
      <c r="T356" s="21">
        <f t="shared" si="3467"/>
        <v>0</v>
      </c>
      <c r="U356" s="21">
        <f t="shared" si="3467"/>
        <v>0</v>
      </c>
      <c r="V356" s="21">
        <f t="shared" si="3467"/>
        <v>0</v>
      </c>
      <c r="W356" s="21">
        <f t="shared" si="3467"/>
        <v>0</v>
      </c>
      <c r="X356" s="21">
        <f t="shared" si="3467"/>
        <v>0</v>
      </c>
      <c r="Y356" s="21">
        <f t="shared" si="3467"/>
        <v>0</v>
      </c>
      <c r="Z356" s="21">
        <f t="shared" ref="Z356:AG356" si="3468">IF($F$290, 0, IF($C$300, IF(AND(COLUMN($Z$356)-COLUMN($B$351)=$Q$291,ROW($Z$356)-ROW($B$351)=$K$291), U$290, Z356), Z356))</f>
        <v>0</v>
      </c>
      <c r="AA356" s="21">
        <f t="shared" si="3468"/>
        <v>0</v>
      </c>
      <c r="AB356" s="21">
        <f t="shared" si="3468"/>
        <v>0</v>
      </c>
      <c r="AC356" s="21">
        <f t="shared" si="3468"/>
        <v>0</v>
      </c>
      <c r="AD356" s="21">
        <f t="shared" si="3468"/>
        <v>0</v>
      </c>
      <c r="AE356" s="21">
        <f t="shared" si="3468"/>
        <v>0</v>
      </c>
      <c r="AF356" s="21">
        <f t="shared" si="3468"/>
        <v>0</v>
      </c>
      <c r="AG356" s="21">
        <f t="shared" si="3468"/>
        <v>0</v>
      </c>
      <c r="AH356" s="21">
        <f t="shared" ref="AH356:AO356" si="3469">IF($F$290, 0, IF($C$300, IF(AND(COLUMN($AH$356)-COLUMN($B$351)=$Q$291,ROW($AH$356)-ROW($B$351)=$K$291), U$290, AH356), AH356))</f>
        <v>0</v>
      </c>
      <c r="AI356" s="21">
        <f t="shared" si="3469"/>
        <v>0</v>
      </c>
      <c r="AJ356" s="21">
        <f t="shared" si="3469"/>
        <v>0</v>
      </c>
      <c r="AK356" s="21">
        <f t="shared" si="3469"/>
        <v>0</v>
      </c>
      <c r="AL356" s="21">
        <f t="shared" si="3469"/>
        <v>0</v>
      </c>
      <c r="AM356" s="21">
        <f t="shared" si="3469"/>
        <v>0</v>
      </c>
      <c r="AN356" s="21">
        <f t="shared" si="3469"/>
        <v>0</v>
      </c>
      <c r="AO356" s="21">
        <f t="shared" si="3469"/>
        <v>0</v>
      </c>
      <c r="AP356" s="21">
        <f t="shared" ref="AP356:AW356" si="3470">IF($F$290, 0, IF($C$300, IF(AND(COLUMN($AP$356)-COLUMN($B$351)=$Q$291,ROW($AP$356)-ROW($B$351)=$K$291), U$290, AP356), AP356))</f>
        <v>0</v>
      </c>
      <c r="AQ356" s="21">
        <f t="shared" si="3470"/>
        <v>0</v>
      </c>
      <c r="AR356" s="21">
        <f t="shared" si="3470"/>
        <v>0</v>
      </c>
      <c r="AS356" s="21">
        <f t="shared" si="3470"/>
        <v>0</v>
      </c>
      <c r="AT356" s="21">
        <f t="shared" si="3470"/>
        <v>0</v>
      </c>
      <c r="AU356" s="21">
        <f t="shared" si="3470"/>
        <v>0</v>
      </c>
      <c r="AV356" s="21">
        <f t="shared" si="3470"/>
        <v>0</v>
      </c>
      <c r="AW356" s="21">
        <f t="shared" si="3470"/>
        <v>0</v>
      </c>
      <c r="AX356" s="21">
        <f t="shared" ref="AX356:BE356" si="3471">IF($F$290, 0, IF($C$300, IF(AND(COLUMN($AX$356)-COLUMN($B$351)=$Q$291,ROW($AX$356)-ROW($B$351)=$K$291), U$290, AX356), AX356))</f>
        <v>0</v>
      </c>
      <c r="AY356" s="21">
        <f t="shared" si="3471"/>
        <v>0</v>
      </c>
      <c r="AZ356" s="21">
        <f t="shared" si="3471"/>
        <v>0</v>
      </c>
      <c r="BA356" s="21">
        <f t="shared" si="3471"/>
        <v>0</v>
      </c>
      <c r="BB356" s="21">
        <f t="shared" si="3471"/>
        <v>0</v>
      </c>
      <c r="BC356" s="21">
        <f t="shared" si="3471"/>
        <v>0</v>
      </c>
      <c r="BD356" s="21">
        <f t="shared" si="3471"/>
        <v>0</v>
      </c>
      <c r="BE356" s="21">
        <f t="shared" si="3471"/>
        <v>0</v>
      </c>
      <c r="BF356" s="21">
        <f t="shared" ref="BF356:BM356" si="3472">IF($F$290, 0, IF($C$300, IF(AND(COLUMN($BF$356)-COLUMN($B$351)=$Q$291,ROW($BF$356)-ROW($B$351)=$K$291), U$290, BF356), BF356))</f>
        <v>0</v>
      </c>
      <c r="BG356" s="21">
        <f t="shared" si="3472"/>
        <v>0</v>
      </c>
      <c r="BH356" s="21">
        <f t="shared" si="3472"/>
        <v>0</v>
      </c>
      <c r="BI356" s="21">
        <f t="shared" si="3472"/>
        <v>0</v>
      </c>
      <c r="BJ356" s="21">
        <f t="shared" si="3472"/>
        <v>0</v>
      </c>
      <c r="BK356" s="21">
        <f t="shared" si="3472"/>
        <v>0</v>
      </c>
      <c r="BL356" s="21">
        <f t="shared" si="3472"/>
        <v>0</v>
      </c>
      <c r="BM356" s="21">
        <f t="shared" si="3472"/>
        <v>0</v>
      </c>
      <c r="BN356" s="21">
        <f t="shared" ref="BN356:BU356" si="3473">IF($F$290, 0, IF($D$300, IF(AND(COLUMN($BN$356)-COLUMN($BN$351)=$Q$291,ROW($BN$356)-ROW($BN$351)=$K$291), U$290, BN356), BN356))</f>
        <v>0</v>
      </c>
      <c r="BO356" s="21">
        <f t="shared" si="3473"/>
        <v>0</v>
      </c>
      <c r="BP356" s="21">
        <f t="shared" si="3473"/>
        <v>0</v>
      </c>
      <c r="BQ356" s="21">
        <f t="shared" si="3473"/>
        <v>0</v>
      </c>
      <c r="BR356" s="21">
        <f t="shared" si="3473"/>
        <v>0</v>
      </c>
      <c r="BS356" s="21">
        <f t="shared" si="3473"/>
        <v>0</v>
      </c>
      <c r="BT356" s="21">
        <f t="shared" si="3473"/>
        <v>0</v>
      </c>
      <c r="BU356" s="21">
        <f t="shared" si="3473"/>
        <v>0</v>
      </c>
      <c r="BV356" s="21">
        <f t="shared" ref="BV356:CC356" si="3474">IF($F$290, 0, IF($D$300, IF(AND(COLUMN($BV$356)-COLUMN($BN$351)=$Q$291,ROW($BV$356)-ROW($BN$351)=$K$291), U$290, BV356), BV356))</f>
        <v>0</v>
      </c>
      <c r="BW356" s="21">
        <f t="shared" si="3474"/>
        <v>0</v>
      </c>
      <c r="BX356" s="21">
        <f t="shared" si="3474"/>
        <v>0</v>
      </c>
      <c r="BY356" s="21">
        <f t="shared" si="3474"/>
        <v>0</v>
      </c>
      <c r="BZ356" s="21">
        <f t="shared" si="3474"/>
        <v>0</v>
      </c>
      <c r="CA356" s="21">
        <f t="shared" si="3474"/>
        <v>0</v>
      </c>
      <c r="CB356" s="21">
        <f t="shared" si="3474"/>
        <v>0</v>
      </c>
      <c r="CC356" s="21">
        <f t="shared" si="3474"/>
        <v>0</v>
      </c>
      <c r="CD356" s="21">
        <f t="shared" ref="CD356:CK356" si="3475">IF($F$290, 0, IF($D$300, IF(AND(COLUMN($CD$356)-COLUMN($BN$351)=$Q$291,ROW($CD$356)-ROW($BN$351)=$K$291), U$290, CD356), CD356))</f>
        <v>0</v>
      </c>
      <c r="CE356" s="21">
        <f t="shared" si="3475"/>
        <v>0</v>
      </c>
      <c r="CF356" s="21">
        <f t="shared" si="3475"/>
        <v>0</v>
      </c>
      <c r="CG356" s="21">
        <f t="shared" si="3475"/>
        <v>0</v>
      </c>
      <c r="CH356" s="21">
        <f t="shared" si="3475"/>
        <v>0</v>
      </c>
      <c r="CI356" s="21">
        <f t="shared" si="3475"/>
        <v>0</v>
      </c>
      <c r="CJ356" s="21">
        <f t="shared" si="3475"/>
        <v>0</v>
      </c>
      <c r="CK356" s="21">
        <f t="shared" si="3475"/>
        <v>0</v>
      </c>
      <c r="CL356" s="21">
        <f t="shared" ref="CL356:CS356" si="3476">IF($F$290, 0, IF($D$300, IF(AND(COLUMN($CL$356)-COLUMN($BN$351)=$Q$291,ROW($CL$356)-ROW($BN$351)=$K$291), U$290, CL356), CL356))</f>
        <v>0</v>
      </c>
      <c r="CM356" s="21">
        <f t="shared" si="3476"/>
        <v>0</v>
      </c>
      <c r="CN356" s="21">
        <f t="shared" si="3476"/>
        <v>0</v>
      </c>
      <c r="CO356" s="21">
        <f t="shared" si="3476"/>
        <v>0</v>
      </c>
      <c r="CP356" s="21">
        <f t="shared" si="3476"/>
        <v>0</v>
      </c>
      <c r="CQ356" s="21">
        <f t="shared" si="3476"/>
        <v>0</v>
      </c>
      <c r="CR356" s="21">
        <f t="shared" si="3476"/>
        <v>0</v>
      </c>
      <c r="CS356" s="21">
        <f t="shared" si="3476"/>
        <v>0</v>
      </c>
      <c r="CT356" s="21">
        <f t="shared" ref="CT356:DA356" si="3477">IF($F$290, 0, IF($D$300, IF(AND(COLUMN($CT$356)-COLUMN($BN$351)=$Q$291,ROW($CT$356)-ROW($BN$351)=$K$291), U$290, CT356), CT356))</f>
        <v>0</v>
      </c>
      <c r="CU356" s="21">
        <f t="shared" si="3477"/>
        <v>0</v>
      </c>
      <c r="CV356" s="21">
        <f t="shared" si="3477"/>
        <v>0</v>
      </c>
      <c r="CW356" s="21">
        <f t="shared" si="3477"/>
        <v>0</v>
      </c>
      <c r="CX356" s="21">
        <f t="shared" si="3477"/>
        <v>0</v>
      </c>
      <c r="CY356" s="21">
        <f t="shared" si="3477"/>
        <v>0</v>
      </c>
      <c r="CZ356" s="21">
        <f t="shared" si="3477"/>
        <v>0</v>
      </c>
      <c r="DA356" s="21">
        <f t="shared" si="3477"/>
        <v>0</v>
      </c>
      <c r="DB356" s="21">
        <f t="shared" ref="DB356:DI356" si="3478">IF($F$290, 0, IF($D$300, IF(AND(COLUMN($DB$356)-COLUMN($BN$351)=$Q$291,ROW($DB$356)-ROW($BN$351)=$K$291), U$290, DB356), DB356))</f>
        <v>0</v>
      </c>
      <c r="DC356" s="21">
        <f t="shared" si="3478"/>
        <v>0</v>
      </c>
      <c r="DD356" s="21">
        <f t="shared" si="3478"/>
        <v>0</v>
      </c>
      <c r="DE356" s="21">
        <f t="shared" si="3478"/>
        <v>0</v>
      </c>
      <c r="DF356" s="21">
        <f t="shared" si="3478"/>
        <v>0</v>
      </c>
      <c r="DG356" s="21">
        <f t="shared" si="3478"/>
        <v>0</v>
      </c>
      <c r="DH356" s="21">
        <f t="shared" si="3478"/>
        <v>0</v>
      </c>
      <c r="DI356" s="21">
        <f t="shared" si="3478"/>
        <v>0</v>
      </c>
      <c r="DJ356" s="21">
        <f t="shared" ref="DJ356:DQ356" si="3479">IF($F$290, 0, IF($D$300, IF(AND(COLUMN($DJ$356)-COLUMN($BN$351)=$Q$291,ROW($DJ$356)-ROW($BN$351)=$K$291), U$290, DJ356), DJ356))</f>
        <v>0</v>
      </c>
      <c r="DK356" s="21">
        <f t="shared" si="3479"/>
        <v>0</v>
      </c>
      <c r="DL356" s="21">
        <f t="shared" si="3479"/>
        <v>0</v>
      </c>
      <c r="DM356" s="21">
        <f t="shared" si="3479"/>
        <v>0</v>
      </c>
      <c r="DN356" s="21">
        <f t="shared" si="3479"/>
        <v>0</v>
      </c>
      <c r="DO356" s="21">
        <f t="shared" si="3479"/>
        <v>0</v>
      </c>
      <c r="DP356" s="21">
        <f t="shared" si="3479"/>
        <v>0</v>
      </c>
      <c r="DQ356" s="21">
        <f t="shared" si="3479"/>
        <v>0</v>
      </c>
      <c r="DR356" s="21">
        <f t="shared" ref="DR356:DY356" si="3480">IF($F$290, 0, IF($D$300, IF(AND(COLUMN($DR$356)-COLUMN($BN$351)=$Q$291,ROW($DR$356)-ROW($BN$351)=$K$291), U$290, DR356), DR356))</f>
        <v>0</v>
      </c>
      <c r="DS356" s="21">
        <f t="shared" si="3480"/>
        <v>0</v>
      </c>
      <c r="DT356" s="21">
        <f t="shared" si="3480"/>
        <v>0</v>
      </c>
      <c r="DU356" s="21">
        <f t="shared" si="3480"/>
        <v>0</v>
      </c>
      <c r="DV356" s="21">
        <f t="shared" si="3480"/>
        <v>0</v>
      </c>
      <c r="DW356" s="21">
        <f t="shared" si="3480"/>
        <v>0</v>
      </c>
      <c r="DX356" s="21">
        <f t="shared" si="3480"/>
        <v>0</v>
      </c>
      <c r="DY356" s="21">
        <f t="shared" si="3480"/>
        <v>0</v>
      </c>
      <c r="DZ356" s="21">
        <f t="shared" ref="DZ356:EG356" si="3481">IF($F$290, 0, IF($E$300, IF(AND(COLUMN($DZ$356)-COLUMN($DZ$351)=$Q$291,ROW($DZ$356)-ROW($DZ$351)=$K$291), U$290, DZ356), DZ356))</f>
        <v>0</v>
      </c>
      <c r="EA356" s="21">
        <f t="shared" si="3481"/>
        <v>0</v>
      </c>
      <c r="EB356" s="21">
        <f t="shared" si="3481"/>
        <v>0</v>
      </c>
      <c r="EC356" s="21">
        <f t="shared" si="3481"/>
        <v>0</v>
      </c>
      <c r="ED356" s="21">
        <f t="shared" si="3481"/>
        <v>0</v>
      </c>
      <c r="EE356" s="21">
        <f t="shared" si="3481"/>
        <v>0</v>
      </c>
      <c r="EF356" s="21">
        <f t="shared" si="3481"/>
        <v>0</v>
      </c>
      <c r="EG356" s="21">
        <f t="shared" si="3481"/>
        <v>0</v>
      </c>
      <c r="EH356" s="21">
        <f t="shared" ref="EH356:EO356" si="3482">IF($F$290, 0, IF($E$300, IF(AND(COLUMN($EH$356)-COLUMN($DZ$351)=$Q$291,ROW($EH$356)-ROW($DZ$351)=$K$291), U$290, EH356), EH356))</f>
        <v>0</v>
      </c>
      <c r="EI356" s="21">
        <f t="shared" si="3482"/>
        <v>0</v>
      </c>
      <c r="EJ356" s="21">
        <f t="shared" si="3482"/>
        <v>0</v>
      </c>
      <c r="EK356" s="21">
        <f t="shared" si="3482"/>
        <v>0</v>
      </c>
      <c r="EL356" s="21">
        <f t="shared" si="3482"/>
        <v>0</v>
      </c>
      <c r="EM356" s="21">
        <f t="shared" si="3482"/>
        <v>0</v>
      </c>
      <c r="EN356" s="21">
        <f t="shared" si="3482"/>
        <v>0</v>
      </c>
      <c r="EO356" s="21">
        <f t="shared" si="3482"/>
        <v>0</v>
      </c>
      <c r="EP356" s="21">
        <f t="shared" ref="EP356:EW356" si="3483">IF($F$290, 0, IF($E$300, IF(AND(COLUMN($EP$356)-COLUMN($DZ$351)=$Q$291,ROW($EP$356)-ROW($DZ$351)=$K$291), U$290, EP356), EP356))</f>
        <v>0</v>
      </c>
      <c r="EQ356" s="21">
        <f t="shared" si="3483"/>
        <v>0</v>
      </c>
      <c r="ER356" s="21">
        <f t="shared" si="3483"/>
        <v>0</v>
      </c>
      <c r="ES356" s="21">
        <f t="shared" si="3483"/>
        <v>0</v>
      </c>
      <c r="ET356" s="21">
        <f t="shared" si="3483"/>
        <v>0</v>
      </c>
      <c r="EU356" s="21">
        <f t="shared" si="3483"/>
        <v>0</v>
      </c>
      <c r="EV356" s="21">
        <f t="shared" si="3483"/>
        <v>0</v>
      </c>
      <c r="EW356" s="21">
        <f t="shared" si="3483"/>
        <v>0</v>
      </c>
      <c r="EX356" s="21">
        <f t="shared" ref="EX356:FE356" si="3484">IF($F$290, 0, IF($E$300, IF(AND(COLUMN($EX$356)-COLUMN($DZ$351)=$Q$291,ROW($EX$356)-ROW($DZ$351)=$K$291), U$290, EX356), EX356))</f>
        <v>0</v>
      </c>
      <c r="EY356" s="21">
        <f t="shared" si="3484"/>
        <v>0</v>
      </c>
      <c r="EZ356" s="21">
        <f t="shared" si="3484"/>
        <v>0</v>
      </c>
      <c r="FA356" s="21">
        <f t="shared" si="3484"/>
        <v>0</v>
      </c>
      <c r="FB356" s="21">
        <f t="shared" si="3484"/>
        <v>0</v>
      </c>
      <c r="FC356" s="21">
        <f t="shared" si="3484"/>
        <v>0</v>
      </c>
      <c r="FD356" s="21">
        <f t="shared" si="3484"/>
        <v>0</v>
      </c>
      <c r="FE356" s="21">
        <f t="shared" si="3484"/>
        <v>0</v>
      </c>
      <c r="FF356" s="21">
        <f t="shared" ref="FF356:FM356" si="3485">IF($F$290, 0, IF($E$300, IF(AND(COLUMN($FF$356)-COLUMN($DZ$351)=$Q$291,ROW($FF$356)-ROW($DZ$351)=$K$291), U$290, FF356), FF356))</f>
        <v>0</v>
      </c>
      <c r="FG356" s="21">
        <f t="shared" si="3485"/>
        <v>0</v>
      </c>
      <c r="FH356" s="21">
        <f t="shared" si="3485"/>
        <v>0</v>
      </c>
      <c r="FI356" s="21">
        <f t="shared" si="3485"/>
        <v>0</v>
      </c>
      <c r="FJ356" s="21">
        <f t="shared" si="3485"/>
        <v>0</v>
      </c>
      <c r="FK356" s="21">
        <f t="shared" si="3485"/>
        <v>0</v>
      </c>
      <c r="FL356" s="21">
        <f t="shared" si="3485"/>
        <v>0</v>
      </c>
      <c r="FM356" s="21">
        <f t="shared" si="3485"/>
        <v>0</v>
      </c>
      <c r="FN356" s="21">
        <f t="shared" ref="FN356:FU356" si="3486">IF($F$290, 0, IF($E$300, IF(AND(COLUMN($FN$356)-COLUMN($DZ$351)=$Q$291,ROW($FN$356)-ROW($DZ$351)=$K$291), U$290, FN356), FN356))</f>
        <v>0</v>
      </c>
      <c r="FO356" s="21">
        <f t="shared" si="3486"/>
        <v>0</v>
      </c>
      <c r="FP356" s="21">
        <f t="shared" si="3486"/>
        <v>0</v>
      </c>
      <c r="FQ356" s="21">
        <f t="shared" si="3486"/>
        <v>0</v>
      </c>
      <c r="FR356" s="21">
        <f t="shared" si="3486"/>
        <v>0</v>
      </c>
      <c r="FS356" s="21">
        <f t="shared" si="3486"/>
        <v>0</v>
      </c>
      <c r="FT356" s="21">
        <f t="shared" si="3486"/>
        <v>0</v>
      </c>
      <c r="FU356" s="21">
        <f t="shared" si="3486"/>
        <v>0</v>
      </c>
      <c r="FV356" s="21">
        <f t="shared" ref="FV356:GC356" si="3487">IF($F$290, 0, IF($E$300, IF(AND(COLUMN($FV$356)-COLUMN($DZ$351)=$Q$291,ROW($FV$356)-ROW($DZ$351)=$K$291), U$290, FV356), FV356))</f>
        <v>0</v>
      </c>
      <c r="FW356" s="21">
        <f t="shared" si="3487"/>
        <v>0</v>
      </c>
      <c r="FX356" s="21">
        <f t="shared" si="3487"/>
        <v>0</v>
      </c>
      <c r="FY356" s="21">
        <f t="shared" si="3487"/>
        <v>0</v>
      </c>
      <c r="FZ356" s="21">
        <f t="shared" si="3487"/>
        <v>0</v>
      </c>
      <c r="GA356" s="21">
        <f t="shared" si="3487"/>
        <v>0</v>
      </c>
      <c r="GB356" s="21">
        <f t="shared" si="3487"/>
        <v>0</v>
      </c>
      <c r="GC356" s="21">
        <f t="shared" si="3487"/>
        <v>0</v>
      </c>
      <c r="GD356" s="21">
        <f t="shared" ref="GD356:GK356" si="3488">IF($F$290, 0, IF($E$300, IF(AND(COLUMN($GD$356)-COLUMN($DZ$351)=$Q$291,ROW($GD$356)-ROW($DZ$351)=$K$291), U$290, GD356), GD356))</f>
        <v>0</v>
      </c>
      <c r="GE356" s="21">
        <f t="shared" si="3488"/>
        <v>0</v>
      </c>
      <c r="GF356" s="21">
        <f t="shared" si="3488"/>
        <v>0</v>
      </c>
      <c r="GG356" s="21">
        <f t="shared" si="3488"/>
        <v>0</v>
      </c>
      <c r="GH356" s="21">
        <f t="shared" si="3488"/>
        <v>0</v>
      </c>
      <c r="GI356" s="21">
        <f t="shared" si="3488"/>
        <v>0</v>
      </c>
      <c r="GJ356" s="21">
        <f t="shared" si="3488"/>
        <v>0</v>
      </c>
      <c r="GK356" s="21">
        <f t="shared" si="3488"/>
        <v>0</v>
      </c>
      <c r="GL356" s="21">
        <f t="shared" ref="GL356:GS356" si="3489">IF($F$290, 0, IF($F$300, IF(AND(COLUMN($GL$356)-COLUMN($GL$351)=$Q$291,ROW($GL$356)-ROW($GL$351)=$K$291), U$290, GL356), GL356))</f>
        <v>0</v>
      </c>
      <c r="GM356" s="21">
        <f t="shared" si="3489"/>
        <v>0</v>
      </c>
      <c r="GN356" s="21">
        <f t="shared" si="3489"/>
        <v>0</v>
      </c>
      <c r="GO356" s="21">
        <f t="shared" si="3489"/>
        <v>0</v>
      </c>
      <c r="GP356" s="21">
        <f t="shared" si="3489"/>
        <v>0</v>
      </c>
      <c r="GQ356" s="21">
        <f t="shared" si="3489"/>
        <v>0</v>
      </c>
      <c r="GR356" s="21">
        <f t="shared" si="3489"/>
        <v>0</v>
      </c>
      <c r="GS356" s="21">
        <f t="shared" si="3489"/>
        <v>0</v>
      </c>
      <c r="GT356" s="21">
        <f t="shared" ref="GT356:HA356" si="3490">IF($F$290, 0, IF($F$300, IF(AND(COLUMN($GT$356)-COLUMN($GL$351)=$Q$291,ROW($GT$356)-ROW($GL$351)=$K$291), U$290, GT356), GT356))</f>
        <v>0</v>
      </c>
      <c r="GU356" s="21">
        <f t="shared" si="3490"/>
        <v>0</v>
      </c>
      <c r="GV356" s="21">
        <f t="shared" si="3490"/>
        <v>0</v>
      </c>
      <c r="GW356" s="21">
        <f t="shared" si="3490"/>
        <v>0</v>
      </c>
      <c r="GX356" s="21">
        <f t="shared" si="3490"/>
        <v>0</v>
      </c>
      <c r="GY356" s="21">
        <f t="shared" si="3490"/>
        <v>0</v>
      </c>
      <c r="GZ356" s="21">
        <f t="shared" si="3490"/>
        <v>0</v>
      </c>
      <c r="HA356" s="21">
        <f t="shared" si="3490"/>
        <v>0</v>
      </c>
      <c r="HB356" s="21">
        <f t="shared" ref="HB356:HI356" si="3491">IF($F$290, 0, IF($F$300, IF(AND(COLUMN($HB$356)-COLUMN($GL$351)=$Q$291,ROW($HB$356)-ROW($GL$351)=$K$291), U$290, HB356), HB356))</f>
        <v>0</v>
      </c>
      <c r="HC356" s="21">
        <f t="shared" si="3491"/>
        <v>0</v>
      </c>
      <c r="HD356" s="21">
        <f t="shared" si="3491"/>
        <v>0</v>
      </c>
      <c r="HE356" s="21">
        <f t="shared" si="3491"/>
        <v>0</v>
      </c>
      <c r="HF356" s="21">
        <f t="shared" si="3491"/>
        <v>0</v>
      </c>
      <c r="HG356" s="21">
        <f t="shared" si="3491"/>
        <v>0</v>
      </c>
      <c r="HH356" s="21">
        <f t="shared" si="3491"/>
        <v>0</v>
      </c>
      <c r="HI356" s="21">
        <f t="shared" si="3491"/>
        <v>0</v>
      </c>
      <c r="HJ356" s="21">
        <f t="shared" ref="HJ356:HQ356" si="3492">IF($F$290, 0, IF($F$300, IF(AND(COLUMN($HJ$356)-COLUMN($GL$351)=$Q$291,ROW($HJ$356)-ROW($GL$351)=$K$291), U$290, HJ356), HJ356))</f>
        <v>0</v>
      </c>
      <c r="HK356" s="21">
        <f t="shared" si="3492"/>
        <v>0</v>
      </c>
      <c r="HL356" s="21">
        <f t="shared" si="3492"/>
        <v>0</v>
      </c>
      <c r="HM356" s="21">
        <f t="shared" si="3492"/>
        <v>0</v>
      </c>
      <c r="HN356" s="21">
        <f t="shared" si="3492"/>
        <v>0</v>
      </c>
      <c r="HO356" s="21">
        <f t="shared" si="3492"/>
        <v>0</v>
      </c>
      <c r="HP356" s="21">
        <f t="shared" si="3492"/>
        <v>0</v>
      </c>
      <c r="HQ356" s="21">
        <f t="shared" si="3492"/>
        <v>0</v>
      </c>
      <c r="HR356" s="21">
        <f t="shared" ref="HR356:HY356" si="3493">IF($F$290, 0, IF($F$300, IF(AND(COLUMN($HR$356)-COLUMN($GL$351)=$Q$291,ROW($HR$356)-ROW($GL$351)=$K$291), U$290, HR356), HR356))</f>
        <v>0</v>
      </c>
      <c r="HS356" s="21">
        <f t="shared" si="3493"/>
        <v>0</v>
      </c>
      <c r="HT356" s="21">
        <f t="shared" si="3493"/>
        <v>0</v>
      </c>
      <c r="HU356" s="21">
        <f t="shared" si="3493"/>
        <v>0</v>
      </c>
      <c r="HV356" s="21">
        <f t="shared" si="3493"/>
        <v>0</v>
      </c>
      <c r="HW356" s="21">
        <f t="shared" si="3493"/>
        <v>0</v>
      </c>
      <c r="HX356" s="21">
        <f t="shared" si="3493"/>
        <v>0</v>
      </c>
      <c r="HY356" s="21">
        <f t="shared" si="3493"/>
        <v>0</v>
      </c>
      <c r="HZ356" s="21">
        <f t="shared" ref="HZ356:IG356" si="3494">IF($F$290, 0, IF($F$300, IF(AND(COLUMN($HZ$356)-COLUMN($GL$351)=$Q$291,ROW($HZ$356)-ROW($GL$351)=$K$291), U$290, HZ356), HZ356))</f>
        <v>0</v>
      </c>
      <c r="IA356" s="21">
        <f t="shared" si="3494"/>
        <v>0</v>
      </c>
      <c r="IB356" s="21">
        <f t="shared" si="3494"/>
        <v>0</v>
      </c>
      <c r="IC356" s="21">
        <f t="shared" si="3494"/>
        <v>0</v>
      </c>
      <c r="ID356" s="21">
        <f t="shared" si="3494"/>
        <v>0</v>
      </c>
      <c r="IE356" s="21">
        <f t="shared" si="3494"/>
        <v>0</v>
      </c>
      <c r="IF356" s="21">
        <f t="shared" si="3494"/>
        <v>0</v>
      </c>
      <c r="IG356" s="21">
        <f t="shared" si="3494"/>
        <v>0</v>
      </c>
      <c r="IH356" s="21">
        <f t="shared" ref="IH356:IO356" si="3495">IF($F$290, 0, IF($F$300, IF(AND(COLUMN($IH$356)-COLUMN($GL$351)=$Q$291,ROW($IH$356)-ROW($GL$351)=$K$291), U$290, IH356), IH356))</f>
        <v>0</v>
      </c>
      <c r="II356" s="21">
        <f t="shared" si="3495"/>
        <v>0</v>
      </c>
      <c r="IJ356" s="21">
        <f t="shared" si="3495"/>
        <v>0</v>
      </c>
      <c r="IK356" s="21">
        <f t="shared" si="3495"/>
        <v>0</v>
      </c>
      <c r="IL356" s="21">
        <f t="shared" si="3495"/>
        <v>0</v>
      </c>
      <c r="IM356" s="21">
        <f t="shared" si="3495"/>
        <v>0</v>
      </c>
      <c r="IN356" s="21">
        <f t="shared" si="3495"/>
        <v>0</v>
      </c>
      <c r="IO356" s="21">
        <f t="shared" si="3495"/>
        <v>0</v>
      </c>
      <c r="IP356" s="21">
        <f t="shared" ref="IP356:IW356" si="3496">IF($F$290, 0, IF($F$300, IF(AND(COLUMN($IP$356)-COLUMN($GL$351)=$Q$291,ROW($IP$356)-ROW($GL$351)=$K$291), U$290, IP356), IP356))</f>
        <v>0</v>
      </c>
      <c r="IQ356" s="21">
        <f t="shared" si="3496"/>
        <v>0</v>
      </c>
      <c r="IR356" s="21">
        <f t="shared" si="3496"/>
        <v>0</v>
      </c>
      <c r="IS356" s="21">
        <f t="shared" si="3496"/>
        <v>0</v>
      </c>
      <c r="IT356" s="21">
        <f t="shared" si="3496"/>
        <v>0</v>
      </c>
      <c r="IU356" s="21">
        <f t="shared" si="3496"/>
        <v>0</v>
      </c>
      <c r="IV356" s="21">
        <f t="shared" si="3496"/>
        <v>0</v>
      </c>
      <c r="IW356" s="21">
        <f t="shared" si="3496"/>
        <v>0</v>
      </c>
      <c r="IX356" s="21">
        <f t="shared" ref="IX356:JE356" si="3497">IF($F$290, 0, IF($G$300, IF(AND(COLUMN($IX$356)-COLUMN($IX$351)=$Q$291,ROW($IX$356)-ROW($IX$351)=$K$291), U$290, IX356), IX356))</f>
        <v>0</v>
      </c>
      <c r="IY356" s="21">
        <f t="shared" si="3497"/>
        <v>0</v>
      </c>
      <c r="IZ356" s="21">
        <f t="shared" si="3497"/>
        <v>0</v>
      </c>
      <c r="JA356" s="21">
        <f t="shared" si="3497"/>
        <v>0</v>
      </c>
      <c r="JB356" s="21">
        <f t="shared" si="3497"/>
        <v>0</v>
      </c>
      <c r="JC356" s="21">
        <f t="shared" si="3497"/>
        <v>0</v>
      </c>
      <c r="JD356" s="21">
        <f t="shared" si="3497"/>
        <v>0</v>
      </c>
      <c r="JE356" s="21">
        <f t="shared" si="3497"/>
        <v>0</v>
      </c>
      <c r="JF356" s="21">
        <f t="shared" ref="JF356:JM356" si="3498">IF($F$290, 0, IF($G$300, IF(AND(COLUMN($JF$356)-COLUMN($IX$351)=$Q$291,ROW($JF$356)-ROW($IX$351)=$K$291), U$290, JF356), JF356))</f>
        <v>0</v>
      </c>
      <c r="JG356" s="21">
        <f t="shared" si="3498"/>
        <v>0</v>
      </c>
      <c r="JH356" s="21">
        <f t="shared" si="3498"/>
        <v>0</v>
      </c>
      <c r="JI356" s="21">
        <f t="shared" si="3498"/>
        <v>0</v>
      </c>
      <c r="JJ356" s="21">
        <f t="shared" si="3498"/>
        <v>0</v>
      </c>
      <c r="JK356" s="21">
        <f t="shared" si="3498"/>
        <v>0</v>
      </c>
      <c r="JL356" s="21">
        <f t="shared" si="3498"/>
        <v>0</v>
      </c>
      <c r="JM356" s="21">
        <f t="shared" si="3498"/>
        <v>0</v>
      </c>
      <c r="JN356" s="21">
        <f t="shared" ref="JN356:JU356" si="3499">IF($F$290, 0, IF($G$300, IF(AND(COLUMN($JN$356)-COLUMN($IX$351)=$Q$291,ROW($JN$356)-ROW($IX$351)=$K$291), U$290, JN356), JN356))</f>
        <v>0</v>
      </c>
      <c r="JO356" s="21">
        <f t="shared" si="3499"/>
        <v>0</v>
      </c>
      <c r="JP356" s="21">
        <f t="shared" si="3499"/>
        <v>0</v>
      </c>
      <c r="JQ356" s="21">
        <f t="shared" si="3499"/>
        <v>0</v>
      </c>
      <c r="JR356" s="21">
        <f t="shared" si="3499"/>
        <v>0</v>
      </c>
      <c r="JS356" s="21">
        <f t="shared" si="3499"/>
        <v>0</v>
      </c>
      <c r="JT356" s="21">
        <f t="shared" si="3499"/>
        <v>0</v>
      </c>
      <c r="JU356" s="21">
        <f t="shared" si="3499"/>
        <v>0</v>
      </c>
      <c r="JV356" s="21">
        <f t="shared" ref="JV356:KC356" si="3500">IF($F$290, 0, IF($G$300, IF(AND(COLUMN($JV$356)-COLUMN($IX$351)=$Q$291,ROW($JV$356)-ROW($IX$351)=$K$291), U$290, JV356), JV356))</f>
        <v>0</v>
      </c>
      <c r="JW356" s="21">
        <f t="shared" si="3500"/>
        <v>0</v>
      </c>
      <c r="JX356" s="21">
        <f t="shared" si="3500"/>
        <v>0</v>
      </c>
      <c r="JY356" s="21">
        <f t="shared" si="3500"/>
        <v>0</v>
      </c>
      <c r="JZ356" s="21">
        <f t="shared" si="3500"/>
        <v>0</v>
      </c>
      <c r="KA356" s="21">
        <f t="shared" si="3500"/>
        <v>0</v>
      </c>
      <c r="KB356" s="21">
        <f t="shared" si="3500"/>
        <v>0</v>
      </c>
      <c r="KC356" s="21">
        <f t="shared" si="3500"/>
        <v>0</v>
      </c>
      <c r="KD356" s="21">
        <f t="shared" ref="KD356:KK356" si="3501">IF($F$290, 0, IF($G$300, IF(AND(COLUMN($KD$356)-COLUMN($IX$351)=$Q$291,ROW($KD$356)-ROW($IX$351)=$K$291), U$290, KD356), KD356))</f>
        <v>0</v>
      </c>
      <c r="KE356" s="21">
        <f t="shared" si="3501"/>
        <v>0</v>
      </c>
      <c r="KF356" s="21">
        <f t="shared" si="3501"/>
        <v>0</v>
      </c>
      <c r="KG356" s="21">
        <f t="shared" si="3501"/>
        <v>0</v>
      </c>
      <c r="KH356" s="21">
        <f t="shared" si="3501"/>
        <v>0</v>
      </c>
      <c r="KI356" s="21">
        <f t="shared" si="3501"/>
        <v>0</v>
      </c>
      <c r="KJ356" s="21">
        <f t="shared" si="3501"/>
        <v>0</v>
      </c>
      <c r="KK356" s="21">
        <f t="shared" si="3501"/>
        <v>0</v>
      </c>
      <c r="KL356" s="21">
        <f t="shared" ref="KL356:KS356" si="3502">IF($F$290, 0, IF($G$300, IF(AND(COLUMN($KL$356)-COLUMN($IX$351)=$Q$291,ROW($KL$356)-ROW($IX$351)=$K$291), U$290, KL356), KL356))</f>
        <v>0</v>
      </c>
      <c r="KM356" s="21">
        <f t="shared" si="3502"/>
        <v>0</v>
      </c>
      <c r="KN356" s="21">
        <f t="shared" si="3502"/>
        <v>0</v>
      </c>
      <c r="KO356" s="21">
        <f t="shared" si="3502"/>
        <v>0</v>
      </c>
      <c r="KP356" s="21">
        <f t="shared" si="3502"/>
        <v>0</v>
      </c>
      <c r="KQ356" s="21">
        <f t="shared" si="3502"/>
        <v>0</v>
      </c>
      <c r="KR356" s="21">
        <f t="shared" si="3502"/>
        <v>0</v>
      </c>
      <c r="KS356" s="21">
        <f t="shared" si="3502"/>
        <v>0</v>
      </c>
      <c r="KT356" s="21">
        <f t="shared" ref="KT356:LA356" si="3503">IF($F$290, 0, IF($G$300, IF(AND(COLUMN($KT$356)-COLUMN($IX$351)=$Q$291,ROW($KT$356)-ROW($IX$351)=$K$291), U$290, KT356), KT356))</f>
        <v>0</v>
      </c>
      <c r="KU356" s="21">
        <f t="shared" si="3503"/>
        <v>0</v>
      </c>
      <c r="KV356" s="21">
        <f t="shared" si="3503"/>
        <v>0</v>
      </c>
      <c r="KW356" s="21">
        <f t="shared" si="3503"/>
        <v>0</v>
      </c>
      <c r="KX356" s="21">
        <f t="shared" si="3503"/>
        <v>0</v>
      </c>
      <c r="KY356" s="21">
        <f t="shared" si="3503"/>
        <v>0</v>
      </c>
      <c r="KZ356" s="21">
        <f t="shared" si="3503"/>
        <v>0</v>
      </c>
      <c r="LA356" s="21">
        <f t="shared" si="3503"/>
        <v>0</v>
      </c>
      <c r="LB356" s="21">
        <f t="shared" ref="LB356:LI356" si="3504">IF($F$290, 0, IF($G$300, IF(AND(COLUMN($LB$356)-COLUMN($IX$351)=$Q$291,ROW($LB$356)-ROW($IX$351)=$K$291), U$290, LB356), LB356))</f>
        <v>0</v>
      </c>
      <c r="LC356" s="21">
        <f t="shared" si="3504"/>
        <v>0</v>
      </c>
      <c r="LD356" s="21">
        <f t="shared" si="3504"/>
        <v>0</v>
      </c>
      <c r="LE356" s="21">
        <f t="shared" si="3504"/>
        <v>0</v>
      </c>
      <c r="LF356" s="21">
        <f t="shared" si="3504"/>
        <v>0</v>
      </c>
      <c r="LG356" s="21">
        <f t="shared" si="3504"/>
        <v>0</v>
      </c>
      <c r="LH356" s="21">
        <f t="shared" si="3504"/>
        <v>0</v>
      </c>
      <c r="LI356" s="21">
        <f t="shared" si="3504"/>
        <v>0</v>
      </c>
      <c r="LJ356" s="21">
        <f t="shared" ref="LJ356:LQ356" si="3505">IF($F$290, 0, IF($H$300, IF(AND(COLUMN($LJ$356)-COLUMN($LJ$351)=$Q$291,ROW($LJ$356)-ROW($LJ$351)=$K$291), U$290, LJ356), LJ356))</f>
        <v>0</v>
      </c>
      <c r="LK356" s="21">
        <f t="shared" si="3505"/>
        <v>0</v>
      </c>
      <c r="LL356" s="21">
        <f t="shared" si="3505"/>
        <v>0</v>
      </c>
      <c r="LM356" s="21">
        <f t="shared" si="3505"/>
        <v>0</v>
      </c>
      <c r="LN356" s="21">
        <f t="shared" si="3505"/>
        <v>0</v>
      </c>
      <c r="LO356" s="21">
        <f t="shared" si="3505"/>
        <v>0</v>
      </c>
      <c r="LP356" s="21">
        <f t="shared" si="3505"/>
        <v>0</v>
      </c>
      <c r="LQ356" s="21">
        <f t="shared" si="3505"/>
        <v>0</v>
      </c>
      <c r="LR356" s="21">
        <f t="shared" ref="LR356:LY356" si="3506">IF($F$290, 0, IF($H$300, IF(AND(COLUMN($LR$356)-COLUMN($LJ$351)=$Q$291,ROW($LR$356)-ROW($LJ$351)=$K$291), U$290, LR356), LR356))</f>
        <v>0</v>
      </c>
      <c r="LS356" s="21">
        <f t="shared" si="3506"/>
        <v>0</v>
      </c>
      <c r="LT356" s="21">
        <f t="shared" si="3506"/>
        <v>0</v>
      </c>
      <c r="LU356" s="21">
        <f t="shared" si="3506"/>
        <v>0</v>
      </c>
      <c r="LV356" s="21">
        <f t="shared" si="3506"/>
        <v>0</v>
      </c>
      <c r="LW356" s="21">
        <f t="shared" si="3506"/>
        <v>0</v>
      </c>
      <c r="LX356" s="21">
        <f t="shared" si="3506"/>
        <v>0</v>
      </c>
      <c r="LY356" s="21">
        <f t="shared" si="3506"/>
        <v>0</v>
      </c>
      <c r="LZ356" s="21">
        <f t="shared" ref="LZ356:MG356" si="3507">IF($F$290, 0, IF($H$300, IF(AND(COLUMN($LZ$356)-COLUMN($LJ$351)=$Q$291,ROW($LZ$356)-ROW($LJ$351)=$K$291), U$290, LZ356), LZ356))</f>
        <v>0</v>
      </c>
      <c r="MA356" s="21">
        <f t="shared" si="3507"/>
        <v>0</v>
      </c>
      <c r="MB356" s="21">
        <f t="shared" si="3507"/>
        <v>0</v>
      </c>
      <c r="MC356" s="21">
        <f t="shared" si="3507"/>
        <v>0</v>
      </c>
      <c r="MD356" s="21">
        <f t="shared" si="3507"/>
        <v>0</v>
      </c>
      <c r="ME356" s="21">
        <f t="shared" si="3507"/>
        <v>0</v>
      </c>
      <c r="MF356" s="21">
        <f t="shared" si="3507"/>
        <v>0</v>
      </c>
      <c r="MG356" s="21">
        <f t="shared" si="3507"/>
        <v>0</v>
      </c>
      <c r="MH356" s="21">
        <f t="shared" ref="MH356:MO356" si="3508">IF($F$290, 0, IF($H$300, IF(AND(COLUMN($MH$356)-COLUMN($LJ$351)=$Q$291,ROW($MH$356)-ROW($LJ$351)=$K$291), U$290, MH356), MH356))</f>
        <v>0</v>
      </c>
      <c r="MI356" s="21">
        <f t="shared" si="3508"/>
        <v>0</v>
      </c>
      <c r="MJ356" s="21">
        <f t="shared" si="3508"/>
        <v>0</v>
      </c>
      <c r="MK356" s="21">
        <f t="shared" si="3508"/>
        <v>0</v>
      </c>
      <c r="ML356" s="21">
        <f t="shared" si="3508"/>
        <v>0</v>
      </c>
      <c r="MM356" s="21">
        <f t="shared" si="3508"/>
        <v>0</v>
      </c>
      <c r="MN356" s="21">
        <f t="shared" si="3508"/>
        <v>0</v>
      </c>
      <c r="MO356" s="21">
        <f t="shared" si="3508"/>
        <v>0</v>
      </c>
      <c r="MP356" s="21">
        <f t="shared" ref="MP356:MW356" si="3509">IF($F$290, 0, IF($H$300, IF(AND(COLUMN($MP$356)-COLUMN($LJ$351)=$Q$291,ROW($MP$356)-ROW($LJ$351)=$K$291), U$290, MP356), MP356))</f>
        <v>0</v>
      </c>
      <c r="MQ356" s="21">
        <f t="shared" si="3509"/>
        <v>0</v>
      </c>
      <c r="MR356" s="21">
        <f t="shared" si="3509"/>
        <v>0</v>
      </c>
      <c r="MS356" s="21">
        <f t="shared" si="3509"/>
        <v>0</v>
      </c>
      <c r="MT356" s="21">
        <f t="shared" si="3509"/>
        <v>0</v>
      </c>
      <c r="MU356" s="21">
        <f t="shared" si="3509"/>
        <v>0</v>
      </c>
      <c r="MV356" s="21">
        <f t="shared" si="3509"/>
        <v>0</v>
      </c>
      <c r="MW356" s="21">
        <f t="shared" si="3509"/>
        <v>0</v>
      </c>
      <c r="MX356" s="21">
        <f t="shared" ref="MX356:NE356" si="3510">IF($F$290, 0, IF($H$300, IF(AND(COLUMN($MX$356)-COLUMN($LJ$351)=$Q$291,ROW($MX$356)-ROW($LJ$351)=$K$291), U$290, MX356), MX356))</f>
        <v>0</v>
      </c>
      <c r="MY356" s="21">
        <f t="shared" si="3510"/>
        <v>0</v>
      </c>
      <c r="MZ356" s="21">
        <f t="shared" si="3510"/>
        <v>0</v>
      </c>
      <c r="NA356" s="21">
        <f t="shared" si="3510"/>
        <v>0</v>
      </c>
      <c r="NB356" s="21">
        <f t="shared" si="3510"/>
        <v>0</v>
      </c>
      <c r="NC356" s="21">
        <f t="shared" si="3510"/>
        <v>0</v>
      </c>
      <c r="ND356" s="21">
        <f t="shared" si="3510"/>
        <v>0</v>
      </c>
      <c r="NE356" s="21">
        <f t="shared" si="3510"/>
        <v>0</v>
      </c>
      <c r="NF356" s="21">
        <f t="shared" ref="NF356:NM356" si="3511">IF($F$290, 0, IF($H$300, IF(AND(COLUMN($NF$356)-COLUMN($LJ$351)=$Q$291,ROW($NF$356)-ROW($LJ$351)=$K$291), U$290, NF356), NF356))</f>
        <v>0</v>
      </c>
      <c r="NG356" s="21">
        <f t="shared" si="3511"/>
        <v>0</v>
      </c>
      <c r="NH356" s="21">
        <f t="shared" si="3511"/>
        <v>0</v>
      </c>
      <c r="NI356" s="21">
        <f t="shared" si="3511"/>
        <v>0</v>
      </c>
      <c r="NJ356" s="21">
        <f t="shared" si="3511"/>
        <v>0</v>
      </c>
      <c r="NK356" s="21">
        <f t="shared" si="3511"/>
        <v>0</v>
      </c>
      <c r="NL356" s="21">
        <f t="shared" si="3511"/>
        <v>0</v>
      </c>
      <c r="NM356" s="21">
        <f t="shared" si="3511"/>
        <v>0</v>
      </c>
      <c r="NN356" s="21">
        <f t="shared" ref="NN356:NU356" si="3512">IF($F$290, 0, IF($H$300, IF(AND(COLUMN($NN$356)-COLUMN($LJ$351)=$Q$291,ROW($NN$356)-ROW($LJ$351)=$K$291), U$290, NN356), NN356))</f>
        <v>0</v>
      </c>
      <c r="NO356" s="21">
        <f t="shared" si="3512"/>
        <v>0</v>
      </c>
      <c r="NP356" s="21">
        <f t="shared" si="3512"/>
        <v>0</v>
      </c>
      <c r="NQ356" s="21">
        <f t="shared" si="3512"/>
        <v>0</v>
      </c>
      <c r="NR356" s="21">
        <f t="shared" si="3512"/>
        <v>0</v>
      </c>
      <c r="NS356" s="21">
        <f t="shared" si="3512"/>
        <v>0</v>
      </c>
      <c r="NT356" s="21">
        <f t="shared" si="3512"/>
        <v>0</v>
      </c>
      <c r="NU356" s="21">
        <f t="shared" si="3512"/>
        <v>0</v>
      </c>
      <c r="NV356" s="21">
        <f t="shared" ref="NV356:OC356" si="3513">IF($F$290, 0, IF($I$300, IF(AND(COLUMN($NV$356)-COLUMN($NV$351)=$Q$291,ROW($NV$356)-ROW($NV$351)=$K$291), U$290, NV356), NV356))</f>
        <v>0</v>
      </c>
      <c r="NW356" s="21">
        <f t="shared" si="3513"/>
        <v>0</v>
      </c>
      <c r="NX356" s="21">
        <f t="shared" si="3513"/>
        <v>0</v>
      </c>
      <c r="NY356" s="21">
        <f t="shared" si="3513"/>
        <v>0</v>
      </c>
      <c r="NZ356" s="21">
        <f t="shared" si="3513"/>
        <v>0</v>
      </c>
      <c r="OA356" s="21">
        <f t="shared" si="3513"/>
        <v>0</v>
      </c>
      <c r="OB356" s="21">
        <f t="shared" si="3513"/>
        <v>0</v>
      </c>
      <c r="OC356" s="21">
        <f t="shared" si="3513"/>
        <v>0</v>
      </c>
      <c r="OD356" s="21">
        <f t="shared" ref="OD356:OK356" si="3514">IF($F$290, 0, IF($I$300, IF(AND(COLUMN($OD$356)-COLUMN($NV$351)=$Q$291,ROW($OD$356)-ROW($NV$351)=$K$291), U$290, OD356), OD356))</f>
        <v>0</v>
      </c>
      <c r="OE356" s="21">
        <f t="shared" si="3514"/>
        <v>0</v>
      </c>
      <c r="OF356" s="21">
        <f t="shared" si="3514"/>
        <v>0</v>
      </c>
      <c r="OG356" s="21">
        <f t="shared" si="3514"/>
        <v>0</v>
      </c>
      <c r="OH356" s="21">
        <f t="shared" si="3514"/>
        <v>0</v>
      </c>
      <c r="OI356" s="21">
        <f t="shared" si="3514"/>
        <v>0</v>
      </c>
      <c r="OJ356" s="21">
        <f t="shared" si="3514"/>
        <v>0</v>
      </c>
      <c r="OK356" s="21">
        <f t="shared" si="3514"/>
        <v>0</v>
      </c>
      <c r="OL356" s="21">
        <f t="shared" ref="OL356:OS356" si="3515">IF($F$290, 0, IF($I$300, IF(AND(COLUMN($OL$356)-COLUMN($NV$351)=$Q$291,ROW($OL$356)-ROW($NV$351)=$K$291), U$290, OL356), OL356))</f>
        <v>0</v>
      </c>
      <c r="OM356" s="21">
        <f t="shared" si="3515"/>
        <v>0</v>
      </c>
      <c r="ON356" s="21">
        <f t="shared" si="3515"/>
        <v>0</v>
      </c>
      <c r="OO356" s="21">
        <f t="shared" si="3515"/>
        <v>0</v>
      </c>
      <c r="OP356" s="21">
        <f t="shared" si="3515"/>
        <v>0</v>
      </c>
      <c r="OQ356" s="21">
        <f t="shared" si="3515"/>
        <v>0</v>
      </c>
      <c r="OR356" s="21">
        <f t="shared" si="3515"/>
        <v>0</v>
      </c>
      <c r="OS356" s="21">
        <f t="shared" si="3515"/>
        <v>0</v>
      </c>
      <c r="OT356" s="21">
        <f t="shared" ref="OT356:PA356" si="3516">IF($F$290, 0, IF($I$300, IF(AND(COLUMN($OT$356)-COLUMN($NV$351)=$Q$291,ROW($OT$356)-ROW($NV$351)=$K$291), U$290, OT356), OT356))</f>
        <v>0</v>
      </c>
      <c r="OU356" s="21">
        <f t="shared" si="3516"/>
        <v>0</v>
      </c>
      <c r="OV356" s="21">
        <f t="shared" si="3516"/>
        <v>0</v>
      </c>
      <c r="OW356" s="21">
        <f t="shared" si="3516"/>
        <v>0</v>
      </c>
      <c r="OX356" s="21">
        <f t="shared" si="3516"/>
        <v>0</v>
      </c>
      <c r="OY356" s="21">
        <f t="shared" si="3516"/>
        <v>0</v>
      </c>
      <c r="OZ356" s="21">
        <f t="shared" si="3516"/>
        <v>0</v>
      </c>
      <c r="PA356" s="21">
        <f t="shared" si="3516"/>
        <v>0</v>
      </c>
      <c r="PB356" s="21">
        <f t="shared" ref="PB356:PI356" si="3517">IF($F$290, 0, IF($I$300, IF(AND(COLUMN($PB$356)-COLUMN($NV$351)=$Q$291,ROW($PB$356)-ROW($NV$351)=$K$291), U$290, PB356), PB356))</f>
        <v>0</v>
      </c>
      <c r="PC356" s="21">
        <f t="shared" si="3517"/>
        <v>0</v>
      </c>
      <c r="PD356" s="21">
        <f t="shared" si="3517"/>
        <v>0</v>
      </c>
      <c r="PE356" s="21">
        <f t="shared" si="3517"/>
        <v>0</v>
      </c>
      <c r="PF356" s="21">
        <f t="shared" si="3517"/>
        <v>0</v>
      </c>
      <c r="PG356" s="21">
        <f t="shared" si="3517"/>
        <v>0</v>
      </c>
      <c r="PH356" s="21">
        <f t="shared" si="3517"/>
        <v>0</v>
      </c>
      <c r="PI356" s="21">
        <f t="shared" si="3517"/>
        <v>0</v>
      </c>
      <c r="PJ356" s="21">
        <f t="shared" ref="PJ356:PQ356" si="3518">IF($F$290, 0, IF($I$300, IF(AND(COLUMN($PJ$356)-COLUMN($NV$351)=$Q$291,ROW($PJ$356)-ROW($NV$351)=$K$291), U$290, PJ356), PJ356))</f>
        <v>0</v>
      </c>
      <c r="PK356" s="21">
        <f t="shared" si="3518"/>
        <v>0</v>
      </c>
      <c r="PL356" s="21">
        <f t="shared" si="3518"/>
        <v>0</v>
      </c>
      <c r="PM356" s="21">
        <f t="shared" si="3518"/>
        <v>0</v>
      </c>
      <c r="PN356" s="21">
        <f t="shared" si="3518"/>
        <v>0</v>
      </c>
      <c r="PO356" s="21">
        <f t="shared" si="3518"/>
        <v>0</v>
      </c>
      <c r="PP356" s="21">
        <f t="shared" si="3518"/>
        <v>0</v>
      </c>
      <c r="PQ356" s="21">
        <f t="shared" si="3518"/>
        <v>0</v>
      </c>
      <c r="PR356" s="21">
        <f t="shared" ref="PR356:PY356" si="3519">IF($F$290, 0, IF($I$300, IF(AND(COLUMN($PR$356)-COLUMN($NV$351)=$Q$291,ROW($PR$356)-ROW($NV$351)=$K$291), U$290, PR356), PR356))</f>
        <v>0</v>
      </c>
      <c r="PS356" s="21">
        <f t="shared" si="3519"/>
        <v>0</v>
      </c>
      <c r="PT356" s="21">
        <f t="shared" si="3519"/>
        <v>0</v>
      </c>
      <c r="PU356" s="21">
        <f t="shared" si="3519"/>
        <v>0</v>
      </c>
      <c r="PV356" s="21">
        <f t="shared" si="3519"/>
        <v>0</v>
      </c>
      <c r="PW356" s="21">
        <f t="shared" si="3519"/>
        <v>0</v>
      </c>
      <c r="PX356" s="21">
        <f t="shared" si="3519"/>
        <v>0</v>
      </c>
      <c r="PY356" s="21">
        <f t="shared" si="3519"/>
        <v>0</v>
      </c>
      <c r="PZ356" s="21">
        <f t="shared" ref="PZ356:QG356" si="3520">IF($F$290, 0, IF($I$300, IF(AND(COLUMN($PZ$356)-COLUMN($NV$351)=$Q$291,ROW($PZ$356)-ROW($NV$351)=$K$291), U$290, PZ356), PZ356))</f>
        <v>0</v>
      </c>
      <c r="QA356" s="21">
        <f t="shared" si="3520"/>
        <v>0</v>
      </c>
      <c r="QB356" s="21">
        <f t="shared" si="3520"/>
        <v>0</v>
      </c>
      <c r="QC356" s="21">
        <f t="shared" si="3520"/>
        <v>0</v>
      </c>
      <c r="QD356" s="21">
        <f t="shared" si="3520"/>
        <v>0</v>
      </c>
      <c r="QE356" s="21">
        <f t="shared" si="3520"/>
        <v>0</v>
      </c>
      <c r="QF356" s="21">
        <f t="shared" si="3520"/>
        <v>0</v>
      </c>
      <c r="QG356" s="21">
        <f t="shared" si="3520"/>
        <v>0</v>
      </c>
      <c r="QH356" s="21">
        <f t="shared" ref="QH356:QO356" si="3521">IF($F$290, 0, IF($J$300, IF(AND(COLUMN($QH$356)-COLUMN($QH$351)=$Q$291,ROW($QH$356)-ROW($QH$351)=$K$291), U$290, QH356), QH356))</f>
        <v>0</v>
      </c>
      <c r="QI356" s="21">
        <f t="shared" si="3521"/>
        <v>0</v>
      </c>
      <c r="QJ356" s="21">
        <f t="shared" si="3521"/>
        <v>0</v>
      </c>
      <c r="QK356" s="21">
        <f t="shared" si="3521"/>
        <v>0</v>
      </c>
      <c r="QL356" s="21">
        <f t="shared" si="3521"/>
        <v>0</v>
      </c>
      <c r="QM356" s="21">
        <f t="shared" si="3521"/>
        <v>0</v>
      </c>
      <c r="QN356" s="21">
        <f t="shared" si="3521"/>
        <v>0</v>
      </c>
      <c r="QO356" s="21">
        <f t="shared" si="3521"/>
        <v>0</v>
      </c>
      <c r="QP356" s="21">
        <f t="shared" ref="QP356:QW356" si="3522">IF($F$290, 0, IF($J$300, IF(AND(COLUMN($QP$356)-COLUMN($QH$351)=$Q$291,ROW($QP$356)-ROW($QH$351)=$K$291), U$290, QP356), QP356))</f>
        <v>0</v>
      </c>
      <c r="QQ356" s="21">
        <f t="shared" si="3522"/>
        <v>0</v>
      </c>
      <c r="QR356" s="21">
        <f t="shared" si="3522"/>
        <v>0</v>
      </c>
      <c r="QS356" s="21">
        <f t="shared" si="3522"/>
        <v>0</v>
      </c>
      <c r="QT356" s="21">
        <f t="shared" si="3522"/>
        <v>0</v>
      </c>
      <c r="QU356" s="21">
        <f t="shared" si="3522"/>
        <v>0</v>
      </c>
      <c r="QV356" s="21">
        <f t="shared" si="3522"/>
        <v>0</v>
      </c>
      <c r="QW356" s="21">
        <f t="shared" si="3522"/>
        <v>0</v>
      </c>
      <c r="QX356" s="21">
        <f t="shared" ref="QX356:RE356" si="3523">IF($F$290, 0, IF($J$300, IF(AND(COLUMN($QX$356)-COLUMN($QH$351)=$Q$291,ROW($QX$356)-ROW($QH$351)=$K$291), U$290, QX356), QX356))</f>
        <v>0</v>
      </c>
      <c r="QY356" s="21">
        <f t="shared" si="3523"/>
        <v>0</v>
      </c>
      <c r="QZ356" s="21">
        <f t="shared" si="3523"/>
        <v>0</v>
      </c>
      <c r="RA356" s="21">
        <f t="shared" si="3523"/>
        <v>0</v>
      </c>
      <c r="RB356" s="21">
        <f t="shared" si="3523"/>
        <v>0</v>
      </c>
      <c r="RC356" s="21">
        <f t="shared" si="3523"/>
        <v>0</v>
      </c>
      <c r="RD356" s="21">
        <f t="shared" si="3523"/>
        <v>0</v>
      </c>
      <c r="RE356" s="21">
        <f t="shared" si="3523"/>
        <v>0</v>
      </c>
      <c r="RF356" s="21">
        <f t="shared" ref="RF356:RM356" si="3524">IF($F$290, 0, IF($J$300, IF(AND(COLUMN($RF$356)-COLUMN($QH$351)=$Q$291,ROW($RF$356)-ROW($QH$351)=$K$291), U$290, RF356), RF356))</f>
        <v>0</v>
      </c>
      <c r="RG356" s="21">
        <f t="shared" si="3524"/>
        <v>0</v>
      </c>
      <c r="RH356" s="21">
        <f t="shared" si="3524"/>
        <v>0</v>
      </c>
      <c r="RI356" s="21">
        <f t="shared" si="3524"/>
        <v>0</v>
      </c>
      <c r="RJ356" s="21">
        <f t="shared" si="3524"/>
        <v>0</v>
      </c>
      <c r="RK356" s="21">
        <f t="shared" si="3524"/>
        <v>0</v>
      </c>
      <c r="RL356" s="21">
        <f t="shared" si="3524"/>
        <v>0</v>
      </c>
      <c r="RM356" s="21">
        <f t="shared" si="3524"/>
        <v>0</v>
      </c>
      <c r="RN356" s="21">
        <f t="shared" ref="RN356:RU356" si="3525">IF($F$290, 0, IF($J$300, IF(AND(COLUMN($RN$356)-COLUMN($QH$351)=$Q$291,ROW($RN$356)-ROW($QH$351)=$K$291), U$290, RN356), RN356))</f>
        <v>0</v>
      </c>
      <c r="RO356" s="21">
        <f t="shared" si="3525"/>
        <v>0</v>
      </c>
      <c r="RP356" s="21">
        <f t="shared" si="3525"/>
        <v>0</v>
      </c>
      <c r="RQ356" s="21">
        <f t="shared" si="3525"/>
        <v>0</v>
      </c>
      <c r="RR356" s="21">
        <f t="shared" si="3525"/>
        <v>0</v>
      </c>
      <c r="RS356" s="21">
        <f t="shared" si="3525"/>
        <v>0</v>
      </c>
      <c r="RT356" s="21">
        <f t="shared" si="3525"/>
        <v>0</v>
      </c>
      <c r="RU356" s="21">
        <f t="shared" si="3525"/>
        <v>0</v>
      </c>
      <c r="RV356" s="21">
        <f t="shared" ref="RV356:SC356" si="3526">IF($F$290, 0, IF($J$300, IF(AND(COLUMN($RV$356)-COLUMN($QH$351)=$Q$291,ROW($RV$356)-ROW($QH$351)=$K$291), U$290, RV356), RV356))</f>
        <v>0</v>
      </c>
      <c r="RW356" s="21">
        <f t="shared" si="3526"/>
        <v>0</v>
      </c>
      <c r="RX356" s="21">
        <f t="shared" si="3526"/>
        <v>0</v>
      </c>
      <c r="RY356" s="21">
        <f t="shared" si="3526"/>
        <v>0</v>
      </c>
      <c r="RZ356" s="21">
        <f t="shared" si="3526"/>
        <v>0</v>
      </c>
      <c r="SA356" s="21">
        <f t="shared" si="3526"/>
        <v>0</v>
      </c>
      <c r="SB356" s="21">
        <f t="shared" si="3526"/>
        <v>0</v>
      </c>
      <c r="SC356" s="21">
        <f t="shared" si="3526"/>
        <v>0</v>
      </c>
      <c r="SD356" s="21">
        <f t="shared" ref="SD356:SK356" si="3527">IF($F$290, 0, IF($J$300, IF(AND(COLUMN($SD$356)-COLUMN($QH$351)=$Q$291,ROW($SD$356)-ROW($QH$351)=$K$291), U$290, SD356), SD356))</f>
        <v>0</v>
      </c>
      <c r="SE356" s="21">
        <f t="shared" si="3527"/>
        <v>0</v>
      </c>
      <c r="SF356" s="21">
        <f t="shared" si="3527"/>
        <v>0</v>
      </c>
      <c r="SG356" s="21">
        <f t="shared" si="3527"/>
        <v>0</v>
      </c>
      <c r="SH356" s="21">
        <f t="shared" si="3527"/>
        <v>0</v>
      </c>
      <c r="SI356" s="21">
        <f t="shared" si="3527"/>
        <v>0</v>
      </c>
      <c r="SJ356" s="21">
        <f t="shared" si="3527"/>
        <v>0</v>
      </c>
      <c r="SK356" s="21">
        <f t="shared" si="3527"/>
        <v>0</v>
      </c>
      <c r="SL356" s="21">
        <f t="shared" ref="SL356:SS356" si="3528">IF($F$290, 0, IF($J$300, IF(AND(COLUMN($SL$356)-COLUMN($QH$351)=$Q$291,ROW($SL$356)-ROW($QH$351)=$K$291), U$290, SL356), SL356))</f>
        <v>0</v>
      </c>
      <c r="SM356" s="21">
        <f t="shared" si="3528"/>
        <v>0</v>
      </c>
      <c r="SN356" s="21">
        <f t="shared" si="3528"/>
        <v>0</v>
      </c>
      <c r="SO356" s="21">
        <f t="shared" si="3528"/>
        <v>0</v>
      </c>
      <c r="SP356" s="21">
        <f t="shared" si="3528"/>
        <v>0</v>
      </c>
      <c r="SQ356" s="21">
        <f t="shared" si="3528"/>
        <v>0</v>
      </c>
      <c r="SR356" s="21">
        <f t="shared" si="3528"/>
        <v>0</v>
      </c>
      <c r="SS356" s="21">
        <f t="shared" si="3528"/>
        <v>0</v>
      </c>
    </row>
    <row r="357" spans="2:513" ht="15" customHeight="1" x14ac:dyDescent="0.25">
      <c r="B357" s="21">
        <f t="shared" ref="B357:I357" si="3529">IF($F$290, 0, IF($C$300, IF(AND(COLUMN($B$357)-COLUMN($B$351)=$Q$291,ROW($B$357)-ROW($B$351)=$K$291), U$290, B357), B357))</f>
        <v>0</v>
      </c>
      <c r="C357" s="21">
        <f t="shared" si="3529"/>
        <v>0</v>
      </c>
      <c r="D357" s="21">
        <f t="shared" si="3529"/>
        <v>0</v>
      </c>
      <c r="E357" s="21">
        <f t="shared" si="3529"/>
        <v>0</v>
      </c>
      <c r="F357" s="21">
        <f t="shared" si="3529"/>
        <v>0</v>
      </c>
      <c r="G357" s="21">
        <f t="shared" si="3529"/>
        <v>0</v>
      </c>
      <c r="H357" s="21">
        <f t="shared" si="3529"/>
        <v>0</v>
      </c>
      <c r="I357" s="21">
        <f t="shared" si="3529"/>
        <v>0</v>
      </c>
      <c r="J357" s="21">
        <f t="shared" ref="J357:Q357" si="3530">IF($F$290, 0, IF($C$300, IF(AND(COLUMN($J$357)-COLUMN($B$351)=$Q$291,ROW($J$357)-ROW($B$351)=$K$291), U$290, J357), J357))</f>
        <v>0</v>
      </c>
      <c r="K357" s="21">
        <f t="shared" si="3530"/>
        <v>0</v>
      </c>
      <c r="L357" s="21">
        <f t="shared" si="3530"/>
        <v>0</v>
      </c>
      <c r="M357" s="21">
        <f t="shared" si="3530"/>
        <v>0</v>
      </c>
      <c r="N357" s="21">
        <f t="shared" si="3530"/>
        <v>0</v>
      </c>
      <c r="O357" s="21">
        <f t="shared" si="3530"/>
        <v>0</v>
      </c>
      <c r="P357" s="21">
        <f t="shared" si="3530"/>
        <v>0</v>
      </c>
      <c r="Q357" s="21">
        <f t="shared" si="3530"/>
        <v>0</v>
      </c>
      <c r="R357" s="21">
        <f>IF($F$290, 0, IF($C$300, IF(AND(COLUMN($R$357)-COLUMN($B$351)=$Q$291,ROW($R$357)-ROW($B$351)=$K$291), U$290, R357), R357))</f>
        <v>0</v>
      </c>
      <c r="S357" s="21">
        <f t="shared" ref="S357:Y357" si="3531">IF($F$290, 0, IF($C$300, IF(AND(COLUMN($R$357)-COLUMN($B$351)=$Q$291,ROW($R$357)-ROW($B$351)=$K$291), V$290, S357), S357))</f>
        <v>0</v>
      </c>
      <c r="T357" s="21">
        <f t="shared" si="3531"/>
        <v>0</v>
      </c>
      <c r="U357" s="21">
        <f t="shared" si="3531"/>
        <v>0</v>
      </c>
      <c r="V357" s="21">
        <f t="shared" si="3531"/>
        <v>0</v>
      </c>
      <c r="W357" s="21">
        <f t="shared" si="3531"/>
        <v>0</v>
      </c>
      <c r="X357" s="21">
        <f t="shared" si="3531"/>
        <v>0</v>
      </c>
      <c r="Y357" s="21">
        <f t="shared" si="3531"/>
        <v>0</v>
      </c>
      <c r="Z357" s="21">
        <f t="shared" ref="Z357:AG357" si="3532">IF($F$290, 0, IF($C$300, IF(AND(COLUMN($Z$357)-COLUMN($B$351)=$Q$291,ROW($Z$357)-ROW($B$351)=$K$291), U$290, Z357), Z357))</f>
        <v>0</v>
      </c>
      <c r="AA357" s="21">
        <f t="shared" si="3532"/>
        <v>0</v>
      </c>
      <c r="AB357" s="21">
        <f t="shared" si="3532"/>
        <v>0</v>
      </c>
      <c r="AC357" s="21">
        <f t="shared" si="3532"/>
        <v>0</v>
      </c>
      <c r="AD357" s="21">
        <f t="shared" si="3532"/>
        <v>0</v>
      </c>
      <c r="AE357" s="21">
        <f t="shared" si="3532"/>
        <v>0</v>
      </c>
      <c r="AF357" s="21">
        <f t="shared" si="3532"/>
        <v>0</v>
      </c>
      <c r="AG357" s="21">
        <f t="shared" si="3532"/>
        <v>0</v>
      </c>
      <c r="AH357" s="21">
        <f t="shared" ref="AH357:AO357" si="3533">IF($F$290, 0, IF($C$300, IF(AND(COLUMN($AH$357)-COLUMN($B$351)=$Q$291,ROW($AH$357)-ROW($B$351)=$K$291), U$290, AH357), AH357))</f>
        <v>0</v>
      </c>
      <c r="AI357" s="21">
        <f t="shared" si="3533"/>
        <v>0</v>
      </c>
      <c r="AJ357" s="21">
        <f t="shared" si="3533"/>
        <v>0</v>
      </c>
      <c r="AK357" s="21">
        <f t="shared" si="3533"/>
        <v>0</v>
      </c>
      <c r="AL357" s="21">
        <f t="shared" si="3533"/>
        <v>0</v>
      </c>
      <c r="AM357" s="21">
        <f t="shared" si="3533"/>
        <v>0</v>
      </c>
      <c r="AN357" s="21">
        <f t="shared" si="3533"/>
        <v>0</v>
      </c>
      <c r="AO357" s="21">
        <f t="shared" si="3533"/>
        <v>0</v>
      </c>
      <c r="AP357" s="21">
        <f t="shared" ref="AP357:AW357" si="3534">IF($F$290, 0, IF($C$300, IF(AND(COLUMN($AP$357)-COLUMN($B$351)=$Q$291,ROW($AP$357)-ROW($B$351)=$K$291), U$290, AP357), AP357))</f>
        <v>0</v>
      </c>
      <c r="AQ357" s="21">
        <f t="shared" si="3534"/>
        <v>0</v>
      </c>
      <c r="AR357" s="21">
        <f t="shared" si="3534"/>
        <v>0</v>
      </c>
      <c r="AS357" s="21">
        <f t="shared" si="3534"/>
        <v>0</v>
      </c>
      <c r="AT357" s="21">
        <f t="shared" si="3534"/>
        <v>0</v>
      </c>
      <c r="AU357" s="21">
        <f t="shared" si="3534"/>
        <v>0</v>
      </c>
      <c r="AV357" s="21">
        <f t="shared" si="3534"/>
        <v>0</v>
      </c>
      <c r="AW357" s="21">
        <f t="shared" si="3534"/>
        <v>0</v>
      </c>
      <c r="AX357" s="21">
        <f t="shared" ref="AX357:BE357" si="3535">IF($F$290, 0, IF($C$300, IF(AND(COLUMN($AX$357)-COLUMN($B$351)=$Q$291,ROW($AX$357)-ROW($B$351)=$K$291), U$290, AX357), AX357))</f>
        <v>0</v>
      </c>
      <c r="AY357" s="21">
        <f t="shared" si="3535"/>
        <v>0</v>
      </c>
      <c r="AZ357" s="21">
        <f t="shared" si="3535"/>
        <v>0</v>
      </c>
      <c r="BA357" s="21">
        <f t="shared" si="3535"/>
        <v>0</v>
      </c>
      <c r="BB357" s="21">
        <f t="shared" si="3535"/>
        <v>0</v>
      </c>
      <c r="BC357" s="21">
        <f t="shared" si="3535"/>
        <v>0</v>
      </c>
      <c r="BD357" s="21">
        <f t="shared" si="3535"/>
        <v>0</v>
      </c>
      <c r="BE357" s="21">
        <f t="shared" si="3535"/>
        <v>0</v>
      </c>
      <c r="BF357" s="21">
        <f t="shared" ref="BF357:BM357" si="3536">IF($F$290, 0, IF($C$300, IF(AND(COLUMN($BF$357)-COLUMN($B$351)=$Q$291,ROW($BF$357)-ROW($B$351)=$K$291), U$290, BF357), BF357))</f>
        <v>0</v>
      </c>
      <c r="BG357" s="21">
        <f t="shared" si="3536"/>
        <v>0</v>
      </c>
      <c r="BH357" s="21">
        <f t="shared" si="3536"/>
        <v>0</v>
      </c>
      <c r="BI357" s="21">
        <f t="shared" si="3536"/>
        <v>0</v>
      </c>
      <c r="BJ357" s="21">
        <f t="shared" si="3536"/>
        <v>0</v>
      </c>
      <c r="BK357" s="21">
        <f t="shared" si="3536"/>
        <v>0</v>
      </c>
      <c r="BL357" s="21">
        <f t="shared" si="3536"/>
        <v>0</v>
      </c>
      <c r="BM357" s="21">
        <f t="shared" si="3536"/>
        <v>0</v>
      </c>
      <c r="BN357" s="21">
        <f t="shared" ref="BN357:BU357" si="3537">IF($F$290, 0, IF($D$300, IF(AND(COLUMN($BN$357)-COLUMN($BN$351)=$Q$291,ROW($BN$357)-ROW($BN$351)=$K$291), U$290, BN357), BN357))</f>
        <v>0</v>
      </c>
      <c r="BO357" s="21">
        <f t="shared" si="3537"/>
        <v>0</v>
      </c>
      <c r="BP357" s="21">
        <f t="shared" si="3537"/>
        <v>0</v>
      </c>
      <c r="BQ357" s="21">
        <f t="shared" si="3537"/>
        <v>0</v>
      </c>
      <c r="BR357" s="21">
        <f t="shared" si="3537"/>
        <v>0</v>
      </c>
      <c r="BS357" s="21">
        <f t="shared" si="3537"/>
        <v>0</v>
      </c>
      <c r="BT357" s="21">
        <f t="shared" si="3537"/>
        <v>0</v>
      </c>
      <c r="BU357" s="21">
        <f t="shared" si="3537"/>
        <v>0</v>
      </c>
      <c r="BV357" s="21">
        <f t="shared" ref="BV357:CC357" si="3538">IF($F$290, 0, IF($D$300, IF(AND(COLUMN($BV$357)-COLUMN($BN$351)=$Q$291,ROW($BV$357)-ROW($BN$351)=$K$291), U$290, BV357), BV357))</f>
        <v>0</v>
      </c>
      <c r="BW357" s="21">
        <f t="shared" si="3538"/>
        <v>0</v>
      </c>
      <c r="BX357" s="21">
        <f t="shared" si="3538"/>
        <v>0</v>
      </c>
      <c r="BY357" s="21">
        <f t="shared" si="3538"/>
        <v>0</v>
      </c>
      <c r="BZ357" s="21">
        <f t="shared" si="3538"/>
        <v>0</v>
      </c>
      <c r="CA357" s="21">
        <f t="shared" si="3538"/>
        <v>0</v>
      </c>
      <c r="CB357" s="21">
        <f t="shared" si="3538"/>
        <v>0</v>
      </c>
      <c r="CC357" s="21">
        <f t="shared" si="3538"/>
        <v>0</v>
      </c>
      <c r="CD357" s="21">
        <f t="shared" ref="CD357:CK357" si="3539">IF($F$290, 0, IF($D$300, IF(AND(COLUMN($CD$357)-COLUMN($BN$351)=$Q$291,ROW($CD$357)-ROW($BN$351)=$K$291), U$290, CD357), CD357))</f>
        <v>0</v>
      </c>
      <c r="CE357" s="21">
        <f t="shared" si="3539"/>
        <v>0</v>
      </c>
      <c r="CF357" s="21">
        <f t="shared" si="3539"/>
        <v>0</v>
      </c>
      <c r="CG357" s="21">
        <f t="shared" si="3539"/>
        <v>0</v>
      </c>
      <c r="CH357" s="21">
        <f t="shared" si="3539"/>
        <v>0</v>
      </c>
      <c r="CI357" s="21">
        <f t="shared" si="3539"/>
        <v>0</v>
      </c>
      <c r="CJ357" s="21">
        <f t="shared" si="3539"/>
        <v>0</v>
      </c>
      <c r="CK357" s="21">
        <f t="shared" si="3539"/>
        <v>0</v>
      </c>
      <c r="CL357" s="21">
        <f t="shared" ref="CL357:CS357" si="3540">IF($F$290, 0, IF($D$300, IF(AND(COLUMN($CL$357)-COLUMN($BN$351)=$Q$291,ROW($CL$357)-ROW($BN$351)=$K$291), U$290, CL357), CL357))</f>
        <v>0</v>
      </c>
      <c r="CM357" s="21">
        <f t="shared" si="3540"/>
        <v>0</v>
      </c>
      <c r="CN357" s="21">
        <f t="shared" si="3540"/>
        <v>0</v>
      </c>
      <c r="CO357" s="21">
        <f t="shared" si="3540"/>
        <v>0</v>
      </c>
      <c r="CP357" s="21">
        <f t="shared" si="3540"/>
        <v>0</v>
      </c>
      <c r="CQ357" s="21">
        <f t="shared" si="3540"/>
        <v>0</v>
      </c>
      <c r="CR357" s="21">
        <f t="shared" si="3540"/>
        <v>0</v>
      </c>
      <c r="CS357" s="21">
        <f t="shared" si="3540"/>
        <v>0</v>
      </c>
      <c r="CT357" s="21">
        <f t="shared" ref="CT357:DA357" si="3541">IF($F$290, 0, IF($D$300, IF(AND(COLUMN($CT$357)-COLUMN($BN$351)=$Q$291,ROW($CT$357)-ROW($BN$351)=$K$291), U$290, CT357), CT357))</f>
        <v>0</v>
      </c>
      <c r="CU357" s="21">
        <f t="shared" si="3541"/>
        <v>0</v>
      </c>
      <c r="CV357" s="21">
        <f t="shared" si="3541"/>
        <v>0</v>
      </c>
      <c r="CW357" s="21">
        <f t="shared" si="3541"/>
        <v>0</v>
      </c>
      <c r="CX357" s="21">
        <f t="shared" si="3541"/>
        <v>0</v>
      </c>
      <c r="CY357" s="21">
        <f t="shared" si="3541"/>
        <v>0</v>
      </c>
      <c r="CZ357" s="21">
        <f t="shared" si="3541"/>
        <v>0</v>
      </c>
      <c r="DA357" s="21">
        <f t="shared" si="3541"/>
        <v>0</v>
      </c>
      <c r="DB357" s="21">
        <f t="shared" ref="DB357:DI357" si="3542">IF($F$290, 0, IF($D$300, IF(AND(COLUMN($DB$357)-COLUMN($BN$351)=$Q$291,ROW($DB$357)-ROW($BN$351)=$K$291), U$290, DB357), DB357))</f>
        <v>0</v>
      </c>
      <c r="DC357" s="21">
        <f t="shared" si="3542"/>
        <v>0</v>
      </c>
      <c r="DD357" s="21">
        <f t="shared" si="3542"/>
        <v>0</v>
      </c>
      <c r="DE357" s="21">
        <f t="shared" si="3542"/>
        <v>0</v>
      </c>
      <c r="DF357" s="21">
        <f t="shared" si="3542"/>
        <v>0</v>
      </c>
      <c r="DG357" s="21">
        <f t="shared" si="3542"/>
        <v>0</v>
      </c>
      <c r="DH357" s="21">
        <f t="shared" si="3542"/>
        <v>0</v>
      </c>
      <c r="DI357" s="21">
        <f t="shared" si="3542"/>
        <v>0</v>
      </c>
      <c r="DJ357" s="21">
        <f t="shared" ref="DJ357:DQ357" si="3543">IF($F$290, 0, IF($D$300, IF(AND(COLUMN($DJ$357)-COLUMN($BN$351)=$Q$291,ROW($DJ$357)-ROW($BN$351)=$K$291), U$290, DJ357), DJ357))</f>
        <v>0</v>
      </c>
      <c r="DK357" s="21">
        <f t="shared" si="3543"/>
        <v>0</v>
      </c>
      <c r="DL357" s="21">
        <f t="shared" si="3543"/>
        <v>0</v>
      </c>
      <c r="DM357" s="21">
        <f t="shared" si="3543"/>
        <v>0</v>
      </c>
      <c r="DN357" s="21">
        <f t="shared" si="3543"/>
        <v>0</v>
      </c>
      <c r="DO357" s="21">
        <f t="shared" si="3543"/>
        <v>0</v>
      </c>
      <c r="DP357" s="21">
        <f t="shared" si="3543"/>
        <v>0</v>
      </c>
      <c r="DQ357" s="21">
        <f t="shared" si="3543"/>
        <v>0</v>
      </c>
      <c r="DR357" s="21">
        <f t="shared" ref="DR357:DY357" si="3544">IF($F$290, 0, IF($D$300, IF(AND(COLUMN($DR$357)-COLUMN($BN$351)=$Q$291,ROW($DR$357)-ROW($BN$351)=$K$291), U$290, DR357), DR357))</f>
        <v>0</v>
      </c>
      <c r="DS357" s="21">
        <f t="shared" si="3544"/>
        <v>0</v>
      </c>
      <c r="DT357" s="21">
        <f t="shared" si="3544"/>
        <v>0</v>
      </c>
      <c r="DU357" s="21">
        <f t="shared" si="3544"/>
        <v>0</v>
      </c>
      <c r="DV357" s="21">
        <f t="shared" si="3544"/>
        <v>0</v>
      </c>
      <c r="DW357" s="21">
        <f t="shared" si="3544"/>
        <v>0</v>
      </c>
      <c r="DX357" s="21">
        <f t="shared" si="3544"/>
        <v>0</v>
      </c>
      <c r="DY357" s="21">
        <f t="shared" si="3544"/>
        <v>0</v>
      </c>
      <c r="DZ357" s="21">
        <f t="shared" ref="DZ357:EG357" si="3545">IF($F$290, 0, IF($E$300, IF(AND(COLUMN($DZ$357)-COLUMN($DZ$351)=$Q$291,ROW($DZ$357)-ROW($DZ$351)=$K$291), U$290, DZ357), DZ357))</f>
        <v>0</v>
      </c>
      <c r="EA357" s="21">
        <f t="shared" si="3545"/>
        <v>0</v>
      </c>
      <c r="EB357" s="21">
        <f t="shared" si="3545"/>
        <v>0</v>
      </c>
      <c r="EC357" s="21">
        <f t="shared" si="3545"/>
        <v>0</v>
      </c>
      <c r="ED357" s="21">
        <f t="shared" si="3545"/>
        <v>0</v>
      </c>
      <c r="EE357" s="21">
        <f t="shared" si="3545"/>
        <v>0</v>
      </c>
      <c r="EF357" s="21">
        <f t="shared" si="3545"/>
        <v>0</v>
      </c>
      <c r="EG357" s="21">
        <f t="shared" si="3545"/>
        <v>0</v>
      </c>
      <c r="EH357" s="21">
        <f t="shared" ref="EH357:EO357" si="3546">IF($F$290, 0, IF($E$300, IF(AND(COLUMN($EH$357)-COLUMN($DZ$351)=$Q$291,ROW($EH$357)-ROW($DZ$351)=$K$291), U$290, EH357), EH357))</f>
        <v>0</v>
      </c>
      <c r="EI357" s="21">
        <f t="shared" si="3546"/>
        <v>0</v>
      </c>
      <c r="EJ357" s="21">
        <f t="shared" si="3546"/>
        <v>0</v>
      </c>
      <c r="EK357" s="21">
        <f t="shared" si="3546"/>
        <v>0</v>
      </c>
      <c r="EL357" s="21">
        <f t="shared" si="3546"/>
        <v>0</v>
      </c>
      <c r="EM357" s="21">
        <f t="shared" si="3546"/>
        <v>0</v>
      </c>
      <c r="EN357" s="21">
        <f t="shared" si="3546"/>
        <v>0</v>
      </c>
      <c r="EO357" s="21">
        <f t="shared" si="3546"/>
        <v>0</v>
      </c>
      <c r="EP357" s="21">
        <f t="shared" ref="EP357:EW357" si="3547">IF($F$290, 0, IF($E$300, IF(AND(COLUMN($EP$357)-COLUMN($DZ$351)=$Q$291,ROW($EP$357)-ROW($DZ$351)=$K$291), U$290, EP357), EP357))</f>
        <v>0</v>
      </c>
      <c r="EQ357" s="21">
        <f t="shared" si="3547"/>
        <v>0</v>
      </c>
      <c r="ER357" s="21">
        <f t="shared" si="3547"/>
        <v>0</v>
      </c>
      <c r="ES357" s="21">
        <f t="shared" si="3547"/>
        <v>0</v>
      </c>
      <c r="ET357" s="21">
        <f t="shared" si="3547"/>
        <v>0</v>
      </c>
      <c r="EU357" s="21">
        <f t="shared" si="3547"/>
        <v>0</v>
      </c>
      <c r="EV357" s="21">
        <f t="shared" si="3547"/>
        <v>0</v>
      </c>
      <c r="EW357" s="21">
        <f t="shared" si="3547"/>
        <v>0</v>
      </c>
      <c r="EX357" s="21">
        <f t="shared" ref="EX357:FE357" si="3548">IF($F$290, 0, IF($E$300, IF(AND(COLUMN($EX$357)-COLUMN($DZ$351)=$Q$291,ROW($EX$357)-ROW($DZ$351)=$K$291), U$290, EX357), EX357))</f>
        <v>0</v>
      </c>
      <c r="EY357" s="21">
        <f t="shared" si="3548"/>
        <v>0</v>
      </c>
      <c r="EZ357" s="21">
        <f t="shared" si="3548"/>
        <v>0</v>
      </c>
      <c r="FA357" s="21">
        <f t="shared" si="3548"/>
        <v>0</v>
      </c>
      <c r="FB357" s="21">
        <f t="shared" si="3548"/>
        <v>0</v>
      </c>
      <c r="FC357" s="21">
        <f t="shared" si="3548"/>
        <v>0</v>
      </c>
      <c r="FD357" s="21">
        <f t="shared" si="3548"/>
        <v>0</v>
      </c>
      <c r="FE357" s="21">
        <f t="shared" si="3548"/>
        <v>0</v>
      </c>
      <c r="FF357" s="21">
        <f t="shared" ref="FF357:FM357" si="3549">IF($F$290, 0, IF($E$300, IF(AND(COLUMN($FF$357)-COLUMN($DZ$351)=$Q$291,ROW($FF$357)-ROW($DZ$351)=$K$291), U$290, FF357), FF357))</f>
        <v>0</v>
      </c>
      <c r="FG357" s="21">
        <f t="shared" si="3549"/>
        <v>0</v>
      </c>
      <c r="FH357" s="21">
        <f t="shared" si="3549"/>
        <v>0</v>
      </c>
      <c r="FI357" s="21">
        <f t="shared" si="3549"/>
        <v>0</v>
      </c>
      <c r="FJ357" s="21">
        <f t="shared" si="3549"/>
        <v>0</v>
      </c>
      <c r="FK357" s="21">
        <f t="shared" si="3549"/>
        <v>0</v>
      </c>
      <c r="FL357" s="21">
        <f t="shared" si="3549"/>
        <v>0</v>
      </c>
      <c r="FM357" s="21">
        <f t="shared" si="3549"/>
        <v>0</v>
      </c>
      <c r="FN357" s="21">
        <f t="shared" ref="FN357:FU357" si="3550">IF($F$290, 0, IF($E$300, IF(AND(COLUMN($FN$357)-COLUMN($DZ$351)=$Q$291,ROW($FN$357)-ROW($DZ$351)=$K$291), U$290, FN357), FN357))</f>
        <v>0</v>
      </c>
      <c r="FO357" s="21">
        <f t="shared" si="3550"/>
        <v>0</v>
      </c>
      <c r="FP357" s="21">
        <f t="shared" si="3550"/>
        <v>0</v>
      </c>
      <c r="FQ357" s="21">
        <f t="shared" si="3550"/>
        <v>0</v>
      </c>
      <c r="FR357" s="21">
        <f t="shared" si="3550"/>
        <v>0</v>
      </c>
      <c r="FS357" s="21">
        <f t="shared" si="3550"/>
        <v>0</v>
      </c>
      <c r="FT357" s="21">
        <f t="shared" si="3550"/>
        <v>0</v>
      </c>
      <c r="FU357" s="21">
        <f t="shared" si="3550"/>
        <v>0</v>
      </c>
      <c r="FV357" s="21">
        <f t="shared" ref="FV357:GC357" si="3551">IF($F$290, 0, IF($E$300, IF(AND(COLUMN($FV$357)-COLUMN($DZ$351)=$Q$291,ROW($FV$357)-ROW($DZ$351)=$K$291), U$290, FV357), FV357))</f>
        <v>0</v>
      </c>
      <c r="FW357" s="21">
        <f t="shared" si="3551"/>
        <v>0</v>
      </c>
      <c r="FX357" s="21">
        <f t="shared" si="3551"/>
        <v>0</v>
      </c>
      <c r="FY357" s="21">
        <f t="shared" si="3551"/>
        <v>0</v>
      </c>
      <c r="FZ357" s="21">
        <f t="shared" si="3551"/>
        <v>0</v>
      </c>
      <c r="GA357" s="21">
        <f t="shared" si="3551"/>
        <v>0</v>
      </c>
      <c r="GB357" s="21">
        <f t="shared" si="3551"/>
        <v>0</v>
      </c>
      <c r="GC357" s="21">
        <f t="shared" si="3551"/>
        <v>0</v>
      </c>
      <c r="GD357" s="21">
        <f t="shared" ref="GD357:GK357" si="3552">IF($F$290, 0, IF($E$300, IF(AND(COLUMN($GD$357)-COLUMN($DZ$351)=$Q$291,ROW($GD$357)-ROW($DZ$351)=$K$291), U$290, GD357), GD357))</f>
        <v>0</v>
      </c>
      <c r="GE357" s="21">
        <f t="shared" si="3552"/>
        <v>0</v>
      </c>
      <c r="GF357" s="21">
        <f t="shared" si="3552"/>
        <v>0</v>
      </c>
      <c r="GG357" s="21">
        <f t="shared" si="3552"/>
        <v>0</v>
      </c>
      <c r="GH357" s="21">
        <f t="shared" si="3552"/>
        <v>0</v>
      </c>
      <c r="GI357" s="21">
        <f t="shared" si="3552"/>
        <v>0</v>
      </c>
      <c r="GJ357" s="21">
        <f t="shared" si="3552"/>
        <v>0</v>
      </c>
      <c r="GK357" s="21">
        <f t="shared" si="3552"/>
        <v>0</v>
      </c>
      <c r="GL357" s="21">
        <f t="shared" ref="GL357:GS357" si="3553">IF($F$290, 0, IF($F$300, IF(AND(COLUMN($GL$357)-COLUMN($GL$351)=$Q$291,ROW($GL$357)-ROW($GL$351)=$K$291), U$290, GL357), GL357))</f>
        <v>0</v>
      </c>
      <c r="GM357" s="21">
        <f t="shared" si="3553"/>
        <v>0</v>
      </c>
      <c r="GN357" s="21">
        <f t="shared" si="3553"/>
        <v>0</v>
      </c>
      <c r="GO357" s="21">
        <f t="shared" si="3553"/>
        <v>0</v>
      </c>
      <c r="GP357" s="21">
        <f t="shared" si="3553"/>
        <v>0</v>
      </c>
      <c r="GQ357" s="21">
        <f t="shared" si="3553"/>
        <v>0</v>
      </c>
      <c r="GR357" s="21">
        <f t="shared" si="3553"/>
        <v>0</v>
      </c>
      <c r="GS357" s="21">
        <f t="shared" si="3553"/>
        <v>0</v>
      </c>
      <c r="GT357" s="21">
        <f t="shared" ref="GT357:HA357" si="3554">IF($F$290, 0, IF($F$300, IF(AND(COLUMN($GT$357)-COLUMN($GL$351)=$Q$291,ROW($GT$357)-ROW($GL$351)=$K$291), U$290, GT357), GT357))</f>
        <v>0</v>
      </c>
      <c r="GU357" s="21">
        <f t="shared" si="3554"/>
        <v>0</v>
      </c>
      <c r="GV357" s="21">
        <f t="shared" si="3554"/>
        <v>0</v>
      </c>
      <c r="GW357" s="21">
        <f t="shared" si="3554"/>
        <v>0</v>
      </c>
      <c r="GX357" s="21">
        <f t="shared" si="3554"/>
        <v>0</v>
      </c>
      <c r="GY357" s="21">
        <f t="shared" si="3554"/>
        <v>0</v>
      </c>
      <c r="GZ357" s="21">
        <f t="shared" si="3554"/>
        <v>0</v>
      </c>
      <c r="HA357" s="21">
        <f t="shared" si="3554"/>
        <v>0</v>
      </c>
      <c r="HB357" s="21">
        <f t="shared" ref="HB357:HI357" si="3555">IF($F$290, 0, IF($F$300, IF(AND(COLUMN($HB$357)-COLUMN($GL$351)=$Q$291,ROW($HB$357)-ROW($GL$351)=$K$291), U$290, HB357), HB357))</f>
        <v>0</v>
      </c>
      <c r="HC357" s="21">
        <f t="shared" si="3555"/>
        <v>0</v>
      </c>
      <c r="HD357" s="21">
        <f t="shared" si="3555"/>
        <v>0</v>
      </c>
      <c r="HE357" s="21">
        <f t="shared" si="3555"/>
        <v>0</v>
      </c>
      <c r="HF357" s="21">
        <f t="shared" si="3555"/>
        <v>0</v>
      </c>
      <c r="HG357" s="21">
        <f t="shared" si="3555"/>
        <v>0</v>
      </c>
      <c r="HH357" s="21">
        <f t="shared" si="3555"/>
        <v>0</v>
      </c>
      <c r="HI357" s="21">
        <f t="shared" si="3555"/>
        <v>0</v>
      </c>
      <c r="HJ357" s="21">
        <f t="shared" ref="HJ357:HQ357" si="3556">IF($F$290, 0, IF($F$300, IF(AND(COLUMN($HJ$357)-COLUMN($GL$351)=$Q$291,ROW($HJ$357)-ROW($GL$351)=$K$291), U$290, HJ357), HJ357))</f>
        <v>0</v>
      </c>
      <c r="HK357" s="21">
        <f t="shared" si="3556"/>
        <v>0</v>
      </c>
      <c r="HL357" s="21">
        <f t="shared" si="3556"/>
        <v>0</v>
      </c>
      <c r="HM357" s="21">
        <f t="shared" si="3556"/>
        <v>0</v>
      </c>
      <c r="HN357" s="21">
        <f t="shared" si="3556"/>
        <v>0</v>
      </c>
      <c r="HO357" s="21">
        <f t="shared" si="3556"/>
        <v>0</v>
      </c>
      <c r="HP357" s="21">
        <f t="shared" si="3556"/>
        <v>0</v>
      </c>
      <c r="HQ357" s="21">
        <f t="shared" si="3556"/>
        <v>0</v>
      </c>
      <c r="HR357" s="21">
        <f t="shared" ref="HR357:HY357" si="3557">IF($F$290, 0, IF($F$300, IF(AND(COLUMN($HR$357)-COLUMN($GL$351)=$Q$291,ROW($HR$357)-ROW($GL$351)=$K$291), U$290, HR357), HR357))</f>
        <v>0</v>
      </c>
      <c r="HS357" s="21">
        <f t="shared" si="3557"/>
        <v>0</v>
      </c>
      <c r="HT357" s="21">
        <f t="shared" si="3557"/>
        <v>0</v>
      </c>
      <c r="HU357" s="21">
        <f t="shared" si="3557"/>
        <v>0</v>
      </c>
      <c r="HV357" s="21">
        <f t="shared" si="3557"/>
        <v>0</v>
      </c>
      <c r="HW357" s="21">
        <f t="shared" si="3557"/>
        <v>0</v>
      </c>
      <c r="HX357" s="21">
        <f t="shared" si="3557"/>
        <v>0</v>
      </c>
      <c r="HY357" s="21">
        <f t="shared" si="3557"/>
        <v>0</v>
      </c>
      <c r="HZ357" s="21">
        <f t="shared" ref="HZ357:IG357" si="3558">IF($F$290, 0, IF($F$300, IF(AND(COLUMN($HZ$357)-COLUMN($GL$351)=$Q$291,ROW($HZ$357)-ROW($GL$351)=$K$291), U$290, HZ357), HZ357))</f>
        <v>0</v>
      </c>
      <c r="IA357" s="21">
        <f t="shared" si="3558"/>
        <v>0</v>
      </c>
      <c r="IB357" s="21">
        <f t="shared" si="3558"/>
        <v>0</v>
      </c>
      <c r="IC357" s="21">
        <f t="shared" si="3558"/>
        <v>0</v>
      </c>
      <c r="ID357" s="21">
        <f t="shared" si="3558"/>
        <v>0</v>
      </c>
      <c r="IE357" s="21">
        <f t="shared" si="3558"/>
        <v>0</v>
      </c>
      <c r="IF357" s="21">
        <f t="shared" si="3558"/>
        <v>0</v>
      </c>
      <c r="IG357" s="21">
        <f t="shared" si="3558"/>
        <v>0</v>
      </c>
      <c r="IH357" s="21">
        <f t="shared" ref="IH357:IO357" si="3559">IF($F$290, 0, IF($F$300, IF(AND(COLUMN($IH$357)-COLUMN($GL$351)=$Q$291,ROW($IH$357)-ROW($GL$351)=$K$291), U$290, IH357), IH357))</f>
        <v>0</v>
      </c>
      <c r="II357" s="21">
        <f t="shared" si="3559"/>
        <v>0</v>
      </c>
      <c r="IJ357" s="21">
        <f t="shared" si="3559"/>
        <v>0</v>
      </c>
      <c r="IK357" s="21">
        <f t="shared" si="3559"/>
        <v>0</v>
      </c>
      <c r="IL357" s="21">
        <f t="shared" si="3559"/>
        <v>0</v>
      </c>
      <c r="IM357" s="21">
        <f t="shared" si="3559"/>
        <v>0</v>
      </c>
      <c r="IN357" s="21">
        <f t="shared" si="3559"/>
        <v>0</v>
      </c>
      <c r="IO357" s="21">
        <f t="shared" si="3559"/>
        <v>0</v>
      </c>
      <c r="IP357" s="21">
        <f t="shared" ref="IP357:IW357" si="3560">IF($F$290, 0, IF($F$300, IF(AND(COLUMN($IP$357)-COLUMN($GL$351)=$Q$291,ROW($IP$357)-ROW($GL$351)=$K$291), U$290, IP357), IP357))</f>
        <v>0</v>
      </c>
      <c r="IQ357" s="21">
        <f t="shared" si="3560"/>
        <v>0</v>
      </c>
      <c r="IR357" s="21">
        <f t="shared" si="3560"/>
        <v>0</v>
      </c>
      <c r="IS357" s="21">
        <f t="shared" si="3560"/>
        <v>0</v>
      </c>
      <c r="IT357" s="21">
        <f t="shared" si="3560"/>
        <v>0</v>
      </c>
      <c r="IU357" s="21">
        <f t="shared" si="3560"/>
        <v>0</v>
      </c>
      <c r="IV357" s="21">
        <f t="shared" si="3560"/>
        <v>0</v>
      </c>
      <c r="IW357" s="21">
        <f t="shared" si="3560"/>
        <v>0</v>
      </c>
      <c r="IX357" s="21">
        <f t="shared" ref="IX357:JE357" si="3561">IF($F$290, 0, IF($G$300, IF(AND(COLUMN($IX$357)-COLUMN($IX$351)=$Q$291,ROW($IX$357)-ROW($IX$351)=$K$291), U$290, IX357), IX357))</f>
        <v>0</v>
      </c>
      <c r="IY357" s="21">
        <f t="shared" si="3561"/>
        <v>0</v>
      </c>
      <c r="IZ357" s="21">
        <f t="shared" si="3561"/>
        <v>0</v>
      </c>
      <c r="JA357" s="21">
        <f t="shared" si="3561"/>
        <v>0</v>
      </c>
      <c r="JB357" s="21">
        <f t="shared" si="3561"/>
        <v>0</v>
      </c>
      <c r="JC357" s="21">
        <f t="shared" si="3561"/>
        <v>0</v>
      </c>
      <c r="JD357" s="21">
        <f t="shared" si="3561"/>
        <v>0</v>
      </c>
      <c r="JE357" s="21">
        <f t="shared" si="3561"/>
        <v>0</v>
      </c>
      <c r="JF357" s="21">
        <f t="shared" ref="JF357:JM357" si="3562">IF($F$290, 0, IF($G$300, IF(AND(COLUMN($JF$357)-COLUMN($IX$351)=$Q$291,ROW($JF$357)-ROW($IX$351)=$K$291), U$290, JF357), JF357))</f>
        <v>0</v>
      </c>
      <c r="JG357" s="21">
        <f t="shared" si="3562"/>
        <v>0</v>
      </c>
      <c r="JH357" s="21">
        <f t="shared" si="3562"/>
        <v>0</v>
      </c>
      <c r="JI357" s="21">
        <f t="shared" si="3562"/>
        <v>0</v>
      </c>
      <c r="JJ357" s="21">
        <f t="shared" si="3562"/>
        <v>0</v>
      </c>
      <c r="JK357" s="21">
        <f t="shared" si="3562"/>
        <v>0</v>
      </c>
      <c r="JL357" s="21">
        <f t="shared" si="3562"/>
        <v>0</v>
      </c>
      <c r="JM357" s="21">
        <f t="shared" si="3562"/>
        <v>0</v>
      </c>
      <c r="JN357" s="21">
        <f t="shared" ref="JN357:JU357" si="3563">IF($F$290, 0, IF($G$300, IF(AND(COLUMN($JN$357)-COLUMN($IX$351)=$Q$291,ROW($JN$357)-ROW($IX$351)=$K$291), U$290, JN357), JN357))</f>
        <v>0</v>
      </c>
      <c r="JO357" s="21">
        <f t="shared" si="3563"/>
        <v>0</v>
      </c>
      <c r="JP357" s="21">
        <f t="shared" si="3563"/>
        <v>0</v>
      </c>
      <c r="JQ357" s="21">
        <f t="shared" si="3563"/>
        <v>0</v>
      </c>
      <c r="JR357" s="21">
        <f t="shared" si="3563"/>
        <v>0</v>
      </c>
      <c r="JS357" s="21">
        <f t="shared" si="3563"/>
        <v>0</v>
      </c>
      <c r="JT357" s="21">
        <f t="shared" si="3563"/>
        <v>0</v>
      </c>
      <c r="JU357" s="21">
        <f t="shared" si="3563"/>
        <v>0</v>
      </c>
      <c r="JV357" s="21">
        <f t="shared" ref="JV357:KC357" si="3564">IF($F$290, 0, IF($G$300, IF(AND(COLUMN($JV$357)-COLUMN($IX$351)=$Q$291,ROW($JV$357)-ROW($IX$351)=$K$291), U$290, JV357), JV357))</f>
        <v>0</v>
      </c>
      <c r="JW357" s="21">
        <f t="shared" si="3564"/>
        <v>0</v>
      </c>
      <c r="JX357" s="21">
        <f t="shared" si="3564"/>
        <v>0</v>
      </c>
      <c r="JY357" s="21">
        <f t="shared" si="3564"/>
        <v>0</v>
      </c>
      <c r="JZ357" s="21">
        <f t="shared" si="3564"/>
        <v>0</v>
      </c>
      <c r="KA357" s="21">
        <f t="shared" si="3564"/>
        <v>0</v>
      </c>
      <c r="KB357" s="21">
        <f t="shared" si="3564"/>
        <v>0</v>
      </c>
      <c r="KC357" s="21">
        <f t="shared" si="3564"/>
        <v>0</v>
      </c>
      <c r="KD357" s="21">
        <f t="shared" ref="KD357:KK357" si="3565">IF($F$290, 0, IF($G$300, IF(AND(COLUMN($KD$357)-COLUMN($IX$351)=$Q$291,ROW($KD$357)-ROW($IX$351)=$K$291), U$290, KD357), KD357))</f>
        <v>0</v>
      </c>
      <c r="KE357" s="21">
        <f t="shared" si="3565"/>
        <v>0</v>
      </c>
      <c r="KF357" s="21">
        <f t="shared" si="3565"/>
        <v>0</v>
      </c>
      <c r="KG357" s="21">
        <f t="shared" si="3565"/>
        <v>0</v>
      </c>
      <c r="KH357" s="21">
        <f t="shared" si="3565"/>
        <v>0</v>
      </c>
      <c r="KI357" s="21">
        <f t="shared" si="3565"/>
        <v>0</v>
      </c>
      <c r="KJ357" s="21">
        <f t="shared" si="3565"/>
        <v>0</v>
      </c>
      <c r="KK357" s="21">
        <f t="shared" si="3565"/>
        <v>0</v>
      </c>
      <c r="KL357" s="21">
        <f t="shared" ref="KL357:KS357" si="3566">IF($F$290, 0, IF($G$300, IF(AND(COLUMN($KL$357)-COLUMN($IX$351)=$Q$291,ROW($KL$357)-ROW($IX$351)=$K$291), U$290, KL357), KL357))</f>
        <v>0</v>
      </c>
      <c r="KM357" s="21">
        <f t="shared" si="3566"/>
        <v>0</v>
      </c>
      <c r="KN357" s="21">
        <f t="shared" si="3566"/>
        <v>0</v>
      </c>
      <c r="KO357" s="21">
        <f t="shared" si="3566"/>
        <v>0</v>
      </c>
      <c r="KP357" s="21">
        <f t="shared" si="3566"/>
        <v>0</v>
      </c>
      <c r="KQ357" s="21">
        <f t="shared" si="3566"/>
        <v>0</v>
      </c>
      <c r="KR357" s="21">
        <f t="shared" si="3566"/>
        <v>0</v>
      </c>
      <c r="KS357" s="21">
        <f t="shared" si="3566"/>
        <v>0</v>
      </c>
      <c r="KT357" s="21">
        <f t="shared" ref="KT357:LA357" si="3567">IF($F$290, 0, IF($G$300, IF(AND(COLUMN($KT$357)-COLUMN($IX$351)=$Q$291,ROW($KT$357)-ROW($IX$351)=$K$291), U$290, KT357), KT357))</f>
        <v>0</v>
      </c>
      <c r="KU357" s="21">
        <f t="shared" si="3567"/>
        <v>0</v>
      </c>
      <c r="KV357" s="21">
        <f t="shared" si="3567"/>
        <v>0</v>
      </c>
      <c r="KW357" s="21">
        <f t="shared" si="3567"/>
        <v>0</v>
      </c>
      <c r="KX357" s="21">
        <f t="shared" si="3567"/>
        <v>0</v>
      </c>
      <c r="KY357" s="21">
        <f t="shared" si="3567"/>
        <v>0</v>
      </c>
      <c r="KZ357" s="21">
        <f t="shared" si="3567"/>
        <v>0</v>
      </c>
      <c r="LA357" s="21">
        <f t="shared" si="3567"/>
        <v>0</v>
      </c>
      <c r="LB357" s="21">
        <f t="shared" ref="LB357:LI357" si="3568">IF($F$290, 0, IF($G$300, IF(AND(COLUMN($LB$357)-COLUMN($IX$351)=$Q$291,ROW($LB$357)-ROW($IX$351)=$K$291), U$290, LB357), LB357))</f>
        <v>0</v>
      </c>
      <c r="LC357" s="21">
        <f t="shared" si="3568"/>
        <v>0</v>
      </c>
      <c r="LD357" s="21">
        <f t="shared" si="3568"/>
        <v>0</v>
      </c>
      <c r="LE357" s="21">
        <f t="shared" si="3568"/>
        <v>0</v>
      </c>
      <c r="LF357" s="21">
        <f t="shared" si="3568"/>
        <v>0</v>
      </c>
      <c r="LG357" s="21">
        <f t="shared" si="3568"/>
        <v>0</v>
      </c>
      <c r="LH357" s="21">
        <f t="shared" si="3568"/>
        <v>0</v>
      </c>
      <c r="LI357" s="21">
        <f t="shared" si="3568"/>
        <v>0</v>
      </c>
      <c r="LJ357" s="21">
        <f t="shared" ref="LJ357:LQ357" si="3569">IF($F$290, 0, IF($H$300, IF(AND(COLUMN($LJ$357)-COLUMN($LJ$351)=$Q$291,ROW($LJ$357)-ROW($LJ$351)=$K$291), U$290, LJ357), LJ357))</f>
        <v>0</v>
      </c>
      <c r="LK357" s="21">
        <f t="shared" si="3569"/>
        <v>0</v>
      </c>
      <c r="LL357" s="21">
        <f t="shared" si="3569"/>
        <v>0</v>
      </c>
      <c r="LM357" s="21">
        <f t="shared" si="3569"/>
        <v>0</v>
      </c>
      <c r="LN357" s="21">
        <f t="shared" si="3569"/>
        <v>0</v>
      </c>
      <c r="LO357" s="21">
        <f t="shared" si="3569"/>
        <v>0</v>
      </c>
      <c r="LP357" s="21">
        <f t="shared" si="3569"/>
        <v>0</v>
      </c>
      <c r="LQ357" s="21">
        <f t="shared" si="3569"/>
        <v>0</v>
      </c>
      <c r="LR357" s="21">
        <f t="shared" ref="LR357:LY357" si="3570">IF($F$290, 0, IF($H$300, IF(AND(COLUMN($LR$357)-COLUMN($LJ$351)=$Q$291,ROW($LR$357)-ROW($LJ$351)=$K$291), U$290, LR357), LR357))</f>
        <v>0</v>
      </c>
      <c r="LS357" s="21">
        <f t="shared" si="3570"/>
        <v>0</v>
      </c>
      <c r="LT357" s="21">
        <f t="shared" si="3570"/>
        <v>0</v>
      </c>
      <c r="LU357" s="21">
        <f t="shared" si="3570"/>
        <v>0</v>
      </c>
      <c r="LV357" s="21">
        <f t="shared" si="3570"/>
        <v>0</v>
      </c>
      <c r="LW357" s="21">
        <f t="shared" si="3570"/>
        <v>0</v>
      </c>
      <c r="LX357" s="21">
        <f t="shared" si="3570"/>
        <v>0</v>
      </c>
      <c r="LY357" s="21">
        <f t="shared" si="3570"/>
        <v>0</v>
      </c>
      <c r="LZ357" s="21">
        <f t="shared" ref="LZ357:MG357" si="3571">IF($F$290, 0, IF($H$300, IF(AND(COLUMN($LZ$357)-COLUMN($LJ$351)=$Q$291,ROW($LZ$357)-ROW($LJ$351)=$K$291), U$290, LZ357), LZ357))</f>
        <v>0</v>
      </c>
      <c r="MA357" s="21">
        <f t="shared" si="3571"/>
        <v>0</v>
      </c>
      <c r="MB357" s="21">
        <f t="shared" si="3571"/>
        <v>0</v>
      </c>
      <c r="MC357" s="21">
        <f t="shared" si="3571"/>
        <v>0</v>
      </c>
      <c r="MD357" s="21">
        <f t="shared" si="3571"/>
        <v>0</v>
      </c>
      <c r="ME357" s="21">
        <f t="shared" si="3571"/>
        <v>0</v>
      </c>
      <c r="MF357" s="21">
        <f t="shared" si="3571"/>
        <v>0</v>
      </c>
      <c r="MG357" s="21">
        <f t="shared" si="3571"/>
        <v>0</v>
      </c>
      <c r="MH357" s="21">
        <f t="shared" ref="MH357:MO357" si="3572">IF($F$290, 0, IF($H$300, IF(AND(COLUMN($MH$357)-COLUMN($LJ$351)=$Q$291,ROW($MH$357)-ROW($LJ$351)=$K$291), U$290, MH357), MH357))</f>
        <v>0</v>
      </c>
      <c r="MI357" s="21">
        <f t="shared" si="3572"/>
        <v>0</v>
      </c>
      <c r="MJ357" s="21">
        <f t="shared" si="3572"/>
        <v>0</v>
      </c>
      <c r="MK357" s="21">
        <f t="shared" si="3572"/>
        <v>0</v>
      </c>
      <c r="ML357" s="21">
        <f t="shared" si="3572"/>
        <v>0</v>
      </c>
      <c r="MM357" s="21">
        <f t="shared" si="3572"/>
        <v>0</v>
      </c>
      <c r="MN357" s="21">
        <f t="shared" si="3572"/>
        <v>0</v>
      </c>
      <c r="MO357" s="21">
        <f t="shared" si="3572"/>
        <v>0</v>
      </c>
      <c r="MP357" s="21">
        <f t="shared" ref="MP357:MW357" si="3573">IF($F$290, 0, IF($H$300, IF(AND(COLUMN($MP$357)-COLUMN($LJ$351)=$Q$291,ROW($MP$357)-ROW($LJ$351)=$K$291), U$290, MP357), MP357))</f>
        <v>0</v>
      </c>
      <c r="MQ357" s="21">
        <f t="shared" si="3573"/>
        <v>0</v>
      </c>
      <c r="MR357" s="21">
        <f t="shared" si="3573"/>
        <v>0</v>
      </c>
      <c r="MS357" s="21">
        <f t="shared" si="3573"/>
        <v>0</v>
      </c>
      <c r="MT357" s="21">
        <f t="shared" si="3573"/>
        <v>0</v>
      </c>
      <c r="MU357" s="21">
        <f t="shared" si="3573"/>
        <v>0</v>
      </c>
      <c r="MV357" s="21">
        <f t="shared" si="3573"/>
        <v>0</v>
      </c>
      <c r="MW357" s="21">
        <f t="shared" si="3573"/>
        <v>0</v>
      </c>
      <c r="MX357" s="21">
        <f t="shared" ref="MX357:NE357" si="3574">IF($F$290, 0, IF($H$300, IF(AND(COLUMN($MX$357)-COLUMN($LJ$351)=$Q$291,ROW($MX$357)-ROW($LJ$351)=$K$291), U$290, MX357), MX357))</f>
        <v>0</v>
      </c>
      <c r="MY357" s="21">
        <f t="shared" si="3574"/>
        <v>0</v>
      </c>
      <c r="MZ357" s="21">
        <f t="shared" si="3574"/>
        <v>0</v>
      </c>
      <c r="NA357" s="21">
        <f t="shared" si="3574"/>
        <v>0</v>
      </c>
      <c r="NB357" s="21">
        <f t="shared" si="3574"/>
        <v>0</v>
      </c>
      <c r="NC357" s="21">
        <f t="shared" si="3574"/>
        <v>0</v>
      </c>
      <c r="ND357" s="21">
        <f t="shared" si="3574"/>
        <v>0</v>
      </c>
      <c r="NE357" s="21">
        <f t="shared" si="3574"/>
        <v>0</v>
      </c>
      <c r="NF357" s="21">
        <f t="shared" ref="NF357:NM357" si="3575">IF($F$290, 0, IF($H$300, IF(AND(COLUMN($NF$357)-COLUMN($LJ$351)=$Q$291,ROW($NF$357)-ROW($LJ$351)=$K$291), U$290, NF357), NF357))</f>
        <v>0</v>
      </c>
      <c r="NG357" s="21">
        <f t="shared" si="3575"/>
        <v>0</v>
      </c>
      <c r="NH357" s="21">
        <f t="shared" si="3575"/>
        <v>0</v>
      </c>
      <c r="NI357" s="21">
        <f t="shared" si="3575"/>
        <v>0</v>
      </c>
      <c r="NJ357" s="21">
        <f t="shared" si="3575"/>
        <v>0</v>
      </c>
      <c r="NK357" s="21">
        <f t="shared" si="3575"/>
        <v>0</v>
      </c>
      <c r="NL357" s="21">
        <f t="shared" si="3575"/>
        <v>0</v>
      </c>
      <c r="NM357" s="21">
        <f t="shared" si="3575"/>
        <v>0</v>
      </c>
      <c r="NN357" s="21">
        <f t="shared" ref="NN357:NU357" si="3576">IF($F$290, 0, IF($H$300, IF(AND(COLUMN($NN$357)-COLUMN($LJ$351)=$Q$291,ROW($NN$357)-ROW($LJ$351)=$K$291), U$290, NN357), NN357))</f>
        <v>0</v>
      </c>
      <c r="NO357" s="21">
        <f t="shared" si="3576"/>
        <v>0</v>
      </c>
      <c r="NP357" s="21">
        <f t="shared" si="3576"/>
        <v>0</v>
      </c>
      <c r="NQ357" s="21">
        <f t="shared" si="3576"/>
        <v>0</v>
      </c>
      <c r="NR357" s="21">
        <f t="shared" si="3576"/>
        <v>0</v>
      </c>
      <c r="NS357" s="21">
        <f t="shared" si="3576"/>
        <v>0</v>
      </c>
      <c r="NT357" s="21">
        <f t="shared" si="3576"/>
        <v>0</v>
      </c>
      <c r="NU357" s="21">
        <f t="shared" si="3576"/>
        <v>0</v>
      </c>
      <c r="NV357" s="21">
        <f t="shared" ref="NV357:OC357" si="3577">IF($F$290, 0, IF($I$300, IF(AND(COLUMN($NV$357)-COLUMN($NV$351)=$Q$291,ROW($NV$357)-ROW($NV$351)=$K$291), U$290, NV357), NV357))</f>
        <v>0</v>
      </c>
      <c r="NW357" s="21">
        <f t="shared" si="3577"/>
        <v>0</v>
      </c>
      <c r="NX357" s="21">
        <f t="shared" si="3577"/>
        <v>0</v>
      </c>
      <c r="NY357" s="21">
        <f t="shared" si="3577"/>
        <v>0</v>
      </c>
      <c r="NZ357" s="21">
        <f t="shared" si="3577"/>
        <v>0</v>
      </c>
      <c r="OA357" s="21">
        <f t="shared" si="3577"/>
        <v>0</v>
      </c>
      <c r="OB357" s="21">
        <f t="shared" si="3577"/>
        <v>0</v>
      </c>
      <c r="OC357" s="21">
        <f t="shared" si="3577"/>
        <v>0</v>
      </c>
      <c r="OD357" s="21">
        <f t="shared" ref="OD357:OK357" si="3578">IF($F$290, 0, IF($I$300, IF(AND(COLUMN($OD$357)-COLUMN($NV$351)=$Q$291,ROW($OD$357)-ROW($NV$351)=$K$291), U$290, OD357), OD357))</f>
        <v>0</v>
      </c>
      <c r="OE357" s="21">
        <f t="shared" si="3578"/>
        <v>0</v>
      </c>
      <c r="OF357" s="21">
        <f t="shared" si="3578"/>
        <v>0</v>
      </c>
      <c r="OG357" s="21">
        <f t="shared" si="3578"/>
        <v>0</v>
      </c>
      <c r="OH357" s="21">
        <f t="shared" si="3578"/>
        <v>0</v>
      </c>
      <c r="OI357" s="21">
        <f t="shared" si="3578"/>
        <v>0</v>
      </c>
      <c r="OJ357" s="21">
        <f t="shared" si="3578"/>
        <v>0</v>
      </c>
      <c r="OK357" s="21">
        <f t="shared" si="3578"/>
        <v>0</v>
      </c>
      <c r="OL357" s="21">
        <f t="shared" ref="OL357:OS357" si="3579">IF($F$290, 0, IF($I$300, IF(AND(COLUMN($OL$357)-COLUMN($NV$351)=$Q$291,ROW($OL$357)-ROW($NV$351)=$K$291), U$290, OL357), OL357))</f>
        <v>0</v>
      </c>
      <c r="OM357" s="21">
        <f t="shared" si="3579"/>
        <v>0</v>
      </c>
      <c r="ON357" s="21">
        <f t="shared" si="3579"/>
        <v>0</v>
      </c>
      <c r="OO357" s="21">
        <f t="shared" si="3579"/>
        <v>0</v>
      </c>
      <c r="OP357" s="21">
        <f t="shared" si="3579"/>
        <v>0</v>
      </c>
      <c r="OQ357" s="21">
        <f t="shared" si="3579"/>
        <v>0</v>
      </c>
      <c r="OR357" s="21">
        <f t="shared" si="3579"/>
        <v>0</v>
      </c>
      <c r="OS357" s="21">
        <f t="shared" si="3579"/>
        <v>0</v>
      </c>
      <c r="OT357" s="21">
        <f t="shared" ref="OT357:PA357" si="3580">IF($F$290, 0, IF($I$300, IF(AND(COLUMN($OT$357)-COLUMN($NV$351)=$Q$291,ROW($OT$357)-ROW($NV$351)=$K$291), U$290, OT357), OT357))</f>
        <v>0</v>
      </c>
      <c r="OU357" s="21">
        <f t="shared" si="3580"/>
        <v>0</v>
      </c>
      <c r="OV357" s="21">
        <f t="shared" si="3580"/>
        <v>0</v>
      </c>
      <c r="OW357" s="21">
        <f t="shared" si="3580"/>
        <v>0</v>
      </c>
      <c r="OX357" s="21">
        <f t="shared" si="3580"/>
        <v>0</v>
      </c>
      <c r="OY357" s="21">
        <f t="shared" si="3580"/>
        <v>0</v>
      </c>
      <c r="OZ357" s="21">
        <f t="shared" si="3580"/>
        <v>0</v>
      </c>
      <c r="PA357" s="21">
        <f t="shared" si="3580"/>
        <v>0</v>
      </c>
      <c r="PB357" s="21">
        <f t="shared" ref="PB357:PI357" si="3581">IF($F$290, 0, IF($I$300, IF(AND(COLUMN($PB$357)-COLUMN($NV$351)=$Q$291,ROW($PB$357)-ROW($NV$351)=$K$291), U$290, PB357), PB357))</f>
        <v>0</v>
      </c>
      <c r="PC357" s="21">
        <f t="shared" si="3581"/>
        <v>0</v>
      </c>
      <c r="PD357" s="21">
        <f t="shared" si="3581"/>
        <v>0</v>
      </c>
      <c r="PE357" s="21">
        <f t="shared" si="3581"/>
        <v>0</v>
      </c>
      <c r="PF357" s="21">
        <f t="shared" si="3581"/>
        <v>0</v>
      </c>
      <c r="PG357" s="21">
        <f t="shared" si="3581"/>
        <v>0</v>
      </c>
      <c r="PH357" s="21">
        <f t="shared" si="3581"/>
        <v>0</v>
      </c>
      <c r="PI357" s="21">
        <f t="shared" si="3581"/>
        <v>0</v>
      </c>
      <c r="PJ357" s="21">
        <f t="shared" ref="PJ357:PQ357" si="3582">IF($F$290, 0, IF($I$300, IF(AND(COLUMN($PJ$357)-COLUMN($NV$351)=$Q$291,ROW($PJ$357)-ROW($NV$351)=$K$291), U$290, PJ357), PJ357))</f>
        <v>0</v>
      </c>
      <c r="PK357" s="21">
        <f t="shared" si="3582"/>
        <v>0</v>
      </c>
      <c r="PL357" s="21">
        <f t="shared" si="3582"/>
        <v>0</v>
      </c>
      <c r="PM357" s="21">
        <f t="shared" si="3582"/>
        <v>0</v>
      </c>
      <c r="PN357" s="21">
        <f t="shared" si="3582"/>
        <v>0</v>
      </c>
      <c r="PO357" s="21">
        <f t="shared" si="3582"/>
        <v>0</v>
      </c>
      <c r="PP357" s="21">
        <f t="shared" si="3582"/>
        <v>0</v>
      </c>
      <c r="PQ357" s="21">
        <f t="shared" si="3582"/>
        <v>0</v>
      </c>
      <c r="PR357" s="21">
        <f t="shared" ref="PR357:PY357" si="3583">IF($F$290, 0, IF($I$300, IF(AND(COLUMN($PR$357)-COLUMN($NV$351)=$Q$291,ROW($PR$357)-ROW($NV$351)=$K$291), U$290, PR357), PR357))</f>
        <v>0</v>
      </c>
      <c r="PS357" s="21">
        <f t="shared" si="3583"/>
        <v>0</v>
      </c>
      <c r="PT357" s="21">
        <f t="shared" si="3583"/>
        <v>0</v>
      </c>
      <c r="PU357" s="21">
        <f t="shared" si="3583"/>
        <v>0</v>
      </c>
      <c r="PV357" s="21">
        <f t="shared" si="3583"/>
        <v>0</v>
      </c>
      <c r="PW357" s="21">
        <f t="shared" si="3583"/>
        <v>0</v>
      </c>
      <c r="PX357" s="21">
        <f t="shared" si="3583"/>
        <v>0</v>
      </c>
      <c r="PY357" s="21">
        <f t="shared" si="3583"/>
        <v>0</v>
      </c>
      <c r="PZ357" s="21">
        <f t="shared" ref="PZ357:QG357" si="3584">IF($F$290, 0, IF($I$300, IF(AND(COLUMN($PZ$357)-COLUMN($NV$351)=$Q$291,ROW($PZ$357)-ROW($NV$351)=$K$291), U$290, PZ357), PZ357))</f>
        <v>0</v>
      </c>
      <c r="QA357" s="21">
        <f t="shared" si="3584"/>
        <v>0</v>
      </c>
      <c r="QB357" s="21">
        <f t="shared" si="3584"/>
        <v>0</v>
      </c>
      <c r="QC357" s="21">
        <f t="shared" si="3584"/>
        <v>0</v>
      </c>
      <c r="QD357" s="21">
        <f t="shared" si="3584"/>
        <v>0</v>
      </c>
      <c r="QE357" s="21">
        <f t="shared" si="3584"/>
        <v>0</v>
      </c>
      <c r="QF357" s="21">
        <f t="shared" si="3584"/>
        <v>0</v>
      </c>
      <c r="QG357" s="21">
        <f t="shared" si="3584"/>
        <v>0</v>
      </c>
      <c r="QH357" s="21">
        <f t="shared" ref="QH357:QO357" si="3585">IF($F$290, 0, IF($J$300, IF(AND(COLUMN($QH$357)-COLUMN($QH$351)=$Q$291,ROW($QH$357)-ROW($QH$351)=$K$291), U$290, QH357), QH357))</f>
        <v>0</v>
      </c>
      <c r="QI357" s="21">
        <f t="shared" si="3585"/>
        <v>0</v>
      </c>
      <c r="QJ357" s="21">
        <f t="shared" si="3585"/>
        <v>0</v>
      </c>
      <c r="QK357" s="21">
        <f t="shared" si="3585"/>
        <v>0</v>
      </c>
      <c r="QL357" s="21">
        <f t="shared" si="3585"/>
        <v>0</v>
      </c>
      <c r="QM357" s="21">
        <f t="shared" si="3585"/>
        <v>0</v>
      </c>
      <c r="QN357" s="21">
        <f t="shared" si="3585"/>
        <v>0</v>
      </c>
      <c r="QO357" s="21">
        <f t="shared" si="3585"/>
        <v>0</v>
      </c>
      <c r="QP357" s="21">
        <f t="shared" ref="QP357:QW357" si="3586">IF($F$290, 0, IF($J$300, IF(AND(COLUMN($QP$357)-COLUMN($QH$351)=$Q$291,ROW($QP$357)-ROW($QH$351)=$K$291), U$290, QP357), QP357))</f>
        <v>0</v>
      </c>
      <c r="QQ357" s="21">
        <f t="shared" si="3586"/>
        <v>0</v>
      </c>
      <c r="QR357" s="21">
        <f t="shared" si="3586"/>
        <v>0</v>
      </c>
      <c r="QS357" s="21">
        <f t="shared" si="3586"/>
        <v>0</v>
      </c>
      <c r="QT357" s="21">
        <f t="shared" si="3586"/>
        <v>0</v>
      </c>
      <c r="QU357" s="21">
        <f t="shared" si="3586"/>
        <v>0</v>
      </c>
      <c r="QV357" s="21">
        <f t="shared" si="3586"/>
        <v>0</v>
      </c>
      <c r="QW357" s="21">
        <f t="shared" si="3586"/>
        <v>0</v>
      </c>
      <c r="QX357" s="21">
        <f t="shared" ref="QX357:RE357" si="3587">IF($F$290, 0, IF($J$300, IF(AND(COLUMN($QX$357)-COLUMN($QH$351)=$Q$291,ROW($QX$357)-ROW($QH$351)=$K$291), U$290, QX357), QX357))</f>
        <v>0</v>
      </c>
      <c r="QY357" s="21">
        <f t="shared" si="3587"/>
        <v>0</v>
      </c>
      <c r="QZ357" s="21">
        <f t="shared" si="3587"/>
        <v>0</v>
      </c>
      <c r="RA357" s="21">
        <f t="shared" si="3587"/>
        <v>0</v>
      </c>
      <c r="RB357" s="21">
        <f t="shared" si="3587"/>
        <v>0</v>
      </c>
      <c r="RC357" s="21">
        <f t="shared" si="3587"/>
        <v>0</v>
      </c>
      <c r="RD357" s="21">
        <f t="shared" si="3587"/>
        <v>0</v>
      </c>
      <c r="RE357" s="21">
        <f t="shared" si="3587"/>
        <v>0</v>
      </c>
      <c r="RF357" s="21">
        <f t="shared" ref="RF357:RM357" si="3588">IF($F$290, 0, IF($J$300, IF(AND(COLUMN($RF$357)-COLUMN($QH$351)=$Q$291,ROW($RF$357)-ROW($QH$351)=$K$291), U$290, RF357), RF357))</f>
        <v>0</v>
      </c>
      <c r="RG357" s="21">
        <f t="shared" si="3588"/>
        <v>0</v>
      </c>
      <c r="RH357" s="21">
        <f t="shared" si="3588"/>
        <v>0</v>
      </c>
      <c r="RI357" s="21">
        <f t="shared" si="3588"/>
        <v>0</v>
      </c>
      <c r="RJ357" s="21">
        <f t="shared" si="3588"/>
        <v>0</v>
      </c>
      <c r="RK357" s="21">
        <f t="shared" si="3588"/>
        <v>0</v>
      </c>
      <c r="RL357" s="21">
        <f t="shared" si="3588"/>
        <v>0</v>
      </c>
      <c r="RM357" s="21">
        <f t="shared" si="3588"/>
        <v>0</v>
      </c>
      <c r="RN357" s="21">
        <f t="shared" ref="RN357:RU357" si="3589">IF($F$290, 0, IF($J$300, IF(AND(COLUMN($RN$357)-COLUMN($QH$351)=$Q$291,ROW($RN$357)-ROW($QH$351)=$K$291), U$290, RN357), RN357))</f>
        <v>0</v>
      </c>
      <c r="RO357" s="21">
        <f t="shared" si="3589"/>
        <v>0</v>
      </c>
      <c r="RP357" s="21">
        <f t="shared" si="3589"/>
        <v>0</v>
      </c>
      <c r="RQ357" s="21">
        <f t="shared" si="3589"/>
        <v>0</v>
      </c>
      <c r="RR357" s="21">
        <f t="shared" si="3589"/>
        <v>0</v>
      </c>
      <c r="RS357" s="21">
        <f t="shared" si="3589"/>
        <v>0</v>
      </c>
      <c r="RT357" s="21">
        <f t="shared" si="3589"/>
        <v>0</v>
      </c>
      <c r="RU357" s="21">
        <f t="shared" si="3589"/>
        <v>0</v>
      </c>
      <c r="RV357" s="21">
        <f t="shared" ref="RV357:SC357" si="3590">IF($F$290, 0, IF($J$300, IF(AND(COLUMN($RV$357)-COLUMN($QH$351)=$Q$291,ROW($RV$357)-ROW($QH$351)=$K$291), U$290, RV357), RV357))</f>
        <v>0</v>
      </c>
      <c r="RW357" s="21">
        <f t="shared" si="3590"/>
        <v>0</v>
      </c>
      <c r="RX357" s="21">
        <f t="shared" si="3590"/>
        <v>0</v>
      </c>
      <c r="RY357" s="21">
        <f t="shared" si="3590"/>
        <v>0</v>
      </c>
      <c r="RZ357" s="21">
        <f t="shared" si="3590"/>
        <v>0</v>
      </c>
      <c r="SA357" s="21">
        <f t="shared" si="3590"/>
        <v>0</v>
      </c>
      <c r="SB357" s="21">
        <f t="shared" si="3590"/>
        <v>0</v>
      </c>
      <c r="SC357" s="21">
        <f t="shared" si="3590"/>
        <v>0</v>
      </c>
      <c r="SD357" s="21">
        <f t="shared" ref="SD357:SK357" si="3591">IF($F$290, 0, IF($J$300, IF(AND(COLUMN($SD$357)-COLUMN($QH$351)=$Q$291,ROW($SD$357)-ROW($QH$351)=$K$291), U$290, SD357), SD357))</f>
        <v>0</v>
      </c>
      <c r="SE357" s="21">
        <f t="shared" si="3591"/>
        <v>0</v>
      </c>
      <c r="SF357" s="21">
        <f t="shared" si="3591"/>
        <v>0</v>
      </c>
      <c r="SG357" s="21">
        <f t="shared" si="3591"/>
        <v>0</v>
      </c>
      <c r="SH357" s="21">
        <f t="shared" si="3591"/>
        <v>0</v>
      </c>
      <c r="SI357" s="21">
        <f t="shared" si="3591"/>
        <v>0</v>
      </c>
      <c r="SJ357" s="21">
        <f t="shared" si="3591"/>
        <v>0</v>
      </c>
      <c r="SK357" s="21">
        <f t="shared" si="3591"/>
        <v>0</v>
      </c>
      <c r="SL357" s="21">
        <f t="shared" ref="SL357:SS357" si="3592">IF($F$290, 0, IF($J$300, IF(AND(COLUMN($SL$357)-COLUMN($QH$351)=$Q$291,ROW($SL$357)-ROW($QH$351)=$K$291), U$290, SL357), SL357))</f>
        <v>0</v>
      </c>
      <c r="SM357" s="21">
        <f t="shared" si="3592"/>
        <v>0</v>
      </c>
      <c r="SN357" s="21">
        <f t="shared" si="3592"/>
        <v>0</v>
      </c>
      <c r="SO357" s="21">
        <f t="shared" si="3592"/>
        <v>0</v>
      </c>
      <c r="SP357" s="21">
        <f t="shared" si="3592"/>
        <v>0</v>
      </c>
      <c r="SQ357" s="21">
        <f t="shared" si="3592"/>
        <v>0</v>
      </c>
      <c r="SR357" s="21">
        <f t="shared" si="3592"/>
        <v>0</v>
      </c>
      <c r="SS357" s="21">
        <f t="shared" si="3592"/>
        <v>0</v>
      </c>
    </row>
    <row r="358" spans="2:513" ht="15" customHeight="1" x14ac:dyDescent="0.25">
      <c r="B358" s="21">
        <f t="shared" ref="B358:I358" si="3593">IF($F$290, 0, IF($C$300, IF(AND(COLUMN($B$358)-COLUMN($B$351)=$Q$291,ROW($B$358)-ROW($B$351)=$K$291), U$290, B358), B358))</f>
        <v>0</v>
      </c>
      <c r="C358" s="21">
        <f t="shared" si="3593"/>
        <v>0</v>
      </c>
      <c r="D358" s="21">
        <f t="shared" si="3593"/>
        <v>0</v>
      </c>
      <c r="E358" s="21">
        <f t="shared" si="3593"/>
        <v>0</v>
      </c>
      <c r="F358" s="21">
        <f t="shared" si="3593"/>
        <v>0</v>
      </c>
      <c r="G358" s="21">
        <f t="shared" si="3593"/>
        <v>0</v>
      </c>
      <c r="H358" s="21">
        <f t="shared" si="3593"/>
        <v>0</v>
      </c>
      <c r="I358" s="21">
        <f t="shared" si="3593"/>
        <v>0</v>
      </c>
      <c r="J358" s="21">
        <f t="shared" ref="J358:Q358" si="3594">IF($F$290, 0, IF($C$300, IF(AND(COLUMN($J$358)-COLUMN($B$351)=$Q$291,ROW($J$358)-ROW($B$351)=$K$291), U$290, J358), J358))</f>
        <v>0</v>
      </c>
      <c r="K358" s="21">
        <f t="shared" si="3594"/>
        <v>0</v>
      </c>
      <c r="L358" s="21">
        <f t="shared" si="3594"/>
        <v>0</v>
      </c>
      <c r="M358" s="21">
        <f t="shared" si="3594"/>
        <v>0</v>
      </c>
      <c r="N358" s="21">
        <f t="shared" si="3594"/>
        <v>0</v>
      </c>
      <c r="O358" s="21">
        <f t="shared" si="3594"/>
        <v>0</v>
      </c>
      <c r="P358" s="21">
        <f t="shared" si="3594"/>
        <v>0</v>
      </c>
      <c r="Q358" s="21">
        <f t="shared" si="3594"/>
        <v>0</v>
      </c>
      <c r="R358" s="21">
        <f>IF($F$290, 0, IF($C$300, IF(AND(COLUMN($R$358)-COLUMN($B$351)=$Q$291,ROW($R$358)-ROW($B$351)=$K$291), U$290, R358), R358))</f>
        <v>0</v>
      </c>
      <c r="S358" s="21">
        <f t="shared" ref="S358:Y358" si="3595">IF($F$290, 0, IF($C$300, IF(AND(COLUMN($R$358)-COLUMN($B$351)=$Q$291,ROW($R$358)-ROW($B$351)=$K$291), V$290, S358), S358))</f>
        <v>0</v>
      </c>
      <c r="T358" s="21">
        <f t="shared" si="3595"/>
        <v>0</v>
      </c>
      <c r="U358" s="21">
        <f t="shared" si="3595"/>
        <v>0</v>
      </c>
      <c r="V358" s="21">
        <f t="shared" si="3595"/>
        <v>0</v>
      </c>
      <c r="W358" s="21">
        <f t="shared" si="3595"/>
        <v>0</v>
      </c>
      <c r="X358" s="21">
        <f t="shared" si="3595"/>
        <v>0</v>
      </c>
      <c r="Y358" s="21">
        <f t="shared" si="3595"/>
        <v>0</v>
      </c>
      <c r="Z358" s="21">
        <f t="shared" ref="Z358:AG358" si="3596">IF($F$290, 0, IF($C$300, IF(AND(COLUMN($Z$358)-COLUMN($B$351)=$Q$291,ROW($Z$358)-ROW($B$351)=$K$291), U$290, Z358), Z358))</f>
        <v>0</v>
      </c>
      <c r="AA358" s="21">
        <f t="shared" si="3596"/>
        <v>0</v>
      </c>
      <c r="AB358" s="21">
        <f t="shared" si="3596"/>
        <v>0</v>
      </c>
      <c r="AC358" s="21">
        <f t="shared" si="3596"/>
        <v>0</v>
      </c>
      <c r="AD358" s="21">
        <f t="shared" si="3596"/>
        <v>0</v>
      </c>
      <c r="AE358" s="21">
        <f t="shared" si="3596"/>
        <v>0</v>
      </c>
      <c r="AF358" s="21">
        <f t="shared" si="3596"/>
        <v>0</v>
      </c>
      <c r="AG358" s="21">
        <f t="shared" si="3596"/>
        <v>0</v>
      </c>
      <c r="AH358" s="21">
        <f t="shared" ref="AH358:AO358" si="3597">IF($F$290, 0, IF($C$300, IF(AND(COLUMN($AH$358)-COLUMN($B$351)=$Q$291,ROW($AH$358)-ROW($B$351)=$K$291), U$290, AH358), AH358))</f>
        <v>0</v>
      </c>
      <c r="AI358" s="21">
        <f t="shared" si="3597"/>
        <v>0</v>
      </c>
      <c r="AJ358" s="21">
        <f t="shared" si="3597"/>
        <v>0</v>
      </c>
      <c r="AK358" s="21">
        <f t="shared" si="3597"/>
        <v>0</v>
      </c>
      <c r="AL358" s="21">
        <f t="shared" si="3597"/>
        <v>0</v>
      </c>
      <c r="AM358" s="21">
        <f t="shared" si="3597"/>
        <v>0</v>
      </c>
      <c r="AN358" s="21">
        <f t="shared" si="3597"/>
        <v>0</v>
      </c>
      <c r="AO358" s="21">
        <f t="shared" si="3597"/>
        <v>0</v>
      </c>
      <c r="AP358" s="21">
        <f t="shared" ref="AP358:AW358" si="3598">IF($F$290, 0, IF($C$300, IF(AND(COLUMN($AP$358)-COLUMN($B$351)=$Q$291,ROW($AP$358)-ROW($B$351)=$K$291), U$290, AP358), AP358))</f>
        <v>0</v>
      </c>
      <c r="AQ358" s="21">
        <f t="shared" si="3598"/>
        <v>0</v>
      </c>
      <c r="AR358" s="21">
        <f t="shared" si="3598"/>
        <v>0</v>
      </c>
      <c r="AS358" s="21">
        <f t="shared" si="3598"/>
        <v>0</v>
      </c>
      <c r="AT358" s="21">
        <f t="shared" si="3598"/>
        <v>0</v>
      </c>
      <c r="AU358" s="21">
        <f t="shared" si="3598"/>
        <v>0</v>
      </c>
      <c r="AV358" s="21">
        <f t="shared" si="3598"/>
        <v>0</v>
      </c>
      <c r="AW358" s="21">
        <f t="shared" si="3598"/>
        <v>0</v>
      </c>
      <c r="AX358" s="21">
        <f t="shared" ref="AX358:BE358" si="3599">IF($F$290, 0, IF($C$300, IF(AND(COLUMN($AX$358)-COLUMN($B$351)=$Q$291,ROW($AX$358)-ROW($B$351)=$K$291), U$290, AX358), AX358))</f>
        <v>0</v>
      </c>
      <c r="AY358" s="21">
        <f t="shared" si="3599"/>
        <v>0</v>
      </c>
      <c r="AZ358" s="21">
        <f t="shared" si="3599"/>
        <v>0</v>
      </c>
      <c r="BA358" s="21">
        <f t="shared" si="3599"/>
        <v>0</v>
      </c>
      <c r="BB358" s="21">
        <f t="shared" si="3599"/>
        <v>0</v>
      </c>
      <c r="BC358" s="21">
        <f t="shared" si="3599"/>
        <v>0</v>
      </c>
      <c r="BD358" s="21">
        <f t="shared" si="3599"/>
        <v>0</v>
      </c>
      <c r="BE358" s="21">
        <f t="shared" si="3599"/>
        <v>0</v>
      </c>
      <c r="BF358" s="21">
        <f t="shared" ref="BF358:BM358" si="3600">IF($F$290, 0, IF($C$300, IF(AND(COLUMN($BF$358)-COLUMN($B$351)=$Q$291,ROW($BF$358)-ROW($B$351)=$K$291), U$290, BF358), BF358))</f>
        <v>0</v>
      </c>
      <c r="BG358" s="21">
        <f t="shared" si="3600"/>
        <v>0</v>
      </c>
      <c r="BH358" s="21">
        <f t="shared" si="3600"/>
        <v>0</v>
      </c>
      <c r="BI358" s="21">
        <f t="shared" si="3600"/>
        <v>0</v>
      </c>
      <c r="BJ358" s="21">
        <f t="shared" si="3600"/>
        <v>0</v>
      </c>
      <c r="BK358" s="21">
        <f t="shared" si="3600"/>
        <v>0</v>
      </c>
      <c r="BL358" s="21">
        <f t="shared" si="3600"/>
        <v>0</v>
      </c>
      <c r="BM358" s="21">
        <f t="shared" si="3600"/>
        <v>0</v>
      </c>
      <c r="BN358" s="21">
        <f t="shared" ref="BN358:BU358" si="3601">IF($F$290, 0, IF($D$300, IF(AND(COLUMN($BN$358)-COLUMN($BN$351)=$Q$291,ROW($BN$358)-ROW($BN$351)=$K$291), U$290, BN358), BN358))</f>
        <v>0</v>
      </c>
      <c r="BO358" s="21">
        <f t="shared" si="3601"/>
        <v>0</v>
      </c>
      <c r="BP358" s="21">
        <f t="shared" si="3601"/>
        <v>0</v>
      </c>
      <c r="BQ358" s="21">
        <f t="shared" si="3601"/>
        <v>0</v>
      </c>
      <c r="BR358" s="21">
        <f t="shared" si="3601"/>
        <v>0</v>
      </c>
      <c r="BS358" s="21">
        <f t="shared" si="3601"/>
        <v>0</v>
      </c>
      <c r="BT358" s="21">
        <f t="shared" si="3601"/>
        <v>0</v>
      </c>
      <c r="BU358" s="21">
        <f t="shared" si="3601"/>
        <v>0</v>
      </c>
      <c r="BV358" s="21">
        <f t="shared" ref="BV358:CC358" si="3602">IF($F$290, 0, IF($D$300, IF(AND(COLUMN($BV$358)-COLUMN($BN$351)=$Q$291,ROW($BV$358)-ROW($BN$351)=$K$291), U$290, BV358), BV358))</f>
        <v>0</v>
      </c>
      <c r="BW358" s="21">
        <f t="shared" si="3602"/>
        <v>0</v>
      </c>
      <c r="BX358" s="21">
        <f t="shared" si="3602"/>
        <v>0</v>
      </c>
      <c r="BY358" s="21">
        <f t="shared" si="3602"/>
        <v>0</v>
      </c>
      <c r="BZ358" s="21">
        <f t="shared" si="3602"/>
        <v>0</v>
      </c>
      <c r="CA358" s="21">
        <f t="shared" si="3602"/>
        <v>0</v>
      </c>
      <c r="CB358" s="21">
        <f t="shared" si="3602"/>
        <v>0</v>
      </c>
      <c r="CC358" s="21">
        <f t="shared" si="3602"/>
        <v>0</v>
      </c>
      <c r="CD358" s="21">
        <f t="shared" ref="CD358:CK358" si="3603">IF($F$290, 0, IF($D$300, IF(AND(COLUMN($CD$358)-COLUMN($BN$351)=$Q$291,ROW($CD$358)-ROW($BN$351)=$K$291), U$290, CD358), CD358))</f>
        <v>0</v>
      </c>
      <c r="CE358" s="21">
        <f t="shared" si="3603"/>
        <v>0</v>
      </c>
      <c r="CF358" s="21">
        <f t="shared" si="3603"/>
        <v>0</v>
      </c>
      <c r="CG358" s="21">
        <f t="shared" si="3603"/>
        <v>0</v>
      </c>
      <c r="CH358" s="21">
        <f t="shared" si="3603"/>
        <v>0</v>
      </c>
      <c r="CI358" s="21">
        <f t="shared" si="3603"/>
        <v>0</v>
      </c>
      <c r="CJ358" s="21">
        <f t="shared" si="3603"/>
        <v>0</v>
      </c>
      <c r="CK358" s="21">
        <f t="shared" si="3603"/>
        <v>0</v>
      </c>
      <c r="CL358" s="21">
        <f t="shared" ref="CL358:CS358" si="3604">IF($F$290, 0, IF($D$300, IF(AND(COLUMN($CL$358)-COLUMN($BN$351)=$Q$291,ROW($CL$358)-ROW($BN$351)=$K$291), U$290, CL358), CL358))</f>
        <v>0</v>
      </c>
      <c r="CM358" s="21">
        <f t="shared" si="3604"/>
        <v>0</v>
      </c>
      <c r="CN358" s="21">
        <f t="shared" si="3604"/>
        <v>0</v>
      </c>
      <c r="CO358" s="21">
        <f t="shared" si="3604"/>
        <v>0</v>
      </c>
      <c r="CP358" s="21">
        <f t="shared" si="3604"/>
        <v>0</v>
      </c>
      <c r="CQ358" s="21">
        <f t="shared" si="3604"/>
        <v>0</v>
      </c>
      <c r="CR358" s="21">
        <f t="shared" si="3604"/>
        <v>0</v>
      </c>
      <c r="CS358" s="21">
        <f t="shared" si="3604"/>
        <v>0</v>
      </c>
      <c r="CT358" s="21">
        <f t="shared" ref="CT358:DA358" si="3605">IF($F$290, 0, IF($D$300, IF(AND(COLUMN($CT$358)-COLUMN($BN$351)=$Q$291,ROW($CT$358)-ROW($BN$351)=$K$291), U$290, CT358), CT358))</f>
        <v>0</v>
      </c>
      <c r="CU358" s="21">
        <f t="shared" si="3605"/>
        <v>0</v>
      </c>
      <c r="CV358" s="21">
        <f t="shared" si="3605"/>
        <v>0</v>
      </c>
      <c r="CW358" s="21">
        <f t="shared" si="3605"/>
        <v>0</v>
      </c>
      <c r="CX358" s="21">
        <f t="shared" si="3605"/>
        <v>0</v>
      </c>
      <c r="CY358" s="21">
        <f t="shared" si="3605"/>
        <v>0</v>
      </c>
      <c r="CZ358" s="21">
        <f t="shared" si="3605"/>
        <v>0</v>
      </c>
      <c r="DA358" s="21">
        <f t="shared" si="3605"/>
        <v>0</v>
      </c>
      <c r="DB358" s="21">
        <f t="shared" ref="DB358:DI358" si="3606">IF($F$290, 0, IF($D$300, IF(AND(COLUMN($DB$358)-COLUMN($BN$351)=$Q$291,ROW($DB$358)-ROW($BN$351)=$K$291), U$290, DB358), DB358))</f>
        <v>0</v>
      </c>
      <c r="DC358" s="21">
        <f t="shared" si="3606"/>
        <v>0</v>
      </c>
      <c r="DD358" s="21">
        <f t="shared" si="3606"/>
        <v>0</v>
      </c>
      <c r="DE358" s="21">
        <f t="shared" si="3606"/>
        <v>0</v>
      </c>
      <c r="DF358" s="21">
        <f t="shared" si="3606"/>
        <v>0</v>
      </c>
      <c r="DG358" s="21">
        <f t="shared" si="3606"/>
        <v>0</v>
      </c>
      <c r="DH358" s="21">
        <f t="shared" si="3606"/>
        <v>0</v>
      </c>
      <c r="DI358" s="21">
        <f t="shared" si="3606"/>
        <v>0</v>
      </c>
      <c r="DJ358" s="21">
        <f t="shared" ref="DJ358:DQ358" si="3607">IF($F$290, 0, IF($D$300, IF(AND(COLUMN($DJ$358)-COLUMN($BN$351)=$Q$291,ROW($DJ$358)-ROW($BN$351)=$K$291), U$290, DJ358), DJ358))</f>
        <v>0</v>
      </c>
      <c r="DK358" s="21">
        <f t="shared" si="3607"/>
        <v>0</v>
      </c>
      <c r="DL358" s="21">
        <f t="shared" si="3607"/>
        <v>0</v>
      </c>
      <c r="DM358" s="21">
        <f t="shared" si="3607"/>
        <v>0</v>
      </c>
      <c r="DN358" s="21">
        <f t="shared" si="3607"/>
        <v>0</v>
      </c>
      <c r="DO358" s="21">
        <f t="shared" si="3607"/>
        <v>0</v>
      </c>
      <c r="DP358" s="21">
        <f t="shared" si="3607"/>
        <v>0</v>
      </c>
      <c r="DQ358" s="21">
        <f t="shared" si="3607"/>
        <v>0</v>
      </c>
      <c r="DR358" s="21">
        <f t="shared" ref="DR358:DY358" si="3608">IF($F$290, 0, IF($D$300, IF(AND(COLUMN($DR$358)-COLUMN($BN$351)=$Q$291,ROW($DR$358)-ROW($BN$351)=$K$291), U$290, DR358), DR358))</f>
        <v>0</v>
      </c>
      <c r="DS358" s="21">
        <f t="shared" si="3608"/>
        <v>0</v>
      </c>
      <c r="DT358" s="21">
        <f t="shared" si="3608"/>
        <v>0</v>
      </c>
      <c r="DU358" s="21">
        <f t="shared" si="3608"/>
        <v>0</v>
      </c>
      <c r="DV358" s="21">
        <f t="shared" si="3608"/>
        <v>0</v>
      </c>
      <c r="DW358" s="21">
        <f t="shared" si="3608"/>
        <v>0</v>
      </c>
      <c r="DX358" s="21">
        <f t="shared" si="3608"/>
        <v>0</v>
      </c>
      <c r="DY358" s="21">
        <f t="shared" si="3608"/>
        <v>0</v>
      </c>
      <c r="DZ358" s="21">
        <f t="shared" ref="DZ358:EG358" si="3609">IF($F$290, 0, IF($E$300, IF(AND(COLUMN($DZ$358)-COLUMN($DZ$351)=$Q$291,ROW($DZ$358)-ROW($DZ$351)=$K$291), U$290, DZ358), DZ358))</f>
        <v>0</v>
      </c>
      <c r="EA358" s="21">
        <f t="shared" si="3609"/>
        <v>0</v>
      </c>
      <c r="EB358" s="21">
        <f t="shared" si="3609"/>
        <v>0</v>
      </c>
      <c r="EC358" s="21">
        <f t="shared" si="3609"/>
        <v>0</v>
      </c>
      <c r="ED358" s="21">
        <f t="shared" si="3609"/>
        <v>0</v>
      </c>
      <c r="EE358" s="21">
        <f t="shared" si="3609"/>
        <v>0</v>
      </c>
      <c r="EF358" s="21">
        <f t="shared" si="3609"/>
        <v>0</v>
      </c>
      <c r="EG358" s="21">
        <f t="shared" si="3609"/>
        <v>0</v>
      </c>
      <c r="EH358" s="21">
        <f t="shared" ref="EH358:EO358" si="3610">IF($F$290, 0, IF($E$300, IF(AND(COLUMN($EH$358)-COLUMN($DZ$351)=$Q$291,ROW($EH$358)-ROW($DZ$351)=$K$291), U$290, EH358), EH358))</f>
        <v>0</v>
      </c>
      <c r="EI358" s="21">
        <f t="shared" si="3610"/>
        <v>0</v>
      </c>
      <c r="EJ358" s="21">
        <f t="shared" si="3610"/>
        <v>0</v>
      </c>
      <c r="EK358" s="21">
        <f t="shared" si="3610"/>
        <v>0</v>
      </c>
      <c r="EL358" s="21">
        <f t="shared" si="3610"/>
        <v>0</v>
      </c>
      <c r="EM358" s="21">
        <f t="shared" si="3610"/>
        <v>0</v>
      </c>
      <c r="EN358" s="21">
        <f t="shared" si="3610"/>
        <v>0</v>
      </c>
      <c r="EO358" s="21">
        <f t="shared" si="3610"/>
        <v>0</v>
      </c>
      <c r="EP358" s="21">
        <f t="shared" ref="EP358:EW358" si="3611">IF($F$290, 0, IF($E$300, IF(AND(COLUMN($EP$358)-COLUMN($DZ$351)=$Q$291,ROW($EP$358)-ROW($DZ$351)=$K$291), U$290, EP358), EP358))</f>
        <v>0</v>
      </c>
      <c r="EQ358" s="21">
        <f t="shared" si="3611"/>
        <v>0</v>
      </c>
      <c r="ER358" s="21">
        <f t="shared" si="3611"/>
        <v>0</v>
      </c>
      <c r="ES358" s="21">
        <f t="shared" si="3611"/>
        <v>0</v>
      </c>
      <c r="ET358" s="21">
        <f t="shared" si="3611"/>
        <v>0</v>
      </c>
      <c r="EU358" s="21">
        <f t="shared" si="3611"/>
        <v>0</v>
      </c>
      <c r="EV358" s="21">
        <f t="shared" si="3611"/>
        <v>0</v>
      </c>
      <c r="EW358" s="21">
        <f t="shared" si="3611"/>
        <v>0</v>
      </c>
      <c r="EX358" s="21">
        <f t="shared" ref="EX358:FE358" si="3612">IF($F$290, 0, IF($E$300, IF(AND(COLUMN($EX$358)-COLUMN($DZ$351)=$Q$291,ROW($EX$358)-ROW($DZ$351)=$K$291), U$290, EX358), EX358))</f>
        <v>0</v>
      </c>
      <c r="EY358" s="21">
        <f t="shared" si="3612"/>
        <v>0</v>
      </c>
      <c r="EZ358" s="21">
        <f t="shared" si="3612"/>
        <v>0</v>
      </c>
      <c r="FA358" s="21">
        <f t="shared" si="3612"/>
        <v>0</v>
      </c>
      <c r="FB358" s="21">
        <f t="shared" si="3612"/>
        <v>0</v>
      </c>
      <c r="FC358" s="21">
        <f t="shared" si="3612"/>
        <v>0</v>
      </c>
      <c r="FD358" s="21">
        <f t="shared" si="3612"/>
        <v>0</v>
      </c>
      <c r="FE358" s="21">
        <f t="shared" si="3612"/>
        <v>0</v>
      </c>
      <c r="FF358" s="21">
        <f t="shared" ref="FF358:FM358" si="3613">IF($F$290, 0, IF($E$300, IF(AND(COLUMN($FF$358)-COLUMN($DZ$351)=$Q$291,ROW($FF$358)-ROW($DZ$351)=$K$291), U$290, FF358), FF358))</f>
        <v>0</v>
      </c>
      <c r="FG358" s="21">
        <f t="shared" si="3613"/>
        <v>0</v>
      </c>
      <c r="FH358" s="21">
        <f t="shared" si="3613"/>
        <v>0</v>
      </c>
      <c r="FI358" s="21">
        <f t="shared" si="3613"/>
        <v>0</v>
      </c>
      <c r="FJ358" s="21">
        <f t="shared" si="3613"/>
        <v>0</v>
      </c>
      <c r="FK358" s="21">
        <f t="shared" si="3613"/>
        <v>0</v>
      </c>
      <c r="FL358" s="21">
        <f t="shared" si="3613"/>
        <v>0</v>
      </c>
      <c r="FM358" s="21">
        <f t="shared" si="3613"/>
        <v>0</v>
      </c>
      <c r="FN358" s="21">
        <f t="shared" ref="FN358:FU358" si="3614">IF($F$290, 0, IF($E$300, IF(AND(COLUMN($FN$358)-COLUMN($DZ$351)=$Q$291,ROW($FN$358)-ROW($DZ$351)=$K$291), U$290, FN358), FN358))</f>
        <v>0</v>
      </c>
      <c r="FO358" s="21">
        <f t="shared" si="3614"/>
        <v>0</v>
      </c>
      <c r="FP358" s="21">
        <f t="shared" si="3614"/>
        <v>0</v>
      </c>
      <c r="FQ358" s="21">
        <f t="shared" si="3614"/>
        <v>0</v>
      </c>
      <c r="FR358" s="21">
        <f t="shared" si="3614"/>
        <v>0</v>
      </c>
      <c r="FS358" s="21">
        <f t="shared" si="3614"/>
        <v>0</v>
      </c>
      <c r="FT358" s="21">
        <f t="shared" si="3614"/>
        <v>0</v>
      </c>
      <c r="FU358" s="21">
        <f t="shared" si="3614"/>
        <v>0</v>
      </c>
      <c r="FV358" s="21">
        <f t="shared" ref="FV358:GC358" si="3615">IF($F$290, 0, IF($E$300, IF(AND(COLUMN($FV$358)-COLUMN($DZ$351)=$Q$291,ROW($FV$358)-ROW($DZ$351)=$K$291), U$290, FV358), FV358))</f>
        <v>0</v>
      </c>
      <c r="FW358" s="21">
        <f t="shared" si="3615"/>
        <v>0</v>
      </c>
      <c r="FX358" s="21">
        <f t="shared" si="3615"/>
        <v>0</v>
      </c>
      <c r="FY358" s="21">
        <f t="shared" si="3615"/>
        <v>0</v>
      </c>
      <c r="FZ358" s="21">
        <f t="shared" si="3615"/>
        <v>0</v>
      </c>
      <c r="GA358" s="21">
        <f t="shared" si="3615"/>
        <v>0</v>
      </c>
      <c r="GB358" s="21">
        <f t="shared" si="3615"/>
        <v>0</v>
      </c>
      <c r="GC358" s="21">
        <f t="shared" si="3615"/>
        <v>0</v>
      </c>
      <c r="GD358" s="21">
        <f t="shared" ref="GD358:GK358" si="3616">IF($F$290, 0, IF($E$300, IF(AND(COLUMN($GD$358)-COLUMN($DZ$351)=$Q$291,ROW($GD$358)-ROW($DZ$351)=$K$291), U$290, GD358), GD358))</f>
        <v>0</v>
      </c>
      <c r="GE358" s="21">
        <f t="shared" si="3616"/>
        <v>0</v>
      </c>
      <c r="GF358" s="21">
        <f t="shared" si="3616"/>
        <v>0</v>
      </c>
      <c r="GG358" s="21">
        <f t="shared" si="3616"/>
        <v>0</v>
      </c>
      <c r="GH358" s="21">
        <f t="shared" si="3616"/>
        <v>0</v>
      </c>
      <c r="GI358" s="21">
        <f t="shared" si="3616"/>
        <v>0</v>
      </c>
      <c r="GJ358" s="21">
        <f t="shared" si="3616"/>
        <v>0</v>
      </c>
      <c r="GK358" s="21">
        <f t="shared" si="3616"/>
        <v>0</v>
      </c>
      <c r="GL358" s="21">
        <f t="shared" ref="GL358:GS358" si="3617">IF($F$290, 0, IF($F$300, IF(AND(COLUMN($GL$358)-COLUMN($GL$351)=$Q$291,ROW($GL$358)-ROW($GL$351)=$K$291), U$290, GL358), GL358))</f>
        <v>0</v>
      </c>
      <c r="GM358" s="21">
        <f t="shared" si="3617"/>
        <v>0</v>
      </c>
      <c r="GN358" s="21">
        <f t="shared" si="3617"/>
        <v>0</v>
      </c>
      <c r="GO358" s="21">
        <f t="shared" si="3617"/>
        <v>0</v>
      </c>
      <c r="GP358" s="21">
        <f t="shared" si="3617"/>
        <v>0</v>
      </c>
      <c r="GQ358" s="21">
        <f t="shared" si="3617"/>
        <v>0</v>
      </c>
      <c r="GR358" s="21">
        <f t="shared" si="3617"/>
        <v>0</v>
      </c>
      <c r="GS358" s="21">
        <f t="shared" si="3617"/>
        <v>0</v>
      </c>
      <c r="GT358" s="21">
        <f t="shared" ref="GT358:HA358" si="3618">IF($F$290, 0, IF($F$300, IF(AND(COLUMN($GT$358)-COLUMN($GL$351)=$Q$291,ROW($GT$358)-ROW($GL$351)=$K$291), U$290, GT358), GT358))</f>
        <v>0</v>
      </c>
      <c r="GU358" s="21">
        <f t="shared" si="3618"/>
        <v>0</v>
      </c>
      <c r="GV358" s="21">
        <f t="shared" si="3618"/>
        <v>0</v>
      </c>
      <c r="GW358" s="21">
        <f t="shared" si="3618"/>
        <v>0</v>
      </c>
      <c r="GX358" s="21">
        <f t="shared" si="3618"/>
        <v>0</v>
      </c>
      <c r="GY358" s="21">
        <f t="shared" si="3618"/>
        <v>0</v>
      </c>
      <c r="GZ358" s="21">
        <f t="shared" si="3618"/>
        <v>0</v>
      </c>
      <c r="HA358" s="21">
        <f t="shared" si="3618"/>
        <v>0</v>
      </c>
      <c r="HB358" s="21">
        <f t="shared" ref="HB358:HI358" si="3619">IF($F$290, 0, IF($F$300, IF(AND(COLUMN($HB$358)-COLUMN($GL$351)=$Q$291,ROW($HB$358)-ROW($GL$351)=$K$291), U$290, HB358), HB358))</f>
        <v>0</v>
      </c>
      <c r="HC358" s="21">
        <f t="shared" si="3619"/>
        <v>0</v>
      </c>
      <c r="HD358" s="21">
        <f t="shared" si="3619"/>
        <v>0</v>
      </c>
      <c r="HE358" s="21">
        <f t="shared" si="3619"/>
        <v>0</v>
      </c>
      <c r="HF358" s="21">
        <f t="shared" si="3619"/>
        <v>0</v>
      </c>
      <c r="HG358" s="21">
        <f t="shared" si="3619"/>
        <v>0</v>
      </c>
      <c r="HH358" s="21">
        <f t="shared" si="3619"/>
        <v>0</v>
      </c>
      <c r="HI358" s="21">
        <f t="shared" si="3619"/>
        <v>0</v>
      </c>
      <c r="HJ358" s="21">
        <f t="shared" ref="HJ358:HQ358" si="3620">IF($F$290, 0, IF($F$300, IF(AND(COLUMN($HJ$358)-COLUMN($GL$351)=$Q$291,ROW($HJ$358)-ROW($GL$351)=$K$291), U$290, HJ358), HJ358))</f>
        <v>0</v>
      </c>
      <c r="HK358" s="21">
        <f t="shared" si="3620"/>
        <v>0</v>
      </c>
      <c r="HL358" s="21">
        <f t="shared" si="3620"/>
        <v>0</v>
      </c>
      <c r="HM358" s="21">
        <f t="shared" si="3620"/>
        <v>0</v>
      </c>
      <c r="HN358" s="21">
        <f t="shared" si="3620"/>
        <v>0</v>
      </c>
      <c r="HO358" s="21">
        <f t="shared" si="3620"/>
        <v>0</v>
      </c>
      <c r="HP358" s="21">
        <f t="shared" si="3620"/>
        <v>0</v>
      </c>
      <c r="HQ358" s="21">
        <f t="shared" si="3620"/>
        <v>0</v>
      </c>
      <c r="HR358" s="21">
        <f t="shared" ref="HR358:HY358" si="3621">IF($F$290, 0, IF($F$300, IF(AND(COLUMN($HR$358)-COLUMN($GL$351)=$Q$291,ROW($HR$358)-ROW($GL$351)=$K$291), U$290, HR358), HR358))</f>
        <v>0</v>
      </c>
      <c r="HS358" s="21">
        <f t="shared" si="3621"/>
        <v>0</v>
      </c>
      <c r="HT358" s="21">
        <f t="shared" si="3621"/>
        <v>0</v>
      </c>
      <c r="HU358" s="21">
        <f t="shared" si="3621"/>
        <v>0</v>
      </c>
      <c r="HV358" s="21">
        <f t="shared" si="3621"/>
        <v>0</v>
      </c>
      <c r="HW358" s="21">
        <f t="shared" si="3621"/>
        <v>0</v>
      </c>
      <c r="HX358" s="21">
        <f t="shared" si="3621"/>
        <v>0</v>
      </c>
      <c r="HY358" s="21">
        <f t="shared" si="3621"/>
        <v>0</v>
      </c>
      <c r="HZ358" s="21">
        <f t="shared" ref="HZ358:IG358" si="3622">IF($F$290, 0, IF($F$300, IF(AND(COLUMN($HZ$358)-COLUMN($GL$351)=$Q$291,ROW($HZ$358)-ROW($GL$351)=$K$291), U$290, HZ358), HZ358))</f>
        <v>0</v>
      </c>
      <c r="IA358" s="21">
        <f t="shared" si="3622"/>
        <v>0</v>
      </c>
      <c r="IB358" s="21">
        <f t="shared" si="3622"/>
        <v>0</v>
      </c>
      <c r="IC358" s="21">
        <f t="shared" si="3622"/>
        <v>0</v>
      </c>
      <c r="ID358" s="21">
        <f t="shared" si="3622"/>
        <v>0</v>
      </c>
      <c r="IE358" s="21">
        <f t="shared" si="3622"/>
        <v>0</v>
      </c>
      <c r="IF358" s="21">
        <f t="shared" si="3622"/>
        <v>0</v>
      </c>
      <c r="IG358" s="21">
        <f t="shared" si="3622"/>
        <v>0</v>
      </c>
      <c r="IH358" s="21">
        <f t="shared" ref="IH358:IO358" si="3623">IF($F$290, 0, IF($F$300, IF(AND(COLUMN($IH$358)-COLUMN($GL$351)=$Q$291,ROW($IH$358)-ROW($GL$351)=$K$291), U$290, IH358), IH358))</f>
        <v>0</v>
      </c>
      <c r="II358" s="21">
        <f t="shared" si="3623"/>
        <v>0</v>
      </c>
      <c r="IJ358" s="21">
        <f t="shared" si="3623"/>
        <v>0</v>
      </c>
      <c r="IK358" s="21">
        <f t="shared" si="3623"/>
        <v>0</v>
      </c>
      <c r="IL358" s="21">
        <f t="shared" si="3623"/>
        <v>0</v>
      </c>
      <c r="IM358" s="21">
        <f t="shared" si="3623"/>
        <v>0</v>
      </c>
      <c r="IN358" s="21">
        <f t="shared" si="3623"/>
        <v>0</v>
      </c>
      <c r="IO358" s="21">
        <f t="shared" si="3623"/>
        <v>0</v>
      </c>
      <c r="IP358" s="21">
        <f t="shared" ref="IP358:IW358" si="3624">IF($F$290, 0, IF($F$300, IF(AND(COLUMN($IP$358)-COLUMN($GL$351)=$Q$291,ROW($IP$358)-ROW($GL$351)=$K$291), U$290, IP358), IP358))</f>
        <v>0</v>
      </c>
      <c r="IQ358" s="21">
        <f t="shared" si="3624"/>
        <v>0</v>
      </c>
      <c r="IR358" s="21">
        <f t="shared" si="3624"/>
        <v>0</v>
      </c>
      <c r="IS358" s="21">
        <f t="shared" si="3624"/>
        <v>0</v>
      </c>
      <c r="IT358" s="21">
        <f t="shared" si="3624"/>
        <v>0</v>
      </c>
      <c r="IU358" s="21">
        <f t="shared" si="3624"/>
        <v>0</v>
      </c>
      <c r="IV358" s="21">
        <f t="shared" si="3624"/>
        <v>0</v>
      </c>
      <c r="IW358" s="21">
        <f t="shared" si="3624"/>
        <v>0</v>
      </c>
      <c r="IX358" s="21">
        <f t="shared" ref="IX358:JE358" si="3625">IF($F$290, 0, IF($G$300, IF(AND(COLUMN($IX$358)-COLUMN($IX$351)=$Q$291,ROW($IX$358)-ROW($IX$351)=$K$291), U$290, IX358), IX358))</f>
        <v>0</v>
      </c>
      <c r="IY358" s="21">
        <f t="shared" si="3625"/>
        <v>0</v>
      </c>
      <c r="IZ358" s="21">
        <f t="shared" si="3625"/>
        <v>0</v>
      </c>
      <c r="JA358" s="21">
        <f t="shared" si="3625"/>
        <v>0</v>
      </c>
      <c r="JB358" s="21">
        <f t="shared" si="3625"/>
        <v>0</v>
      </c>
      <c r="JC358" s="21">
        <f t="shared" si="3625"/>
        <v>0</v>
      </c>
      <c r="JD358" s="21">
        <f t="shared" si="3625"/>
        <v>0</v>
      </c>
      <c r="JE358" s="21">
        <f t="shared" si="3625"/>
        <v>0</v>
      </c>
      <c r="JF358" s="21">
        <f t="shared" ref="JF358:JM358" si="3626">IF($F$290, 0, IF($G$300, IF(AND(COLUMN($JF$358)-COLUMN($IX$351)=$Q$291,ROW($JF$358)-ROW($IX$351)=$K$291), U$290, JF358), JF358))</f>
        <v>0</v>
      </c>
      <c r="JG358" s="21">
        <f t="shared" si="3626"/>
        <v>0</v>
      </c>
      <c r="JH358" s="21">
        <f t="shared" si="3626"/>
        <v>0</v>
      </c>
      <c r="JI358" s="21">
        <f t="shared" si="3626"/>
        <v>0</v>
      </c>
      <c r="JJ358" s="21">
        <f t="shared" si="3626"/>
        <v>0</v>
      </c>
      <c r="JK358" s="21">
        <f t="shared" si="3626"/>
        <v>0</v>
      </c>
      <c r="JL358" s="21">
        <f t="shared" si="3626"/>
        <v>0</v>
      </c>
      <c r="JM358" s="21">
        <f t="shared" si="3626"/>
        <v>0</v>
      </c>
      <c r="JN358" s="21">
        <f t="shared" ref="JN358:JU358" si="3627">IF($F$290, 0, IF($G$300, IF(AND(COLUMN($JN$358)-COLUMN($IX$351)=$Q$291,ROW($JN$358)-ROW($IX$351)=$K$291), U$290, JN358), JN358))</f>
        <v>0</v>
      </c>
      <c r="JO358" s="21">
        <f t="shared" si="3627"/>
        <v>0</v>
      </c>
      <c r="JP358" s="21">
        <f t="shared" si="3627"/>
        <v>0</v>
      </c>
      <c r="JQ358" s="21">
        <f t="shared" si="3627"/>
        <v>0</v>
      </c>
      <c r="JR358" s="21">
        <f t="shared" si="3627"/>
        <v>0</v>
      </c>
      <c r="JS358" s="21">
        <f t="shared" si="3627"/>
        <v>0</v>
      </c>
      <c r="JT358" s="21">
        <f t="shared" si="3627"/>
        <v>0</v>
      </c>
      <c r="JU358" s="21">
        <f t="shared" si="3627"/>
        <v>0</v>
      </c>
      <c r="JV358" s="21">
        <f t="shared" ref="JV358:KC358" si="3628">IF($F$290, 0, IF($G$300, IF(AND(COLUMN($JV$358)-COLUMN($IX$351)=$Q$291,ROW($JV$358)-ROW($IX$351)=$K$291), U$290, JV358), JV358))</f>
        <v>0</v>
      </c>
      <c r="JW358" s="21">
        <f t="shared" si="3628"/>
        <v>0</v>
      </c>
      <c r="JX358" s="21">
        <f t="shared" si="3628"/>
        <v>0</v>
      </c>
      <c r="JY358" s="21">
        <f t="shared" si="3628"/>
        <v>0</v>
      </c>
      <c r="JZ358" s="21">
        <f t="shared" si="3628"/>
        <v>0</v>
      </c>
      <c r="KA358" s="21">
        <f t="shared" si="3628"/>
        <v>0</v>
      </c>
      <c r="KB358" s="21">
        <f t="shared" si="3628"/>
        <v>0</v>
      </c>
      <c r="KC358" s="21">
        <f t="shared" si="3628"/>
        <v>0</v>
      </c>
      <c r="KD358" s="21">
        <f t="shared" ref="KD358:KK358" si="3629">IF($F$290, 0, IF($G$300, IF(AND(COLUMN($KD$358)-COLUMN($IX$351)=$Q$291,ROW($KD$358)-ROW($IX$351)=$K$291), U$290, KD358), KD358))</f>
        <v>0</v>
      </c>
      <c r="KE358" s="21">
        <f t="shared" si="3629"/>
        <v>0</v>
      </c>
      <c r="KF358" s="21">
        <f t="shared" si="3629"/>
        <v>0</v>
      </c>
      <c r="KG358" s="21">
        <f t="shared" si="3629"/>
        <v>0</v>
      </c>
      <c r="KH358" s="21">
        <f t="shared" si="3629"/>
        <v>0</v>
      </c>
      <c r="KI358" s="21">
        <f t="shared" si="3629"/>
        <v>0</v>
      </c>
      <c r="KJ358" s="21">
        <f t="shared" si="3629"/>
        <v>0</v>
      </c>
      <c r="KK358" s="21">
        <f t="shared" si="3629"/>
        <v>0</v>
      </c>
      <c r="KL358" s="21">
        <f t="shared" ref="KL358:KS358" si="3630">IF($F$290, 0, IF($G$300, IF(AND(COLUMN($KL$358)-COLUMN($IX$351)=$Q$291,ROW($KL$358)-ROW($IX$351)=$K$291), U$290, KL358), KL358))</f>
        <v>0</v>
      </c>
      <c r="KM358" s="21">
        <f t="shared" si="3630"/>
        <v>0</v>
      </c>
      <c r="KN358" s="21">
        <f t="shared" si="3630"/>
        <v>0</v>
      </c>
      <c r="KO358" s="21">
        <f t="shared" si="3630"/>
        <v>0</v>
      </c>
      <c r="KP358" s="21">
        <f t="shared" si="3630"/>
        <v>0</v>
      </c>
      <c r="KQ358" s="21">
        <f t="shared" si="3630"/>
        <v>0</v>
      </c>
      <c r="KR358" s="21">
        <f t="shared" si="3630"/>
        <v>0</v>
      </c>
      <c r="KS358" s="21">
        <f t="shared" si="3630"/>
        <v>0</v>
      </c>
      <c r="KT358" s="21">
        <f t="shared" ref="KT358:LA358" si="3631">IF($F$290, 0, IF($G$300, IF(AND(COLUMN($KT$358)-COLUMN($IX$351)=$Q$291,ROW($KT$358)-ROW($IX$351)=$K$291), U$290, KT358), KT358))</f>
        <v>0</v>
      </c>
      <c r="KU358" s="21">
        <f t="shared" si="3631"/>
        <v>0</v>
      </c>
      <c r="KV358" s="21">
        <f t="shared" si="3631"/>
        <v>0</v>
      </c>
      <c r="KW358" s="21">
        <f t="shared" si="3631"/>
        <v>0</v>
      </c>
      <c r="KX358" s="21">
        <f t="shared" si="3631"/>
        <v>0</v>
      </c>
      <c r="KY358" s="21">
        <f t="shared" si="3631"/>
        <v>0</v>
      </c>
      <c r="KZ358" s="21">
        <f t="shared" si="3631"/>
        <v>0</v>
      </c>
      <c r="LA358" s="21">
        <f t="shared" si="3631"/>
        <v>0</v>
      </c>
      <c r="LB358" s="21">
        <f t="shared" ref="LB358:LI358" si="3632">IF($F$290, 0, IF($G$300, IF(AND(COLUMN($LB$358)-COLUMN($IX$351)=$Q$291,ROW($LB$358)-ROW($IX$351)=$K$291), U$290, LB358), LB358))</f>
        <v>0</v>
      </c>
      <c r="LC358" s="21">
        <f t="shared" si="3632"/>
        <v>0</v>
      </c>
      <c r="LD358" s="21">
        <f t="shared" si="3632"/>
        <v>0</v>
      </c>
      <c r="LE358" s="21">
        <f t="shared" si="3632"/>
        <v>0</v>
      </c>
      <c r="LF358" s="21">
        <f t="shared" si="3632"/>
        <v>0</v>
      </c>
      <c r="LG358" s="21">
        <f t="shared" si="3632"/>
        <v>0</v>
      </c>
      <c r="LH358" s="21">
        <f t="shared" si="3632"/>
        <v>0</v>
      </c>
      <c r="LI358" s="21">
        <f t="shared" si="3632"/>
        <v>0</v>
      </c>
      <c r="LJ358" s="21">
        <f t="shared" ref="LJ358:LQ358" si="3633">IF($F$290, 0, IF($H$300, IF(AND(COLUMN($LJ$358)-COLUMN($LJ$351)=$Q$291,ROW($LJ$358)-ROW($LJ$351)=$K$291), U$290, LJ358), LJ358))</f>
        <v>0</v>
      </c>
      <c r="LK358" s="21">
        <f t="shared" si="3633"/>
        <v>0</v>
      </c>
      <c r="LL358" s="21">
        <f t="shared" si="3633"/>
        <v>0</v>
      </c>
      <c r="LM358" s="21">
        <f t="shared" si="3633"/>
        <v>0</v>
      </c>
      <c r="LN358" s="21">
        <f t="shared" si="3633"/>
        <v>0</v>
      </c>
      <c r="LO358" s="21">
        <f t="shared" si="3633"/>
        <v>0</v>
      </c>
      <c r="LP358" s="21">
        <f t="shared" si="3633"/>
        <v>0</v>
      </c>
      <c r="LQ358" s="21">
        <f t="shared" si="3633"/>
        <v>0</v>
      </c>
      <c r="LR358" s="21">
        <f t="shared" ref="LR358:LY358" si="3634">IF($F$290, 0, IF($H$300, IF(AND(COLUMN($LR$358)-COLUMN($LJ$351)=$Q$291,ROW($LR$358)-ROW($LJ$351)=$K$291), U$290, LR358), LR358))</f>
        <v>0</v>
      </c>
      <c r="LS358" s="21">
        <f t="shared" si="3634"/>
        <v>0</v>
      </c>
      <c r="LT358" s="21">
        <f t="shared" si="3634"/>
        <v>0</v>
      </c>
      <c r="LU358" s="21">
        <f t="shared" si="3634"/>
        <v>0</v>
      </c>
      <c r="LV358" s="21">
        <f t="shared" si="3634"/>
        <v>0</v>
      </c>
      <c r="LW358" s="21">
        <f t="shared" si="3634"/>
        <v>0</v>
      </c>
      <c r="LX358" s="21">
        <f t="shared" si="3634"/>
        <v>0</v>
      </c>
      <c r="LY358" s="21">
        <f t="shared" si="3634"/>
        <v>0</v>
      </c>
      <c r="LZ358" s="21">
        <f t="shared" ref="LZ358:MG358" si="3635">IF($F$290, 0, IF($H$300, IF(AND(COLUMN($LZ$358)-COLUMN($LJ$351)=$Q$291,ROW($LZ$358)-ROW($LJ$351)=$K$291), U$290, LZ358), LZ358))</f>
        <v>0</v>
      </c>
      <c r="MA358" s="21">
        <f t="shared" si="3635"/>
        <v>0</v>
      </c>
      <c r="MB358" s="21">
        <f t="shared" si="3635"/>
        <v>0</v>
      </c>
      <c r="MC358" s="21">
        <f t="shared" si="3635"/>
        <v>0</v>
      </c>
      <c r="MD358" s="21">
        <f t="shared" si="3635"/>
        <v>0</v>
      </c>
      <c r="ME358" s="21">
        <f t="shared" si="3635"/>
        <v>0</v>
      </c>
      <c r="MF358" s="21">
        <f t="shared" si="3635"/>
        <v>0</v>
      </c>
      <c r="MG358" s="21">
        <f t="shared" si="3635"/>
        <v>0</v>
      </c>
      <c r="MH358" s="21">
        <f t="shared" ref="MH358:MO358" si="3636">IF($F$290, 0, IF($H$300, IF(AND(COLUMN($MH$358)-COLUMN($LJ$351)=$Q$291,ROW($MH$358)-ROW($LJ$351)=$K$291), U$290, MH358), MH358))</f>
        <v>0</v>
      </c>
      <c r="MI358" s="21">
        <f t="shared" si="3636"/>
        <v>0</v>
      </c>
      <c r="MJ358" s="21">
        <f t="shared" si="3636"/>
        <v>0</v>
      </c>
      <c r="MK358" s="21">
        <f t="shared" si="3636"/>
        <v>0</v>
      </c>
      <c r="ML358" s="21">
        <f t="shared" si="3636"/>
        <v>0</v>
      </c>
      <c r="MM358" s="21">
        <f t="shared" si="3636"/>
        <v>0</v>
      </c>
      <c r="MN358" s="21">
        <f t="shared" si="3636"/>
        <v>0</v>
      </c>
      <c r="MO358" s="21">
        <f t="shared" si="3636"/>
        <v>0</v>
      </c>
      <c r="MP358" s="21">
        <f t="shared" ref="MP358:MW358" si="3637">IF($F$290, 0, IF($H$300, IF(AND(COLUMN($MP$358)-COLUMN($LJ$351)=$Q$291,ROW($MP$358)-ROW($LJ$351)=$K$291), U$290, MP358), MP358))</f>
        <v>0</v>
      </c>
      <c r="MQ358" s="21">
        <f t="shared" si="3637"/>
        <v>0</v>
      </c>
      <c r="MR358" s="21">
        <f t="shared" si="3637"/>
        <v>0</v>
      </c>
      <c r="MS358" s="21">
        <f t="shared" si="3637"/>
        <v>0</v>
      </c>
      <c r="MT358" s="21">
        <f t="shared" si="3637"/>
        <v>0</v>
      </c>
      <c r="MU358" s="21">
        <f t="shared" si="3637"/>
        <v>0</v>
      </c>
      <c r="MV358" s="21">
        <f t="shared" si="3637"/>
        <v>0</v>
      </c>
      <c r="MW358" s="21">
        <f t="shared" si="3637"/>
        <v>0</v>
      </c>
      <c r="MX358" s="21">
        <f t="shared" ref="MX358:NE358" si="3638">IF($F$290, 0, IF($H$300, IF(AND(COLUMN($MX$358)-COLUMN($LJ$351)=$Q$291,ROW($MX$358)-ROW($LJ$351)=$K$291), U$290, MX358), MX358))</f>
        <v>0</v>
      </c>
      <c r="MY358" s="21">
        <f t="shared" si="3638"/>
        <v>0</v>
      </c>
      <c r="MZ358" s="21">
        <f t="shared" si="3638"/>
        <v>0</v>
      </c>
      <c r="NA358" s="21">
        <f t="shared" si="3638"/>
        <v>0</v>
      </c>
      <c r="NB358" s="21">
        <f t="shared" si="3638"/>
        <v>0</v>
      </c>
      <c r="NC358" s="21">
        <f t="shared" si="3638"/>
        <v>0</v>
      </c>
      <c r="ND358" s="21">
        <f t="shared" si="3638"/>
        <v>0</v>
      </c>
      <c r="NE358" s="21">
        <f t="shared" si="3638"/>
        <v>0</v>
      </c>
      <c r="NF358" s="21">
        <f t="shared" ref="NF358:NM358" si="3639">IF($F$290, 0, IF($H$300, IF(AND(COLUMN($NF$358)-COLUMN($LJ$351)=$Q$291,ROW($NF$358)-ROW($LJ$351)=$K$291), U$290, NF358), NF358))</f>
        <v>0</v>
      </c>
      <c r="NG358" s="21">
        <f t="shared" si="3639"/>
        <v>0</v>
      </c>
      <c r="NH358" s="21">
        <f t="shared" si="3639"/>
        <v>0</v>
      </c>
      <c r="NI358" s="21">
        <f t="shared" si="3639"/>
        <v>0</v>
      </c>
      <c r="NJ358" s="21">
        <f t="shared" si="3639"/>
        <v>0</v>
      </c>
      <c r="NK358" s="21">
        <f t="shared" si="3639"/>
        <v>0</v>
      </c>
      <c r="NL358" s="21">
        <f t="shared" si="3639"/>
        <v>0</v>
      </c>
      <c r="NM358" s="21">
        <f t="shared" si="3639"/>
        <v>0</v>
      </c>
      <c r="NN358" s="21">
        <f t="shared" ref="NN358:NU358" si="3640">IF($F$290, 0, IF($H$300, IF(AND(COLUMN($NN$358)-COLUMN($LJ$351)=$Q$291,ROW($NN$358)-ROW($LJ$351)=$K$291), U$290, NN358), NN358))</f>
        <v>0</v>
      </c>
      <c r="NO358" s="21">
        <f t="shared" si="3640"/>
        <v>0</v>
      </c>
      <c r="NP358" s="21">
        <f t="shared" si="3640"/>
        <v>0</v>
      </c>
      <c r="NQ358" s="21">
        <f t="shared" si="3640"/>
        <v>0</v>
      </c>
      <c r="NR358" s="21">
        <f t="shared" si="3640"/>
        <v>0</v>
      </c>
      <c r="NS358" s="21">
        <f t="shared" si="3640"/>
        <v>0</v>
      </c>
      <c r="NT358" s="21">
        <f t="shared" si="3640"/>
        <v>0</v>
      </c>
      <c r="NU358" s="21">
        <f t="shared" si="3640"/>
        <v>0</v>
      </c>
      <c r="NV358" s="21">
        <f t="shared" ref="NV358:OC358" si="3641">IF($F$290, 0, IF($I$300, IF(AND(COLUMN($NV$358)-COLUMN($NV$351)=$Q$291,ROW($NV$358)-ROW($NV$351)=$K$291), U$290, NV358), NV358))</f>
        <v>0</v>
      </c>
      <c r="NW358" s="21">
        <f t="shared" si="3641"/>
        <v>0</v>
      </c>
      <c r="NX358" s="21">
        <f t="shared" si="3641"/>
        <v>0</v>
      </c>
      <c r="NY358" s="21">
        <f t="shared" si="3641"/>
        <v>0</v>
      </c>
      <c r="NZ358" s="21">
        <f t="shared" si="3641"/>
        <v>0</v>
      </c>
      <c r="OA358" s="21">
        <f t="shared" si="3641"/>
        <v>0</v>
      </c>
      <c r="OB358" s="21">
        <f t="shared" si="3641"/>
        <v>0</v>
      </c>
      <c r="OC358" s="21">
        <f t="shared" si="3641"/>
        <v>0</v>
      </c>
      <c r="OD358" s="21">
        <f t="shared" ref="OD358:OK358" si="3642">IF($F$290, 0, IF($I$300, IF(AND(COLUMN($OD$358)-COLUMN($NV$351)=$Q$291,ROW($OD$358)-ROW($NV$351)=$K$291), U$290, OD358), OD358))</f>
        <v>0</v>
      </c>
      <c r="OE358" s="21">
        <f t="shared" si="3642"/>
        <v>0</v>
      </c>
      <c r="OF358" s="21">
        <f t="shared" si="3642"/>
        <v>0</v>
      </c>
      <c r="OG358" s="21">
        <f t="shared" si="3642"/>
        <v>0</v>
      </c>
      <c r="OH358" s="21">
        <f t="shared" si="3642"/>
        <v>0</v>
      </c>
      <c r="OI358" s="21">
        <f t="shared" si="3642"/>
        <v>0</v>
      </c>
      <c r="OJ358" s="21">
        <f t="shared" si="3642"/>
        <v>0</v>
      </c>
      <c r="OK358" s="21">
        <f t="shared" si="3642"/>
        <v>0</v>
      </c>
      <c r="OL358" s="21">
        <f t="shared" ref="OL358:OS358" si="3643">IF($F$290, 0, IF($I$300, IF(AND(COLUMN($OL$358)-COLUMN($NV$351)=$Q$291,ROW($OL$358)-ROW($NV$351)=$K$291), U$290, OL358), OL358))</f>
        <v>0</v>
      </c>
      <c r="OM358" s="21">
        <f t="shared" si="3643"/>
        <v>0</v>
      </c>
      <c r="ON358" s="21">
        <f t="shared" si="3643"/>
        <v>0</v>
      </c>
      <c r="OO358" s="21">
        <f t="shared" si="3643"/>
        <v>0</v>
      </c>
      <c r="OP358" s="21">
        <f t="shared" si="3643"/>
        <v>0</v>
      </c>
      <c r="OQ358" s="21">
        <f t="shared" si="3643"/>
        <v>0</v>
      </c>
      <c r="OR358" s="21">
        <f t="shared" si="3643"/>
        <v>0</v>
      </c>
      <c r="OS358" s="21">
        <f t="shared" si="3643"/>
        <v>0</v>
      </c>
      <c r="OT358" s="21">
        <f t="shared" ref="OT358:PA358" si="3644">IF($F$290, 0, IF($I$300, IF(AND(COLUMN($OT$358)-COLUMN($NV$351)=$Q$291,ROW($OT$358)-ROW($NV$351)=$K$291), U$290, OT358), OT358))</f>
        <v>0</v>
      </c>
      <c r="OU358" s="21">
        <f t="shared" si="3644"/>
        <v>0</v>
      </c>
      <c r="OV358" s="21">
        <f t="shared" si="3644"/>
        <v>0</v>
      </c>
      <c r="OW358" s="21">
        <f t="shared" si="3644"/>
        <v>0</v>
      </c>
      <c r="OX358" s="21">
        <f t="shared" si="3644"/>
        <v>0</v>
      </c>
      <c r="OY358" s="21">
        <f t="shared" si="3644"/>
        <v>0</v>
      </c>
      <c r="OZ358" s="21">
        <f t="shared" si="3644"/>
        <v>0</v>
      </c>
      <c r="PA358" s="21">
        <f t="shared" si="3644"/>
        <v>0</v>
      </c>
      <c r="PB358" s="21">
        <f t="shared" ref="PB358:PI358" si="3645">IF($F$290, 0, IF($I$300, IF(AND(COLUMN($PB$358)-COLUMN($NV$351)=$Q$291,ROW($PB$358)-ROW($NV$351)=$K$291), U$290, PB358), PB358))</f>
        <v>0</v>
      </c>
      <c r="PC358" s="21">
        <f t="shared" si="3645"/>
        <v>0</v>
      </c>
      <c r="PD358" s="21">
        <f t="shared" si="3645"/>
        <v>0</v>
      </c>
      <c r="PE358" s="21">
        <f t="shared" si="3645"/>
        <v>0</v>
      </c>
      <c r="PF358" s="21">
        <f t="shared" si="3645"/>
        <v>0</v>
      </c>
      <c r="PG358" s="21">
        <f t="shared" si="3645"/>
        <v>0</v>
      </c>
      <c r="PH358" s="21">
        <f t="shared" si="3645"/>
        <v>0</v>
      </c>
      <c r="PI358" s="21">
        <f t="shared" si="3645"/>
        <v>0</v>
      </c>
      <c r="PJ358" s="21">
        <f t="shared" ref="PJ358:PQ358" si="3646">IF($F$290, 0, IF($I$300, IF(AND(COLUMN($PJ$358)-COLUMN($NV$351)=$Q$291,ROW($PJ$358)-ROW($NV$351)=$K$291), U$290, PJ358), PJ358))</f>
        <v>0</v>
      </c>
      <c r="PK358" s="21">
        <f t="shared" si="3646"/>
        <v>0</v>
      </c>
      <c r="PL358" s="21">
        <f t="shared" si="3646"/>
        <v>0</v>
      </c>
      <c r="PM358" s="21">
        <f t="shared" si="3646"/>
        <v>0</v>
      </c>
      <c r="PN358" s="21">
        <f t="shared" si="3646"/>
        <v>0</v>
      </c>
      <c r="PO358" s="21">
        <f t="shared" si="3646"/>
        <v>0</v>
      </c>
      <c r="PP358" s="21">
        <f t="shared" si="3646"/>
        <v>0</v>
      </c>
      <c r="PQ358" s="21">
        <f t="shared" si="3646"/>
        <v>0</v>
      </c>
      <c r="PR358" s="21">
        <f t="shared" ref="PR358:PY358" si="3647">IF($F$290, 0, IF($I$300, IF(AND(COLUMN($PR$358)-COLUMN($NV$351)=$Q$291,ROW($PR$358)-ROW($NV$351)=$K$291), U$290, PR358), PR358))</f>
        <v>0</v>
      </c>
      <c r="PS358" s="21">
        <f t="shared" si="3647"/>
        <v>0</v>
      </c>
      <c r="PT358" s="21">
        <f t="shared" si="3647"/>
        <v>0</v>
      </c>
      <c r="PU358" s="21">
        <f t="shared" si="3647"/>
        <v>0</v>
      </c>
      <c r="PV358" s="21">
        <f t="shared" si="3647"/>
        <v>0</v>
      </c>
      <c r="PW358" s="21">
        <f t="shared" si="3647"/>
        <v>0</v>
      </c>
      <c r="PX358" s="21">
        <f t="shared" si="3647"/>
        <v>0</v>
      </c>
      <c r="PY358" s="21">
        <f t="shared" si="3647"/>
        <v>0</v>
      </c>
      <c r="PZ358" s="21">
        <f t="shared" ref="PZ358:QG358" si="3648">IF($F$290, 0, IF($I$300, IF(AND(COLUMN($PZ$358)-COLUMN($NV$351)=$Q$291,ROW($PZ$358)-ROW($NV$351)=$K$291), U$290, PZ358), PZ358))</f>
        <v>0</v>
      </c>
      <c r="QA358" s="21">
        <f t="shared" si="3648"/>
        <v>0</v>
      </c>
      <c r="QB358" s="21">
        <f t="shared" si="3648"/>
        <v>0</v>
      </c>
      <c r="QC358" s="21">
        <f t="shared" si="3648"/>
        <v>0</v>
      </c>
      <c r="QD358" s="21">
        <f t="shared" si="3648"/>
        <v>0</v>
      </c>
      <c r="QE358" s="21">
        <f t="shared" si="3648"/>
        <v>0</v>
      </c>
      <c r="QF358" s="21">
        <f t="shared" si="3648"/>
        <v>0</v>
      </c>
      <c r="QG358" s="21">
        <f t="shared" si="3648"/>
        <v>0</v>
      </c>
      <c r="QH358" s="21">
        <f t="shared" ref="QH358:QO358" si="3649">IF($F$290, 0, IF($J$300, IF(AND(COLUMN($QH$358)-COLUMN($QH$351)=$Q$291,ROW($QH$358)-ROW($QH$351)=$K$291), U$290, QH358), QH358))</f>
        <v>0</v>
      </c>
      <c r="QI358" s="21">
        <f t="shared" si="3649"/>
        <v>0</v>
      </c>
      <c r="QJ358" s="21">
        <f t="shared" si="3649"/>
        <v>0</v>
      </c>
      <c r="QK358" s="21">
        <f t="shared" si="3649"/>
        <v>0</v>
      </c>
      <c r="QL358" s="21">
        <f t="shared" si="3649"/>
        <v>0</v>
      </c>
      <c r="QM358" s="21">
        <f t="shared" si="3649"/>
        <v>0</v>
      </c>
      <c r="QN358" s="21">
        <f t="shared" si="3649"/>
        <v>0</v>
      </c>
      <c r="QO358" s="21">
        <f t="shared" si="3649"/>
        <v>0</v>
      </c>
      <c r="QP358" s="21">
        <f t="shared" ref="QP358:QW358" si="3650">IF($F$290, 0, IF($J$300, IF(AND(COLUMN($QP$358)-COLUMN($QH$351)=$Q$291,ROW($QP$358)-ROW($QH$351)=$K$291), U$290, QP358), QP358))</f>
        <v>0</v>
      </c>
      <c r="QQ358" s="21">
        <f t="shared" si="3650"/>
        <v>0</v>
      </c>
      <c r="QR358" s="21">
        <f t="shared" si="3650"/>
        <v>0</v>
      </c>
      <c r="QS358" s="21">
        <f t="shared" si="3650"/>
        <v>0</v>
      </c>
      <c r="QT358" s="21">
        <f t="shared" si="3650"/>
        <v>0</v>
      </c>
      <c r="QU358" s="21">
        <f t="shared" si="3650"/>
        <v>0</v>
      </c>
      <c r="QV358" s="21">
        <f t="shared" si="3650"/>
        <v>0</v>
      </c>
      <c r="QW358" s="21">
        <f t="shared" si="3650"/>
        <v>0</v>
      </c>
      <c r="QX358" s="21">
        <f t="shared" ref="QX358:RE358" si="3651">IF($F$290, 0, IF($J$300, IF(AND(COLUMN($QX$358)-COLUMN($QH$351)=$Q$291,ROW($QX$358)-ROW($QH$351)=$K$291), U$290, QX358), QX358))</f>
        <v>0</v>
      </c>
      <c r="QY358" s="21">
        <f t="shared" si="3651"/>
        <v>0</v>
      </c>
      <c r="QZ358" s="21">
        <f t="shared" si="3651"/>
        <v>0</v>
      </c>
      <c r="RA358" s="21">
        <f t="shared" si="3651"/>
        <v>0</v>
      </c>
      <c r="RB358" s="21">
        <f t="shared" si="3651"/>
        <v>0</v>
      </c>
      <c r="RC358" s="21">
        <f t="shared" si="3651"/>
        <v>0</v>
      </c>
      <c r="RD358" s="21">
        <f t="shared" si="3651"/>
        <v>0</v>
      </c>
      <c r="RE358" s="21">
        <f t="shared" si="3651"/>
        <v>0</v>
      </c>
      <c r="RF358" s="21">
        <f t="shared" ref="RF358:RM358" si="3652">IF($F$290, 0, IF($J$300, IF(AND(COLUMN($RF$358)-COLUMN($QH$351)=$Q$291,ROW($RF$358)-ROW($QH$351)=$K$291), U$290, RF358), RF358))</f>
        <v>0</v>
      </c>
      <c r="RG358" s="21">
        <f t="shared" si="3652"/>
        <v>0</v>
      </c>
      <c r="RH358" s="21">
        <f t="shared" si="3652"/>
        <v>0</v>
      </c>
      <c r="RI358" s="21">
        <f t="shared" si="3652"/>
        <v>0</v>
      </c>
      <c r="RJ358" s="21">
        <f t="shared" si="3652"/>
        <v>0</v>
      </c>
      <c r="RK358" s="21">
        <f t="shared" si="3652"/>
        <v>0</v>
      </c>
      <c r="RL358" s="21">
        <f t="shared" si="3652"/>
        <v>0</v>
      </c>
      <c r="RM358" s="21">
        <f t="shared" si="3652"/>
        <v>0</v>
      </c>
      <c r="RN358" s="21">
        <f t="shared" ref="RN358:RU358" si="3653">IF($F$290, 0, IF($J$300, IF(AND(COLUMN($RN$358)-COLUMN($QH$351)=$Q$291,ROW($RN$358)-ROW($QH$351)=$K$291), U$290, RN358), RN358))</f>
        <v>0</v>
      </c>
      <c r="RO358" s="21">
        <f t="shared" si="3653"/>
        <v>0</v>
      </c>
      <c r="RP358" s="21">
        <f t="shared" si="3653"/>
        <v>0</v>
      </c>
      <c r="RQ358" s="21">
        <f t="shared" si="3653"/>
        <v>0</v>
      </c>
      <c r="RR358" s="21">
        <f t="shared" si="3653"/>
        <v>0</v>
      </c>
      <c r="RS358" s="21">
        <f t="shared" si="3653"/>
        <v>0</v>
      </c>
      <c r="RT358" s="21">
        <f t="shared" si="3653"/>
        <v>0</v>
      </c>
      <c r="RU358" s="21">
        <f t="shared" si="3653"/>
        <v>0</v>
      </c>
      <c r="RV358" s="21">
        <f t="shared" ref="RV358:SC358" si="3654">IF($F$290, 0, IF($J$300, IF(AND(COLUMN($RV$358)-COLUMN($QH$351)=$Q$291,ROW($RV$358)-ROW($QH$351)=$K$291), U$290, RV358), RV358))</f>
        <v>0</v>
      </c>
      <c r="RW358" s="21">
        <f t="shared" si="3654"/>
        <v>0</v>
      </c>
      <c r="RX358" s="21">
        <f t="shared" si="3654"/>
        <v>0</v>
      </c>
      <c r="RY358" s="21">
        <f t="shared" si="3654"/>
        <v>0</v>
      </c>
      <c r="RZ358" s="21">
        <f t="shared" si="3654"/>
        <v>0</v>
      </c>
      <c r="SA358" s="21">
        <f t="shared" si="3654"/>
        <v>0</v>
      </c>
      <c r="SB358" s="21">
        <f t="shared" si="3654"/>
        <v>0</v>
      </c>
      <c r="SC358" s="21">
        <f t="shared" si="3654"/>
        <v>0</v>
      </c>
      <c r="SD358" s="21">
        <f t="shared" ref="SD358:SK358" si="3655">IF($F$290, 0, IF($J$300, IF(AND(COLUMN($SD$358)-COLUMN($QH$351)=$Q$291,ROW($SD$358)-ROW($QH$351)=$K$291), U$290, SD358), SD358))</f>
        <v>0</v>
      </c>
      <c r="SE358" s="21">
        <f t="shared" si="3655"/>
        <v>0</v>
      </c>
      <c r="SF358" s="21">
        <f t="shared" si="3655"/>
        <v>0</v>
      </c>
      <c r="SG358" s="21">
        <f t="shared" si="3655"/>
        <v>0</v>
      </c>
      <c r="SH358" s="21">
        <f t="shared" si="3655"/>
        <v>0</v>
      </c>
      <c r="SI358" s="21">
        <f t="shared" si="3655"/>
        <v>0</v>
      </c>
      <c r="SJ358" s="21">
        <f t="shared" si="3655"/>
        <v>0</v>
      </c>
      <c r="SK358" s="21">
        <f t="shared" si="3655"/>
        <v>0</v>
      </c>
      <c r="SL358" s="21">
        <f t="shared" ref="SL358:SS358" si="3656">IF($F$290, 0, IF($J$300, IF(AND(COLUMN($SL$358)-COLUMN($QH$351)=$Q$291,ROW($SL$358)-ROW($QH$351)=$K$291), U$290, SL358), SL358))</f>
        <v>0</v>
      </c>
      <c r="SM358" s="21">
        <f t="shared" si="3656"/>
        <v>0</v>
      </c>
      <c r="SN358" s="21">
        <f t="shared" si="3656"/>
        <v>0</v>
      </c>
      <c r="SO358" s="21">
        <f t="shared" si="3656"/>
        <v>0</v>
      </c>
      <c r="SP358" s="21">
        <f t="shared" si="3656"/>
        <v>0</v>
      </c>
      <c r="SQ358" s="21">
        <f t="shared" si="3656"/>
        <v>0</v>
      </c>
      <c r="SR358" s="21">
        <f t="shared" si="3656"/>
        <v>0</v>
      </c>
      <c r="SS358" s="21">
        <f t="shared" si="3656"/>
        <v>0</v>
      </c>
    </row>
    <row r="359" spans="2:513" ht="15" customHeight="1" x14ac:dyDescent="0.25">
      <c r="B359" s="21">
        <f t="shared" ref="B359:I359" si="3657">IF($F$290, 0, IF($C$301, IF(AND(COLUMN($B$359)-COLUMN($B$359)=$Q$291,ROW($B$359)-ROW($B$359)=$K$291), U$290, B359), B359))</f>
        <v>0</v>
      </c>
      <c r="C359" s="21">
        <f t="shared" si="3657"/>
        <v>0</v>
      </c>
      <c r="D359" s="21">
        <f t="shared" si="3657"/>
        <v>0</v>
      </c>
      <c r="E359" s="21">
        <f t="shared" si="3657"/>
        <v>0</v>
      </c>
      <c r="F359" s="21">
        <f t="shared" si="3657"/>
        <v>0</v>
      </c>
      <c r="G359" s="21">
        <f t="shared" si="3657"/>
        <v>0</v>
      </c>
      <c r="H359" s="21">
        <f t="shared" si="3657"/>
        <v>0</v>
      </c>
      <c r="I359" s="21">
        <f t="shared" si="3657"/>
        <v>0</v>
      </c>
      <c r="J359" s="21">
        <f t="shared" ref="J359:Q359" si="3658">IF($F$290, 0, IF($C$301, IF(AND(COLUMN($J$359)-COLUMN($B$359)=$Q$291,ROW($J$359)-ROW($B$359)=$K$291), U$290, J359), J359))</f>
        <v>0</v>
      </c>
      <c r="K359" s="21">
        <f t="shared" si="3658"/>
        <v>0</v>
      </c>
      <c r="L359" s="21">
        <f t="shared" si="3658"/>
        <v>0</v>
      </c>
      <c r="M359" s="21">
        <f t="shared" si="3658"/>
        <v>0</v>
      </c>
      <c r="N359" s="21">
        <f t="shared" si="3658"/>
        <v>0</v>
      </c>
      <c r="O359" s="21">
        <f t="shared" si="3658"/>
        <v>0</v>
      </c>
      <c r="P359" s="21">
        <f t="shared" si="3658"/>
        <v>0</v>
      </c>
      <c r="Q359" s="21">
        <f t="shared" si="3658"/>
        <v>0</v>
      </c>
      <c r="R359" s="21">
        <f>IF($F$290, 0, IF($C$301, IF(AND(COLUMN($R$359)-COLUMN($B$359)=$Q$291,ROW($R$359)-ROW($B$359)=$K$291), U$290, R359), R359))</f>
        <v>0</v>
      </c>
      <c r="S359" s="21">
        <f t="shared" ref="S359:Y359" si="3659">IF($F$290, 0, IF($C$301, IF(AND(COLUMN($R$359)-COLUMN($B$359)=$Q$291,ROW($R$359)-ROW($B$359)=$K$291), V$290, S359), S359))</f>
        <v>0</v>
      </c>
      <c r="T359" s="21">
        <f t="shared" si="3659"/>
        <v>0</v>
      </c>
      <c r="U359" s="21">
        <f t="shared" si="3659"/>
        <v>0</v>
      </c>
      <c r="V359" s="21">
        <f t="shared" si="3659"/>
        <v>0</v>
      </c>
      <c r="W359" s="21">
        <f t="shared" si="3659"/>
        <v>0</v>
      </c>
      <c r="X359" s="21">
        <f t="shared" si="3659"/>
        <v>0</v>
      </c>
      <c r="Y359" s="21">
        <f t="shared" si="3659"/>
        <v>0</v>
      </c>
      <c r="Z359" s="21">
        <f t="shared" ref="Z359:AG359" si="3660">IF($F$290, 0, IF($C$301, IF(AND(COLUMN($Z$359)-COLUMN($B$359)=$Q$291,ROW($Z$359)-ROW($B$359)=$K$291), U$290, Z359), Z359))</f>
        <v>0</v>
      </c>
      <c r="AA359" s="21">
        <f t="shared" si="3660"/>
        <v>0</v>
      </c>
      <c r="AB359" s="21">
        <f t="shared" si="3660"/>
        <v>0</v>
      </c>
      <c r="AC359" s="21">
        <f t="shared" si="3660"/>
        <v>0</v>
      </c>
      <c r="AD359" s="21">
        <f t="shared" si="3660"/>
        <v>0</v>
      </c>
      <c r="AE359" s="21">
        <f t="shared" si="3660"/>
        <v>0</v>
      </c>
      <c r="AF359" s="21">
        <f t="shared" si="3660"/>
        <v>0</v>
      </c>
      <c r="AG359" s="21">
        <f t="shared" si="3660"/>
        <v>0</v>
      </c>
      <c r="AH359" s="21">
        <f t="shared" ref="AH359:AO359" si="3661">IF($F$290, 0, IF($C$301, IF(AND(COLUMN($AH$359)-COLUMN($B$359)=$Q$291,ROW($AH$359)-ROW($B$359)=$K$291), U$290, AH359), AH359))</f>
        <v>0</v>
      </c>
      <c r="AI359" s="21">
        <f t="shared" si="3661"/>
        <v>0</v>
      </c>
      <c r="AJ359" s="21">
        <f t="shared" si="3661"/>
        <v>0</v>
      </c>
      <c r="AK359" s="21">
        <f t="shared" si="3661"/>
        <v>0</v>
      </c>
      <c r="AL359" s="21">
        <f t="shared" si="3661"/>
        <v>0</v>
      </c>
      <c r="AM359" s="21">
        <f t="shared" si="3661"/>
        <v>0</v>
      </c>
      <c r="AN359" s="21">
        <f t="shared" si="3661"/>
        <v>0</v>
      </c>
      <c r="AO359" s="21">
        <f t="shared" si="3661"/>
        <v>0</v>
      </c>
      <c r="AP359" s="21">
        <f t="shared" ref="AP359:AW359" si="3662">IF($F$290, 0, IF($C$301, IF(AND(COLUMN($AP$359)-COLUMN($B$359)=$Q$291,ROW($AP$359)-ROW($B$359)=$K$291), U$290, AP359), AP359))</f>
        <v>0</v>
      </c>
      <c r="AQ359" s="21">
        <f t="shared" si="3662"/>
        <v>0</v>
      </c>
      <c r="AR359" s="21">
        <f t="shared" si="3662"/>
        <v>0</v>
      </c>
      <c r="AS359" s="21">
        <f t="shared" si="3662"/>
        <v>0</v>
      </c>
      <c r="AT359" s="21">
        <f t="shared" si="3662"/>
        <v>0</v>
      </c>
      <c r="AU359" s="21">
        <f t="shared" si="3662"/>
        <v>0</v>
      </c>
      <c r="AV359" s="21">
        <f t="shared" si="3662"/>
        <v>0</v>
      </c>
      <c r="AW359" s="21">
        <f t="shared" si="3662"/>
        <v>0</v>
      </c>
      <c r="AX359" s="21">
        <f t="shared" ref="AX359:BE359" si="3663">IF($F$290, 0, IF($C$301, IF(AND(COLUMN($AX$359)-COLUMN($B$359)=$Q$291,ROW($AX$359)-ROW($B$359)=$K$291), U$290, AX359), AX359))</f>
        <v>0</v>
      </c>
      <c r="AY359" s="21">
        <f t="shared" si="3663"/>
        <v>0</v>
      </c>
      <c r="AZ359" s="21">
        <f t="shared" si="3663"/>
        <v>0</v>
      </c>
      <c r="BA359" s="21">
        <f t="shared" si="3663"/>
        <v>0</v>
      </c>
      <c r="BB359" s="21">
        <f t="shared" si="3663"/>
        <v>0</v>
      </c>
      <c r="BC359" s="21">
        <f t="shared" si="3663"/>
        <v>0</v>
      </c>
      <c r="BD359" s="21">
        <f t="shared" si="3663"/>
        <v>0</v>
      </c>
      <c r="BE359" s="21">
        <f t="shared" si="3663"/>
        <v>0</v>
      </c>
      <c r="BF359" s="21">
        <f t="shared" ref="BF359:BM359" si="3664">IF($F$290, 0, IF($C$301, IF(AND(COLUMN($BF$359)-COLUMN($B$359)=$Q$291,ROW($BF$359)-ROW($B$359)=$K$291), U$290, BF359), BF359))</f>
        <v>0</v>
      </c>
      <c r="BG359" s="21">
        <f t="shared" si="3664"/>
        <v>0</v>
      </c>
      <c r="BH359" s="21">
        <f t="shared" si="3664"/>
        <v>0</v>
      </c>
      <c r="BI359" s="21">
        <f t="shared" si="3664"/>
        <v>0</v>
      </c>
      <c r="BJ359" s="21">
        <f t="shared" si="3664"/>
        <v>0</v>
      </c>
      <c r="BK359" s="21">
        <f t="shared" si="3664"/>
        <v>0</v>
      </c>
      <c r="BL359" s="21">
        <f t="shared" si="3664"/>
        <v>0</v>
      </c>
      <c r="BM359" s="21">
        <f t="shared" si="3664"/>
        <v>0</v>
      </c>
      <c r="BN359" s="21">
        <f t="shared" ref="BN359:BU359" si="3665">IF($F$290, 0, IF($D$301, IF(AND(COLUMN($BN$359)-COLUMN($BN$359)=$Q$291,ROW($BN$359)-ROW($BN$359)=$K$291), U$290, BN359), BN359))</f>
        <v>0</v>
      </c>
      <c r="BO359" s="21">
        <f t="shared" si="3665"/>
        <v>0</v>
      </c>
      <c r="BP359" s="21">
        <f t="shared" si="3665"/>
        <v>0</v>
      </c>
      <c r="BQ359" s="21">
        <f t="shared" si="3665"/>
        <v>0</v>
      </c>
      <c r="BR359" s="21">
        <f t="shared" si="3665"/>
        <v>0</v>
      </c>
      <c r="BS359" s="21">
        <f t="shared" si="3665"/>
        <v>0</v>
      </c>
      <c r="BT359" s="21">
        <f t="shared" si="3665"/>
        <v>0</v>
      </c>
      <c r="BU359" s="21">
        <f t="shared" si="3665"/>
        <v>0</v>
      </c>
      <c r="BV359" s="21">
        <f t="shared" ref="BV359:CC359" si="3666">IF($F$290, 0, IF($D$301, IF(AND(COLUMN($BV$359)-COLUMN($BN$359)=$Q$291,ROW($BV$359)-ROW($BN$359)=$K$291), U$290, BV359), BV359))</f>
        <v>0</v>
      </c>
      <c r="BW359" s="21">
        <f t="shared" si="3666"/>
        <v>0</v>
      </c>
      <c r="BX359" s="21">
        <f t="shared" si="3666"/>
        <v>0</v>
      </c>
      <c r="BY359" s="21">
        <f t="shared" si="3666"/>
        <v>0</v>
      </c>
      <c r="BZ359" s="21">
        <f t="shared" si="3666"/>
        <v>0</v>
      </c>
      <c r="CA359" s="21">
        <f t="shared" si="3666"/>
        <v>0</v>
      </c>
      <c r="CB359" s="21">
        <f t="shared" si="3666"/>
        <v>0</v>
      </c>
      <c r="CC359" s="21">
        <f t="shared" si="3666"/>
        <v>0</v>
      </c>
      <c r="CD359" s="21">
        <f t="shared" ref="CD359:CK359" si="3667">IF($F$290, 0, IF($D$301, IF(AND(COLUMN($CD$359)-COLUMN($BN$359)=$Q$291,ROW($CD$359)-ROW($BN$359)=$K$291), U$290, CD359), CD359))</f>
        <v>0</v>
      </c>
      <c r="CE359" s="21">
        <f t="shared" si="3667"/>
        <v>0</v>
      </c>
      <c r="CF359" s="21">
        <f t="shared" si="3667"/>
        <v>0</v>
      </c>
      <c r="CG359" s="21">
        <f t="shared" si="3667"/>
        <v>0</v>
      </c>
      <c r="CH359" s="21">
        <f t="shared" si="3667"/>
        <v>0</v>
      </c>
      <c r="CI359" s="21">
        <f t="shared" si="3667"/>
        <v>0</v>
      </c>
      <c r="CJ359" s="21">
        <f t="shared" si="3667"/>
        <v>0</v>
      </c>
      <c r="CK359" s="21">
        <f t="shared" si="3667"/>
        <v>0</v>
      </c>
      <c r="CL359" s="21">
        <f t="shared" ref="CL359:CS359" si="3668">IF($F$290, 0, IF($D$301, IF(AND(COLUMN($CL$359)-COLUMN($BN$359)=$Q$291,ROW($CL$359)-ROW($BN$359)=$K$291), U$290, CL359), CL359))</f>
        <v>0</v>
      </c>
      <c r="CM359" s="21">
        <f t="shared" si="3668"/>
        <v>0</v>
      </c>
      <c r="CN359" s="21">
        <f t="shared" si="3668"/>
        <v>0</v>
      </c>
      <c r="CO359" s="21">
        <f t="shared" si="3668"/>
        <v>0</v>
      </c>
      <c r="CP359" s="21">
        <f t="shared" si="3668"/>
        <v>0</v>
      </c>
      <c r="CQ359" s="21">
        <f t="shared" si="3668"/>
        <v>0</v>
      </c>
      <c r="CR359" s="21">
        <f t="shared" si="3668"/>
        <v>0</v>
      </c>
      <c r="CS359" s="21">
        <f t="shared" si="3668"/>
        <v>0</v>
      </c>
      <c r="CT359" s="21">
        <f t="shared" ref="CT359:DA359" si="3669">IF($F$290, 0, IF($D$301, IF(AND(COLUMN($CT$359)-COLUMN($BN$359)=$Q$291,ROW($CT$359)-ROW($BN$359)=$K$291), U$290, CT359), CT359))</f>
        <v>0</v>
      </c>
      <c r="CU359" s="21">
        <f t="shared" si="3669"/>
        <v>0</v>
      </c>
      <c r="CV359" s="21">
        <f t="shared" si="3669"/>
        <v>0</v>
      </c>
      <c r="CW359" s="21">
        <f t="shared" si="3669"/>
        <v>0</v>
      </c>
      <c r="CX359" s="21">
        <f t="shared" si="3669"/>
        <v>0</v>
      </c>
      <c r="CY359" s="21">
        <f t="shared" si="3669"/>
        <v>0</v>
      </c>
      <c r="CZ359" s="21">
        <f t="shared" si="3669"/>
        <v>0</v>
      </c>
      <c r="DA359" s="21">
        <f t="shared" si="3669"/>
        <v>0</v>
      </c>
      <c r="DB359" s="21">
        <f t="shared" ref="DB359:DI359" si="3670">IF($F$290, 0, IF($D$301, IF(AND(COLUMN($DB$359)-COLUMN($BN$359)=$Q$291,ROW($DB$359)-ROW($BN$359)=$K$291), U$290, DB359), DB359))</f>
        <v>0</v>
      </c>
      <c r="DC359" s="21">
        <f t="shared" si="3670"/>
        <v>0</v>
      </c>
      <c r="DD359" s="21">
        <f t="shared" si="3670"/>
        <v>0</v>
      </c>
      <c r="DE359" s="21">
        <f t="shared" si="3670"/>
        <v>0</v>
      </c>
      <c r="DF359" s="21">
        <f t="shared" si="3670"/>
        <v>0</v>
      </c>
      <c r="DG359" s="21">
        <f t="shared" si="3670"/>
        <v>0</v>
      </c>
      <c r="DH359" s="21">
        <f t="shared" si="3670"/>
        <v>0</v>
      </c>
      <c r="DI359" s="21">
        <f t="shared" si="3670"/>
        <v>0</v>
      </c>
      <c r="DJ359" s="21">
        <f t="shared" ref="DJ359:DQ359" si="3671">IF($F$290, 0, IF($D$301, IF(AND(COLUMN($DJ$359)-COLUMN($BN$359)=$Q$291,ROW($DJ$359)-ROW($BN$359)=$K$291), U$290, DJ359), DJ359))</f>
        <v>0</v>
      </c>
      <c r="DK359" s="21">
        <f t="shared" si="3671"/>
        <v>0</v>
      </c>
      <c r="DL359" s="21">
        <f t="shared" si="3671"/>
        <v>0</v>
      </c>
      <c r="DM359" s="21">
        <f t="shared" si="3671"/>
        <v>0</v>
      </c>
      <c r="DN359" s="21">
        <f t="shared" si="3671"/>
        <v>0</v>
      </c>
      <c r="DO359" s="21">
        <f t="shared" si="3671"/>
        <v>0</v>
      </c>
      <c r="DP359" s="21">
        <f t="shared" si="3671"/>
        <v>0</v>
      </c>
      <c r="DQ359" s="21">
        <f t="shared" si="3671"/>
        <v>0</v>
      </c>
      <c r="DR359" s="21">
        <f t="shared" ref="DR359:DY359" si="3672">IF($F$290, 0, IF($D$301, IF(AND(COLUMN($DR$359)-COLUMN($BN$359)=$Q$291,ROW($DR$359)-ROW($BN$359)=$K$291), U$290, DR359), DR359))</f>
        <v>0</v>
      </c>
      <c r="DS359" s="21">
        <f t="shared" si="3672"/>
        <v>0</v>
      </c>
      <c r="DT359" s="21">
        <f t="shared" si="3672"/>
        <v>0</v>
      </c>
      <c r="DU359" s="21">
        <f t="shared" si="3672"/>
        <v>0</v>
      </c>
      <c r="DV359" s="21">
        <f t="shared" si="3672"/>
        <v>0</v>
      </c>
      <c r="DW359" s="21">
        <f t="shared" si="3672"/>
        <v>0</v>
      </c>
      <c r="DX359" s="21">
        <f t="shared" si="3672"/>
        <v>0</v>
      </c>
      <c r="DY359" s="21">
        <f t="shared" si="3672"/>
        <v>0</v>
      </c>
      <c r="DZ359" s="21">
        <f t="shared" ref="DZ359:EG359" si="3673">IF($F$290, 0, IF($E$301, IF(AND(COLUMN($DZ$359)-COLUMN($DZ$359)=$Q$291,ROW($DZ$359)-ROW($DZ$359)=$K$291), U$290, DZ359), DZ359))</f>
        <v>0</v>
      </c>
      <c r="EA359" s="21">
        <f t="shared" si="3673"/>
        <v>0</v>
      </c>
      <c r="EB359" s="21">
        <f t="shared" si="3673"/>
        <v>0</v>
      </c>
      <c r="EC359" s="21">
        <f t="shared" si="3673"/>
        <v>0</v>
      </c>
      <c r="ED359" s="21">
        <f t="shared" si="3673"/>
        <v>0</v>
      </c>
      <c r="EE359" s="21">
        <f t="shared" si="3673"/>
        <v>0</v>
      </c>
      <c r="EF359" s="21">
        <f t="shared" si="3673"/>
        <v>0</v>
      </c>
      <c r="EG359" s="21">
        <f t="shared" si="3673"/>
        <v>0</v>
      </c>
      <c r="EH359" s="21">
        <f t="shared" ref="EH359:EO359" si="3674">IF($F$290, 0, IF($E$301, IF(AND(COLUMN($EH$359)-COLUMN($DZ$359)=$Q$291,ROW($EH$359)-ROW($DZ$359)=$K$291), U$290, EH359), EH359))</f>
        <v>0</v>
      </c>
      <c r="EI359" s="21">
        <f t="shared" si="3674"/>
        <v>0</v>
      </c>
      <c r="EJ359" s="21">
        <f t="shared" si="3674"/>
        <v>0</v>
      </c>
      <c r="EK359" s="21">
        <f t="shared" si="3674"/>
        <v>0</v>
      </c>
      <c r="EL359" s="21">
        <f t="shared" si="3674"/>
        <v>0</v>
      </c>
      <c r="EM359" s="21">
        <f t="shared" si="3674"/>
        <v>0</v>
      </c>
      <c r="EN359" s="21">
        <f t="shared" si="3674"/>
        <v>0</v>
      </c>
      <c r="EO359" s="21">
        <f t="shared" si="3674"/>
        <v>0</v>
      </c>
      <c r="EP359" s="21">
        <f t="shared" ref="EP359:EW359" si="3675">IF($F$290, 0, IF($E$301, IF(AND(COLUMN($EP$359)-COLUMN($DZ$359)=$Q$291,ROW($EP$359)-ROW($DZ$359)=$K$291), U$290, EP359), EP359))</f>
        <v>0</v>
      </c>
      <c r="EQ359" s="21">
        <f t="shared" si="3675"/>
        <v>0</v>
      </c>
      <c r="ER359" s="21">
        <f t="shared" si="3675"/>
        <v>0</v>
      </c>
      <c r="ES359" s="21">
        <f t="shared" si="3675"/>
        <v>0</v>
      </c>
      <c r="ET359" s="21">
        <f t="shared" si="3675"/>
        <v>0</v>
      </c>
      <c r="EU359" s="21">
        <f t="shared" si="3675"/>
        <v>0</v>
      </c>
      <c r="EV359" s="21">
        <f t="shared" si="3675"/>
        <v>0</v>
      </c>
      <c r="EW359" s="21">
        <f t="shared" si="3675"/>
        <v>0</v>
      </c>
      <c r="EX359" s="21">
        <f t="shared" ref="EX359:FE359" si="3676">IF($F$290, 0, IF($E$301, IF(AND(COLUMN($EX$359)-COLUMN($DZ$359)=$Q$291,ROW($EX$359)-ROW($DZ$359)=$K$291), U$290, EX359), EX359))</f>
        <v>0</v>
      </c>
      <c r="EY359" s="21">
        <f t="shared" si="3676"/>
        <v>0</v>
      </c>
      <c r="EZ359" s="21">
        <f t="shared" si="3676"/>
        <v>0</v>
      </c>
      <c r="FA359" s="21">
        <f t="shared" si="3676"/>
        <v>0</v>
      </c>
      <c r="FB359" s="21">
        <f t="shared" si="3676"/>
        <v>0</v>
      </c>
      <c r="FC359" s="21">
        <f t="shared" si="3676"/>
        <v>0</v>
      </c>
      <c r="FD359" s="21">
        <f t="shared" si="3676"/>
        <v>0</v>
      </c>
      <c r="FE359" s="21">
        <f t="shared" si="3676"/>
        <v>0</v>
      </c>
      <c r="FF359" s="21">
        <f t="shared" ref="FF359:FM359" si="3677">IF($F$290, 0, IF($E$301, IF(AND(COLUMN($FF$359)-COLUMN($DZ$359)=$Q$291,ROW($FF$359)-ROW($DZ$359)=$K$291), U$290, FF359), FF359))</f>
        <v>0</v>
      </c>
      <c r="FG359" s="21">
        <f t="shared" si="3677"/>
        <v>0</v>
      </c>
      <c r="FH359" s="21">
        <f t="shared" si="3677"/>
        <v>0</v>
      </c>
      <c r="FI359" s="21">
        <f t="shared" si="3677"/>
        <v>0</v>
      </c>
      <c r="FJ359" s="21">
        <f t="shared" si="3677"/>
        <v>0</v>
      </c>
      <c r="FK359" s="21">
        <f t="shared" si="3677"/>
        <v>0</v>
      </c>
      <c r="FL359" s="21">
        <f t="shared" si="3677"/>
        <v>0</v>
      </c>
      <c r="FM359" s="21">
        <f t="shared" si="3677"/>
        <v>0</v>
      </c>
      <c r="FN359" s="21">
        <f t="shared" ref="FN359:FU359" si="3678">IF($F$290, 0, IF($E$301, IF(AND(COLUMN($FN$359)-COLUMN($DZ$359)=$Q$291,ROW($FN$359)-ROW($DZ$359)=$K$291), U$290, FN359), FN359))</f>
        <v>0</v>
      </c>
      <c r="FO359" s="21">
        <f t="shared" si="3678"/>
        <v>0</v>
      </c>
      <c r="FP359" s="21">
        <f t="shared" si="3678"/>
        <v>0</v>
      </c>
      <c r="FQ359" s="21">
        <f t="shared" si="3678"/>
        <v>0</v>
      </c>
      <c r="FR359" s="21">
        <f t="shared" si="3678"/>
        <v>0</v>
      </c>
      <c r="FS359" s="21">
        <f t="shared" si="3678"/>
        <v>0</v>
      </c>
      <c r="FT359" s="21">
        <f t="shared" si="3678"/>
        <v>0</v>
      </c>
      <c r="FU359" s="21">
        <f t="shared" si="3678"/>
        <v>0</v>
      </c>
      <c r="FV359" s="21">
        <f t="shared" ref="FV359:GC359" si="3679">IF($F$290, 0, IF($E$301, IF(AND(COLUMN($FV$359)-COLUMN($DZ$359)=$Q$291,ROW($FV$359)-ROW($DZ$359)=$K$291), U$290, FV359), FV359))</f>
        <v>0</v>
      </c>
      <c r="FW359" s="21">
        <f t="shared" si="3679"/>
        <v>0</v>
      </c>
      <c r="FX359" s="21">
        <f t="shared" si="3679"/>
        <v>0</v>
      </c>
      <c r="FY359" s="21">
        <f t="shared" si="3679"/>
        <v>0</v>
      </c>
      <c r="FZ359" s="21">
        <f t="shared" si="3679"/>
        <v>0</v>
      </c>
      <c r="GA359" s="21">
        <f t="shared" si="3679"/>
        <v>0</v>
      </c>
      <c r="GB359" s="21">
        <f t="shared" si="3679"/>
        <v>0</v>
      </c>
      <c r="GC359" s="21">
        <f t="shared" si="3679"/>
        <v>0</v>
      </c>
      <c r="GD359" s="21">
        <f t="shared" ref="GD359:GK359" si="3680">IF($F$290, 0, IF($E$301, IF(AND(COLUMN($GD$359)-COLUMN($DZ$359)=$Q$291,ROW($GD$359)-ROW($DZ$359)=$K$291), U$290, GD359), GD359))</f>
        <v>0</v>
      </c>
      <c r="GE359" s="21">
        <f t="shared" si="3680"/>
        <v>0</v>
      </c>
      <c r="GF359" s="21">
        <f t="shared" si="3680"/>
        <v>0</v>
      </c>
      <c r="GG359" s="21">
        <f t="shared" si="3680"/>
        <v>0</v>
      </c>
      <c r="GH359" s="21">
        <f t="shared" si="3680"/>
        <v>0</v>
      </c>
      <c r="GI359" s="21">
        <f t="shared" si="3680"/>
        <v>0</v>
      </c>
      <c r="GJ359" s="21">
        <f t="shared" si="3680"/>
        <v>0</v>
      </c>
      <c r="GK359" s="21">
        <f t="shared" si="3680"/>
        <v>0</v>
      </c>
      <c r="GL359" s="21">
        <f t="shared" ref="GL359:GS359" si="3681">IF($F$290, 0, IF($F$301, IF(AND(COLUMN($GL$359)-COLUMN($GL$359)=$Q$291,ROW($GL$359)-ROW($GL$359)=$K$291), U$290, GL359), GL359))</f>
        <v>0</v>
      </c>
      <c r="GM359" s="21">
        <f t="shared" si="3681"/>
        <v>0</v>
      </c>
      <c r="GN359" s="21">
        <f t="shared" si="3681"/>
        <v>0</v>
      </c>
      <c r="GO359" s="21">
        <f t="shared" si="3681"/>
        <v>0</v>
      </c>
      <c r="GP359" s="21">
        <f t="shared" si="3681"/>
        <v>0</v>
      </c>
      <c r="GQ359" s="21">
        <f t="shared" si="3681"/>
        <v>0</v>
      </c>
      <c r="GR359" s="21">
        <f t="shared" si="3681"/>
        <v>0</v>
      </c>
      <c r="GS359" s="21">
        <f t="shared" si="3681"/>
        <v>0</v>
      </c>
      <c r="GT359" s="21">
        <f t="shared" ref="GT359:HA359" si="3682">IF($F$290, 0, IF($F$301, IF(AND(COLUMN($GT$359)-COLUMN($GL$359)=$Q$291,ROW($GT$359)-ROW($GL$359)=$K$291), U$290, GT359), GT359))</f>
        <v>0</v>
      </c>
      <c r="GU359" s="21">
        <f t="shared" si="3682"/>
        <v>0</v>
      </c>
      <c r="GV359" s="21">
        <f t="shared" si="3682"/>
        <v>0</v>
      </c>
      <c r="GW359" s="21">
        <f t="shared" si="3682"/>
        <v>0</v>
      </c>
      <c r="GX359" s="21">
        <f t="shared" si="3682"/>
        <v>0</v>
      </c>
      <c r="GY359" s="21">
        <f t="shared" si="3682"/>
        <v>0</v>
      </c>
      <c r="GZ359" s="21">
        <f t="shared" si="3682"/>
        <v>0</v>
      </c>
      <c r="HA359" s="21">
        <f t="shared" si="3682"/>
        <v>0</v>
      </c>
      <c r="HB359" s="21">
        <f t="shared" ref="HB359:HI359" si="3683">IF($F$290, 0, IF($F$301, IF(AND(COLUMN($HB$359)-COLUMN($GL$359)=$Q$291,ROW($HB$359)-ROW($GL$359)=$K$291), U$290, HB359), HB359))</f>
        <v>0</v>
      </c>
      <c r="HC359" s="21">
        <f t="shared" si="3683"/>
        <v>0</v>
      </c>
      <c r="HD359" s="21">
        <f t="shared" si="3683"/>
        <v>0</v>
      </c>
      <c r="HE359" s="21">
        <f t="shared" si="3683"/>
        <v>0</v>
      </c>
      <c r="HF359" s="21">
        <f t="shared" si="3683"/>
        <v>0</v>
      </c>
      <c r="HG359" s="21">
        <f t="shared" si="3683"/>
        <v>0</v>
      </c>
      <c r="HH359" s="21">
        <f t="shared" si="3683"/>
        <v>0</v>
      </c>
      <c r="HI359" s="21">
        <f t="shared" si="3683"/>
        <v>0</v>
      </c>
      <c r="HJ359" s="21">
        <f t="shared" ref="HJ359:HQ359" si="3684">IF($F$290, 0, IF($F$301, IF(AND(COLUMN($HJ$359)-COLUMN($GL$359)=$Q$291,ROW($HJ$359)-ROW($GL$359)=$K$291), U$290, HJ359), HJ359))</f>
        <v>0</v>
      </c>
      <c r="HK359" s="21">
        <f t="shared" si="3684"/>
        <v>0</v>
      </c>
      <c r="HL359" s="21">
        <f t="shared" si="3684"/>
        <v>0</v>
      </c>
      <c r="HM359" s="21">
        <f t="shared" si="3684"/>
        <v>0</v>
      </c>
      <c r="HN359" s="21">
        <f t="shared" si="3684"/>
        <v>0</v>
      </c>
      <c r="HO359" s="21">
        <f t="shared" si="3684"/>
        <v>0</v>
      </c>
      <c r="HP359" s="21">
        <f t="shared" si="3684"/>
        <v>0</v>
      </c>
      <c r="HQ359" s="21">
        <f t="shared" si="3684"/>
        <v>0</v>
      </c>
      <c r="HR359" s="21">
        <f t="shared" ref="HR359:HY359" si="3685">IF($F$290, 0, IF($F$301, IF(AND(COLUMN($HR$359)-COLUMN($GL$359)=$Q$291,ROW($HR$359)-ROW($GL$359)=$K$291), U$290, HR359), HR359))</f>
        <v>0</v>
      </c>
      <c r="HS359" s="21">
        <f t="shared" si="3685"/>
        <v>0</v>
      </c>
      <c r="HT359" s="21">
        <f t="shared" si="3685"/>
        <v>0</v>
      </c>
      <c r="HU359" s="21">
        <f t="shared" si="3685"/>
        <v>0</v>
      </c>
      <c r="HV359" s="21">
        <f t="shared" si="3685"/>
        <v>0</v>
      </c>
      <c r="HW359" s="21">
        <f t="shared" si="3685"/>
        <v>0</v>
      </c>
      <c r="HX359" s="21">
        <f t="shared" si="3685"/>
        <v>0</v>
      </c>
      <c r="HY359" s="21">
        <f t="shared" si="3685"/>
        <v>0</v>
      </c>
      <c r="HZ359" s="21">
        <f t="shared" ref="HZ359:IG359" si="3686">IF($F$290, 0, IF($F$301, IF(AND(COLUMN($HZ$359)-COLUMN($GL$359)=$Q$291,ROW($HZ$359)-ROW($GL$359)=$K$291), U$290, HZ359), HZ359))</f>
        <v>0</v>
      </c>
      <c r="IA359" s="21">
        <f t="shared" si="3686"/>
        <v>0</v>
      </c>
      <c r="IB359" s="21">
        <f t="shared" si="3686"/>
        <v>0</v>
      </c>
      <c r="IC359" s="21">
        <f t="shared" si="3686"/>
        <v>0</v>
      </c>
      <c r="ID359" s="21">
        <f t="shared" si="3686"/>
        <v>0</v>
      </c>
      <c r="IE359" s="21">
        <f t="shared" si="3686"/>
        <v>0</v>
      </c>
      <c r="IF359" s="21">
        <f t="shared" si="3686"/>
        <v>0</v>
      </c>
      <c r="IG359" s="21">
        <f t="shared" si="3686"/>
        <v>0</v>
      </c>
      <c r="IH359" s="21">
        <f t="shared" ref="IH359:IO359" si="3687">IF($F$290, 0, IF($F$301, IF(AND(COLUMN($IH$359)-COLUMN($GL$359)=$Q$291,ROW($IH$359)-ROW($GL$359)=$K$291), U$290, IH359), IH359))</f>
        <v>0</v>
      </c>
      <c r="II359" s="21">
        <f t="shared" si="3687"/>
        <v>0</v>
      </c>
      <c r="IJ359" s="21">
        <f t="shared" si="3687"/>
        <v>0</v>
      </c>
      <c r="IK359" s="21">
        <f t="shared" si="3687"/>
        <v>0</v>
      </c>
      <c r="IL359" s="21">
        <f t="shared" si="3687"/>
        <v>0</v>
      </c>
      <c r="IM359" s="21">
        <f t="shared" si="3687"/>
        <v>0</v>
      </c>
      <c r="IN359" s="21">
        <f t="shared" si="3687"/>
        <v>0</v>
      </c>
      <c r="IO359" s="21">
        <f t="shared" si="3687"/>
        <v>0</v>
      </c>
      <c r="IP359" s="21">
        <f t="shared" ref="IP359:IW359" si="3688">IF($F$290, 0, IF($F$301, IF(AND(COLUMN($IP$359)-COLUMN($GL$359)=$Q$291,ROW($IP$359)-ROW($GL$359)=$K$291), U$290, IP359), IP359))</f>
        <v>0</v>
      </c>
      <c r="IQ359" s="21">
        <f t="shared" si="3688"/>
        <v>0</v>
      </c>
      <c r="IR359" s="21">
        <f t="shared" si="3688"/>
        <v>0</v>
      </c>
      <c r="IS359" s="21">
        <f t="shared" si="3688"/>
        <v>0</v>
      </c>
      <c r="IT359" s="21">
        <f t="shared" si="3688"/>
        <v>0</v>
      </c>
      <c r="IU359" s="21">
        <f t="shared" si="3688"/>
        <v>0</v>
      </c>
      <c r="IV359" s="21">
        <f t="shared" si="3688"/>
        <v>0</v>
      </c>
      <c r="IW359" s="21">
        <f t="shared" si="3688"/>
        <v>0</v>
      </c>
      <c r="IX359" s="21">
        <f t="shared" ref="IX359:JE359" si="3689">IF($F$290, 0, IF($G$301, IF(AND(COLUMN($IX$359)-COLUMN($IX$359)=$Q$291,ROW($IX$359)-ROW($IX$359)=$K$291), U$290, IX359), IX359))</f>
        <v>0</v>
      </c>
      <c r="IY359" s="21">
        <f t="shared" si="3689"/>
        <v>0</v>
      </c>
      <c r="IZ359" s="21">
        <f t="shared" si="3689"/>
        <v>0</v>
      </c>
      <c r="JA359" s="21">
        <f t="shared" si="3689"/>
        <v>0</v>
      </c>
      <c r="JB359" s="21">
        <f t="shared" si="3689"/>
        <v>0</v>
      </c>
      <c r="JC359" s="21">
        <f t="shared" si="3689"/>
        <v>0</v>
      </c>
      <c r="JD359" s="21">
        <f t="shared" si="3689"/>
        <v>0</v>
      </c>
      <c r="JE359" s="21">
        <f t="shared" si="3689"/>
        <v>0</v>
      </c>
      <c r="JF359" s="21">
        <f t="shared" ref="JF359:JM359" si="3690">IF($F$290, 0, IF($G$301, IF(AND(COLUMN($JF$359)-COLUMN($IX$359)=$Q$291,ROW($JF$359)-ROW($IX$359)=$K$291), U$290, JF359), JF359))</f>
        <v>0</v>
      </c>
      <c r="JG359" s="21">
        <f t="shared" si="3690"/>
        <v>0</v>
      </c>
      <c r="JH359" s="21">
        <f t="shared" si="3690"/>
        <v>0</v>
      </c>
      <c r="JI359" s="21">
        <f t="shared" si="3690"/>
        <v>0</v>
      </c>
      <c r="JJ359" s="21">
        <f t="shared" si="3690"/>
        <v>0</v>
      </c>
      <c r="JK359" s="21">
        <f t="shared" si="3690"/>
        <v>0</v>
      </c>
      <c r="JL359" s="21">
        <f t="shared" si="3690"/>
        <v>0</v>
      </c>
      <c r="JM359" s="21">
        <f t="shared" si="3690"/>
        <v>0</v>
      </c>
      <c r="JN359" s="21">
        <f t="shared" ref="JN359:JU359" si="3691">IF($F$290, 0, IF($G$301, IF(AND(COLUMN($JN$359)-COLUMN($IX$359)=$Q$291,ROW($JN$359)-ROW($IX$359)=$K$291), U$290, JN359), JN359))</f>
        <v>0</v>
      </c>
      <c r="JO359" s="21">
        <f t="shared" si="3691"/>
        <v>0</v>
      </c>
      <c r="JP359" s="21">
        <f t="shared" si="3691"/>
        <v>0</v>
      </c>
      <c r="JQ359" s="21">
        <f t="shared" si="3691"/>
        <v>0</v>
      </c>
      <c r="JR359" s="21">
        <f t="shared" si="3691"/>
        <v>0</v>
      </c>
      <c r="JS359" s="21">
        <f t="shared" si="3691"/>
        <v>0</v>
      </c>
      <c r="JT359" s="21">
        <f t="shared" si="3691"/>
        <v>0</v>
      </c>
      <c r="JU359" s="21">
        <f t="shared" si="3691"/>
        <v>0</v>
      </c>
      <c r="JV359" s="21">
        <f t="shared" ref="JV359:KC359" si="3692">IF($F$290, 0, IF($G$301, IF(AND(COLUMN($JV$359)-COLUMN($IX$359)=$Q$291,ROW($JV$359)-ROW($IX$359)=$K$291), U$290, JV359), JV359))</f>
        <v>0</v>
      </c>
      <c r="JW359" s="21">
        <f t="shared" si="3692"/>
        <v>0</v>
      </c>
      <c r="JX359" s="21">
        <f t="shared" si="3692"/>
        <v>0</v>
      </c>
      <c r="JY359" s="21">
        <f t="shared" si="3692"/>
        <v>0</v>
      </c>
      <c r="JZ359" s="21">
        <f t="shared" si="3692"/>
        <v>0</v>
      </c>
      <c r="KA359" s="21">
        <f t="shared" si="3692"/>
        <v>0</v>
      </c>
      <c r="KB359" s="21">
        <f t="shared" si="3692"/>
        <v>0</v>
      </c>
      <c r="KC359" s="21">
        <f t="shared" si="3692"/>
        <v>0</v>
      </c>
      <c r="KD359" s="21">
        <f t="shared" ref="KD359:KK359" si="3693">IF($F$290, 0, IF($G$301, IF(AND(COLUMN($KD$359)-COLUMN($IX$359)=$Q$291,ROW($KD$359)-ROW($IX$359)=$K$291), U$290, KD359), KD359))</f>
        <v>0</v>
      </c>
      <c r="KE359" s="21">
        <f t="shared" si="3693"/>
        <v>0</v>
      </c>
      <c r="KF359" s="21">
        <f t="shared" si="3693"/>
        <v>0</v>
      </c>
      <c r="KG359" s="21">
        <f t="shared" si="3693"/>
        <v>0</v>
      </c>
      <c r="KH359" s="21">
        <f t="shared" si="3693"/>
        <v>0</v>
      </c>
      <c r="KI359" s="21">
        <f t="shared" si="3693"/>
        <v>0</v>
      </c>
      <c r="KJ359" s="21">
        <f t="shared" si="3693"/>
        <v>0</v>
      </c>
      <c r="KK359" s="21">
        <f t="shared" si="3693"/>
        <v>0</v>
      </c>
      <c r="KL359" s="21">
        <f t="shared" ref="KL359:KS359" si="3694">IF($F$290, 0, IF($G$301, IF(AND(COLUMN($KL$359)-COLUMN($IX$359)=$Q$291,ROW($KL$359)-ROW($IX$359)=$K$291), U$290, KL359), KL359))</f>
        <v>0</v>
      </c>
      <c r="KM359" s="21">
        <f t="shared" si="3694"/>
        <v>0</v>
      </c>
      <c r="KN359" s="21">
        <f t="shared" si="3694"/>
        <v>0</v>
      </c>
      <c r="KO359" s="21">
        <f t="shared" si="3694"/>
        <v>0</v>
      </c>
      <c r="KP359" s="21">
        <f t="shared" si="3694"/>
        <v>0</v>
      </c>
      <c r="KQ359" s="21">
        <f t="shared" si="3694"/>
        <v>0</v>
      </c>
      <c r="KR359" s="21">
        <f t="shared" si="3694"/>
        <v>0</v>
      </c>
      <c r="KS359" s="21">
        <f t="shared" si="3694"/>
        <v>0</v>
      </c>
      <c r="KT359" s="21">
        <f t="shared" ref="KT359:LA359" si="3695">IF($F$290, 0, IF($G$301, IF(AND(COLUMN($KT$359)-COLUMN($IX$359)=$Q$291,ROW($KT$359)-ROW($IX$359)=$K$291), U$290, KT359), KT359))</f>
        <v>0</v>
      </c>
      <c r="KU359" s="21">
        <f t="shared" si="3695"/>
        <v>0</v>
      </c>
      <c r="KV359" s="21">
        <f t="shared" si="3695"/>
        <v>0</v>
      </c>
      <c r="KW359" s="21">
        <f t="shared" si="3695"/>
        <v>0</v>
      </c>
      <c r="KX359" s="21">
        <f t="shared" si="3695"/>
        <v>0</v>
      </c>
      <c r="KY359" s="21">
        <f t="shared" si="3695"/>
        <v>0</v>
      </c>
      <c r="KZ359" s="21">
        <f t="shared" si="3695"/>
        <v>0</v>
      </c>
      <c r="LA359" s="21">
        <f t="shared" si="3695"/>
        <v>0</v>
      </c>
      <c r="LB359" s="21">
        <f t="shared" ref="LB359:LI359" si="3696">IF($F$290, 0, IF($G$301, IF(AND(COLUMN($LB$359)-COLUMN($IX$359)=$Q$291,ROW($LB$359)-ROW($IX$359)=$K$291), U$290, LB359), LB359))</f>
        <v>0</v>
      </c>
      <c r="LC359" s="21">
        <f t="shared" si="3696"/>
        <v>0</v>
      </c>
      <c r="LD359" s="21">
        <f t="shared" si="3696"/>
        <v>0</v>
      </c>
      <c r="LE359" s="21">
        <f t="shared" si="3696"/>
        <v>0</v>
      </c>
      <c r="LF359" s="21">
        <f t="shared" si="3696"/>
        <v>0</v>
      </c>
      <c r="LG359" s="21">
        <f t="shared" si="3696"/>
        <v>0</v>
      </c>
      <c r="LH359" s="21">
        <f t="shared" si="3696"/>
        <v>0</v>
      </c>
      <c r="LI359" s="21">
        <f t="shared" si="3696"/>
        <v>0</v>
      </c>
      <c r="LJ359" s="21">
        <f t="shared" ref="LJ359:LQ359" si="3697">IF($F$290, 0, IF($H$301, IF(AND(COLUMN($LJ$359)-COLUMN($LJ$359)=$Q$291,ROW($LJ$359)-ROW($LJ$359)=$K$291), U$290, LJ359), LJ359))</f>
        <v>0</v>
      </c>
      <c r="LK359" s="21">
        <f t="shared" si="3697"/>
        <v>0</v>
      </c>
      <c r="LL359" s="21">
        <f t="shared" si="3697"/>
        <v>0</v>
      </c>
      <c r="LM359" s="21">
        <f t="shared" si="3697"/>
        <v>0</v>
      </c>
      <c r="LN359" s="21">
        <f t="shared" si="3697"/>
        <v>0</v>
      </c>
      <c r="LO359" s="21">
        <f t="shared" si="3697"/>
        <v>0</v>
      </c>
      <c r="LP359" s="21">
        <f t="shared" si="3697"/>
        <v>0</v>
      </c>
      <c r="LQ359" s="21">
        <f t="shared" si="3697"/>
        <v>0</v>
      </c>
      <c r="LR359" s="21">
        <f t="shared" ref="LR359:LY359" si="3698">IF($F$290, 0, IF($H$301, IF(AND(COLUMN($LR$359)-COLUMN($LJ$359)=$Q$291,ROW($LR$359)-ROW($LJ$359)=$K$291), U$290, LR359), LR359))</f>
        <v>0</v>
      </c>
      <c r="LS359" s="21">
        <f t="shared" si="3698"/>
        <v>0</v>
      </c>
      <c r="LT359" s="21">
        <f t="shared" si="3698"/>
        <v>0</v>
      </c>
      <c r="LU359" s="21">
        <f t="shared" si="3698"/>
        <v>0</v>
      </c>
      <c r="LV359" s="21">
        <f t="shared" si="3698"/>
        <v>0</v>
      </c>
      <c r="LW359" s="21">
        <f t="shared" si="3698"/>
        <v>0</v>
      </c>
      <c r="LX359" s="21">
        <f t="shared" si="3698"/>
        <v>0</v>
      </c>
      <c r="LY359" s="21">
        <f t="shared" si="3698"/>
        <v>0</v>
      </c>
      <c r="LZ359" s="21">
        <f t="shared" ref="LZ359:MG359" si="3699">IF($F$290, 0, IF($H$301, IF(AND(COLUMN($LZ$359)-COLUMN($LJ$359)=$Q$291,ROW($LZ$359)-ROW($LJ$359)=$K$291), U$290, LZ359), LZ359))</f>
        <v>0</v>
      </c>
      <c r="MA359" s="21">
        <f t="shared" si="3699"/>
        <v>0</v>
      </c>
      <c r="MB359" s="21">
        <f t="shared" si="3699"/>
        <v>0</v>
      </c>
      <c r="MC359" s="21">
        <f t="shared" si="3699"/>
        <v>0</v>
      </c>
      <c r="MD359" s="21">
        <f t="shared" si="3699"/>
        <v>0</v>
      </c>
      <c r="ME359" s="21">
        <f t="shared" si="3699"/>
        <v>0</v>
      </c>
      <c r="MF359" s="21">
        <f t="shared" si="3699"/>
        <v>0</v>
      </c>
      <c r="MG359" s="21">
        <f t="shared" si="3699"/>
        <v>0</v>
      </c>
      <c r="MH359" s="21">
        <f t="shared" ref="MH359:MO359" si="3700">IF($F$290, 0, IF($H$301, IF(AND(COLUMN($MH$359)-COLUMN($LJ$359)=$Q$291,ROW($MH$359)-ROW($LJ$359)=$K$291), U$290, MH359), MH359))</f>
        <v>0</v>
      </c>
      <c r="MI359" s="21">
        <f t="shared" si="3700"/>
        <v>0</v>
      </c>
      <c r="MJ359" s="21">
        <f t="shared" si="3700"/>
        <v>0</v>
      </c>
      <c r="MK359" s="21">
        <f t="shared" si="3700"/>
        <v>0</v>
      </c>
      <c r="ML359" s="21">
        <f t="shared" si="3700"/>
        <v>0</v>
      </c>
      <c r="MM359" s="21">
        <f t="shared" si="3700"/>
        <v>0</v>
      </c>
      <c r="MN359" s="21">
        <f t="shared" si="3700"/>
        <v>0</v>
      </c>
      <c r="MO359" s="21">
        <f t="shared" si="3700"/>
        <v>0</v>
      </c>
      <c r="MP359" s="21">
        <f t="shared" ref="MP359:MW359" si="3701">IF($F$290, 0, IF($H$301, IF(AND(COLUMN($MP$359)-COLUMN($LJ$359)=$Q$291,ROW($MP$359)-ROW($LJ$359)=$K$291), U$290, MP359), MP359))</f>
        <v>0</v>
      </c>
      <c r="MQ359" s="21">
        <f t="shared" si="3701"/>
        <v>0</v>
      </c>
      <c r="MR359" s="21">
        <f t="shared" si="3701"/>
        <v>0</v>
      </c>
      <c r="MS359" s="21">
        <f t="shared" si="3701"/>
        <v>0</v>
      </c>
      <c r="MT359" s="21">
        <f t="shared" si="3701"/>
        <v>0</v>
      </c>
      <c r="MU359" s="21">
        <f t="shared" si="3701"/>
        <v>0</v>
      </c>
      <c r="MV359" s="21">
        <f t="shared" si="3701"/>
        <v>0</v>
      </c>
      <c r="MW359" s="21">
        <f t="shared" si="3701"/>
        <v>0</v>
      </c>
      <c r="MX359" s="21">
        <f t="shared" ref="MX359:NE359" si="3702">IF($F$290, 0, IF($H$301, IF(AND(COLUMN($MX$359)-COLUMN($LJ$359)=$Q$291,ROW($MX$359)-ROW($LJ$359)=$K$291), U$290, MX359), MX359))</f>
        <v>0</v>
      </c>
      <c r="MY359" s="21">
        <f t="shared" si="3702"/>
        <v>0</v>
      </c>
      <c r="MZ359" s="21">
        <f t="shared" si="3702"/>
        <v>0</v>
      </c>
      <c r="NA359" s="21">
        <f t="shared" si="3702"/>
        <v>0</v>
      </c>
      <c r="NB359" s="21">
        <f t="shared" si="3702"/>
        <v>0</v>
      </c>
      <c r="NC359" s="21">
        <f t="shared" si="3702"/>
        <v>0</v>
      </c>
      <c r="ND359" s="21">
        <f t="shared" si="3702"/>
        <v>0</v>
      </c>
      <c r="NE359" s="21">
        <f t="shared" si="3702"/>
        <v>0</v>
      </c>
      <c r="NF359" s="21">
        <f t="shared" ref="NF359:NM359" si="3703">IF($F$290, 0, IF($H$301, IF(AND(COLUMN($NF$359)-COLUMN($LJ$359)=$Q$291,ROW($NF$359)-ROW($LJ$359)=$K$291), U$290, NF359), NF359))</f>
        <v>0</v>
      </c>
      <c r="NG359" s="21">
        <f t="shared" si="3703"/>
        <v>0</v>
      </c>
      <c r="NH359" s="21">
        <f t="shared" si="3703"/>
        <v>0</v>
      </c>
      <c r="NI359" s="21">
        <f t="shared" si="3703"/>
        <v>0</v>
      </c>
      <c r="NJ359" s="21">
        <f t="shared" si="3703"/>
        <v>0</v>
      </c>
      <c r="NK359" s="21">
        <f t="shared" si="3703"/>
        <v>0</v>
      </c>
      <c r="NL359" s="21">
        <f t="shared" si="3703"/>
        <v>0</v>
      </c>
      <c r="NM359" s="21">
        <f t="shared" si="3703"/>
        <v>0</v>
      </c>
      <c r="NN359" s="21">
        <f t="shared" ref="NN359:NU359" si="3704">IF($F$290, 0, IF($H$301, IF(AND(COLUMN($NN$359)-COLUMN($LJ$359)=$Q$291,ROW($NN$359)-ROW($LJ$359)=$K$291), U$290, NN359), NN359))</f>
        <v>0</v>
      </c>
      <c r="NO359" s="21">
        <f t="shared" si="3704"/>
        <v>0</v>
      </c>
      <c r="NP359" s="21">
        <f t="shared" si="3704"/>
        <v>0</v>
      </c>
      <c r="NQ359" s="21">
        <f t="shared" si="3704"/>
        <v>0</v>
      </c>
      <c r="NR359" s="21">
        <f t="shared" si="3704"/>
        <v>0</v>
      </c>
      <c r="NS359" s="21">
        <f t="shared" si="3704"/>
        <v>0</v>
      </c>
      <c r="NT359" s="21">
        <f t="shared" si="3704"/>
        <v>0</v>
      </c>
      <c r="NU359" s="21">
        <f t="shared" si="3704"/>
        <v>0</v>
      </c>
      <c r="NV359" s="21">
        <f t="shared" ref="NV359:OC359" si="3705">IF($F$290, 0, IF($I$301, IF(AND(COLUMN($NV$359)-COLUMN($NV$359)=$Q$291,ROW($NV$359)-ROW($NV$359)=$K$291), U$290, NV359), NV359))</f>
        <v>0</v>
      </c>
      <c r="NW359" s="21">
        <f t="shared" si="3705"/>
        <v>0</v>
      </c>
      <c r="NX359" s="21">
        <f t="shared" si="3705"/>
        <v>0</v>
      </c>
      <c r="NY359" s="21">
        <f t="shared" si="3705"/>
        <v>0</v>
      </c>
      <c r="NZ359" s="21">
        <f t="shared" si="3705"/>
        <v>0</v>
      </c>
      <c r="OA359" s="21">
        <f t="shared" si="3705"/>
        <v>0</v>
      </c>
      <c r="OB359" s="21">
        <f t="shared" si="3705"/>
        <v>0</v>
      </c>
      <c r="OC359" s="21">
        <f t="shared" si="3705"/>
        <v>0</v>
      </c>
      <c r="OD359" s="21">
        <f t="shared" ref="OD359:OK359" si="3706">IF($F$290, 0, IF($I$301, IF(AND(COLUMN($OD$359)-COLUMN($NV$359)=$Q$291,ROW($OD$359)-ROW($NV$359)=$K$291), U$290, OD359), OD359))</f>
        <v>0</v>
      </c>
      <c r="OE359" s="21">
        <f t="shared" si="3706"/>
        <v>0</v>
      </c>
      <c r="OF359" s="21">
        <f t="shared" si="3706"/>
        <v>0</v>
      </c>
      <c r="OG359" s="21">
        <f t="shared" si="3706"/>
        <v>0</v>
      </c>
      <c r="OH359" s="21">
        <f t="shared" si="3706"/>
        <v>0</v>
      </c>
      <c r="OI359" s="21">
        <f t="shared" si="3706"/>
        <v>0</v>
      </c>
      <c r="OJ359" s="21">
        <f t="shared" si="3706"/>
        <v>0</v>
      </c>
      <c r="OK359" s="21">
        <f t="shared" si="3706"/>
        <v>0</v>
      </c>
      <c r="OL359" s="21">
        <f t="shared" ref="OL359:OS359" si="3707">IF($F$290, 0, IF($I$301, IF(AND(COLUMN($OL$359)-COLUMN($NV$359)=$Q$291,ROW($OL$359)-ROW($NV$359)=$K$291), U$290, OL359), OL359))</f>
        <v>0</v>
      </c>
      <c r="OM359" s="21">
        <f t="shared" si="3707"/>
        <v>0</v>
      </c>
      <c r="ON359" s="21">
        <f t="shared" si="3707"/>
        <v>0</v>
      </c>
      <c r="OO359" s="21">
        <f t="shared" si="3707"/>
        <v>0</v>
      </c>
      <c r="OP359" s="21">
        <f t="shared" si="3707"/>
        <v>0</v>
      </c>
      <c r="OQ359" s="21">
        <f t="shared" si="3707"/>
        <v>0</v>
      </c>
      <c r="OR359" s="21">
        <f t="shared" si="3707"/>
        <v>0</v>
      </c>
      <c r="OS359" s="21">
        <f t="shared" si="3707"/>
        <v>0</v>
      </c>
      <c r="OT359" s="21">
        <f t="shared" ref="OT359:PA359" si="3708">IF($F$290, 0, IF($I$301, IF(AND(COLUMN($OT$359)-COLUMN($NV$359)=$Q$291,ROW($OT$359)-ROW($NV$359)=$K$291), U$290, OT359), OT359))</f>
        <v>0</v>
      </c>
      <c r="OU359" s="21">
        <f t="shared" si="3708"/>
        <v>0</v>
      </c>
      <c r="OV359" s="21">
        <f t="shared" si="3708"/>
        <v>0</v>
      </c>
      <c r="OW359" s="21">
        <f t="shared" si="3708"/>
        <v>0</v>
      </c>
      <c r="OX359" s="21">
        <f t="shared" si="3708"/>
        <v>0</v>
      </c>
      <c r="OY359" s="21">
        <f t="shared" si="3708"/>
        <v>0</v>
      </c>
      <c r="OZ359" s="21">
        <f t="shared" si="3708"/>
        <v>0</v>
      </c>
      <c r="PA359" s="21">
        <f t="shared" si="3708"/>
        <v>0</v>
      </c>
      <c r="PB359" s="21">
        <f t="shared" ref="PB359:PI359" si="3709">IF($F$290, 0, IF($I$301, IF(AND(COLUMN($PB$359)-COLUMN($NV$359)=$Q$291,ROW($PB$359)-ROW($NV$359)=$K$291), U$290, PB359), PB359))</f>
        <v>0</v>
      </c>
      <c r="PC359" s="21">
        <f t="shared" si="3709"/>
        <v>0</v>
      </c>
      <c r="PD359" s="21">
        <f t="shared" si="3709"/>
        <v>0</v>
      </c>
      <c r="PE359" s="21">
        <f t="shared" si="3709"/>
        <v>0</v>
      </c>
      <c r="PF359" s="21">
        <f t="shared" si="3709"/>
        <v>0</v>
      </c>
      <c r="PG359" s="21">
        <f t="shared" si="3709"/>
        <v>0</v>
      </c>
      <c r="PH359" s="21">
        <f t="shared" si="3709"/>
        <v>0</v>
      </c>
      <c r="PI359" s="21">
        <f t="shared" si="3709"/>
        <v>0</v>
      </c>
      <c r="PJ359" s="21">
        <f t="shared" ref="PJ359:PQ359" si="3710">IF($F$290, 0, IF($I$301, IF(AND(COLUMN($PJ$359)-COLUMN($NV$359)=$Q$291,ROW($PJ$359)-ROW($NV$359)=$K$291), U$290, PJ359), PJ359))</f>
        <v>0</v>
      </c>
      <c r="PK359" s="21">
        <f t="shared" si="3710"/>
        <v>0</v>
      </c>
      <c r="PL359" s="21">
        <f t="shared" si="3710"/>
        <v>0</v>
      </c>
      <c r="PM359" s="21">
        <f t="shared" si="3710"/>
        <v>0</v>
      </c>
      <c r="PN359" s="21">
        <f t="shared" si="3710"/>
        <v>0</v>
      </c>
      <c r="PO359" s="21">
        <f t="shared" si="3710"/>
        <v>0</v>
      </c>
      <c r="PP359" s="21">
        <f t="shared" si="3710"/>
        <v>0</v>
      </c>
      <c r="PQ359" s="21">
        <f t="shared" si="3710"/>
        <v>0</v>
      </c>
      <c r="PR359" s="21">
        <f t="shared" ref="PR359:PY359" si="3711">IF($F$290, 0, IF($I$301, IF(AND(COLUMN($PR$359)-COLUMN($NV$359)=$Q$291,ROW($PR$359)-ROW($NV$359)=$K$291), U$290, PR359), PR359))</f>
        <v>0</v>
      </c>
      <c r="PS359" s="21">
        <f t="shared" si="3711"/>
        <v>0</v>
      </c>
      <c r="PT359" s="21">
        <f t="shared" si="3711"/>
        <v>0</v>
      </c>
      <c r="PU359" s="21">
        <f t="shared" si="3711"/>
        <v>0</v>
      </c>
      <c r="PV359" s="21">
        <f t="shared" si="3711"/>
        <v>0</v>
      </c>
      <c r="PW359" s="21">
        <f t="shared" si="3711"/>
        <v>0</v>
      </c>
      <c r="PX359" s="21">
        <f t="shared" si="3711"/>
        <v>0</v>
      </c>
      <c r="PY359" s="21">
        <f t="shared" si="3711"/>
        <v>0</v>
      </c>
      <c r="PZ359" s="21">
        <f t="shared" ref="PZ359:QG359" si="3712">IF($F$290, 0, IF($I$301, IF(AND(COLUMN($PZ$359)-COLUMN($NV$359)=$Q$291,ROW($PZ$359)-ROW($NV$359)=$K$291), U$290, PZ359), PZ359))</f>
        <v>0</v>
      </c>
      <c r="QA359" s="21">
        <f t="shared" si="3712"/>
        <v>0</v>
      </c>
      <c r="QB359" s="21">
        <f t="shared" si="3712"/>
        <v>0</v>
      </c>
      <c r="QC359" s="21">
        <f t="shared" si="3712"/>
        <v>0</v>
      </c>
      <c r="QD359" s="21">
        <f t="shared" si="3712"/>
        <v>0</v>
      </c>
      <c r="QE359" s="21">
        <f t="shared" si="3712"/>
        <v>0</v>
      </c>
      <c r="QF359" s="21">
        <f t="shared" si="3712"/>
        <v>0</v>
      </c>
      <c r="QG359" s="21">
        <f t="shared" si="3712"/>
        <v>0</v>
      </c>
      <c r="QH359" s="21">
        <f t="shared" ref="QH359:QO359" si="3713">IF($F$290, 0, IF($J$301, IF(AND(COLUMN($QH$359)-COLUMN($QH$359)=$Q$291,ROW($QH$359)-ROW($QH$359)=$K$291), U$290, QH359), QH359))</f>
        <v>0</v>
      </c>
      <c r="QI359" s="21">
        <f t="shared" si="3713"/>
        <v>0</v>
      </c>
      <c r="QJ359" s="21">
        <f t="shared" si="3713"/>
        <v>0</v>
      </c>
      <c r="QK359" s="21">
        <f t="shared" si="3713"/>
        <v>0</v>
      </c>
      <c r="QL359" s="21">
        <f t="shared" si="3713"/>
        <v>0</v>
      </c>
      <c r="QM359" s="21">
        <f t="shared" si="3713"/>
        <v>0</v>
      </c>
      <c r="QN359" s="21">
        <f t="shared" si="3713"/>
        <v>0</v>
      </c>
      <c r="QO359" s="21">
        <f t="shared" si="3713"/>
        <v>0</v>
      </c>
      <c r="QP359" s="21">
        <f t="shared" ref="QP359:QW359" si="3714">IF($F$290, 0, IF($J$301, IF(AND(COLUMN($QP$359)-COLUMN($QH$359)=$Q$291,ROW($QP$359)-ROW($QH$359)=$K$291), U$290, QP359), QP359))</f>
        <v>0</v>
      </c>
      <c r="QQ359" s="21">
        <f t="shared" si="3714"/>
        <v>0</v>
      </c>
      <c r="QR359" s="21">
        <f t="shared" si="3714"/>
        <v>0</v>
      </c>
      <c r="QS359" s="21">
        <f t="shared" si="3714"/>
        <v>0</v>
      </c>
      <c r="QT359" s="21">
        <f t="shared" si="3714"/>
        <v>0</v>
      </c>
      <c r="QU359" s="21">
        <f t="shared" si="3714"/>
        <v>0</v>
      </c>
      <c r="QV359" s="21">
        <f t="shared" si="3714"/>
        <v>0</v>
      </c>
      <c r="QW359" s="21">
        <f t="shared" si="3714"/>
        <v>0</v>
      </c>
      <c r="QX359" s="21">
        <f t="shared" ref="QX359:RE359" si="3715">IF($F$290, 0, IF($J$301, IF(AND(COLUMN($QX$359)-COLUMN($QH$359)=$Q$291,ROW($QX$359)-ROW($QH$359)=$K$291), U$290, QX359), QX359))</f>
        <v>0</v>
      </c>
      <c r="QY359" s="21">
        <f t="shared" si="3715"/>
        <v>0</v>
      </c>
      <c r="QZ359" s="21">
        <f t="shared" si="3715"/>
        <v>0</v>
      </c>
      <c r="RA359" s="21">
        <f t="shared" si="3715"/>
        <v>0</v>
      </c>
      <c r="RB359" s="21">
        <f t="shared" si="3715"/>
        <v>0</v>
      </c>
      <c r="RC359" s="21">
        <f t="shared" si="3715"/>
        <v>0</v>
      </c>
      <c r="RD359" s="21">
        <f t="shared" si="3715"/>
        <v>0</v>
      </c>
      <c r="RE359" s="21">
        <f t="shared" si="3715"/>
        <v>0</v>
      </c>
      <c r="RF359" s="21">
        <f t="shared" ref="RF359:RM359" si="3716">IF($F$290, 0, IF($J$301, IF(AND(COLUMN($RF$359)-COLUMN($QH$359)=$Q$291,ROW($RF$359)-ROW($QH$359)=$K$291), U$290, RF359), RF359))</f>
        <v>0</v>
      </c>
      <c r="RG359" s="21">
        <f t="shared" si="3716"/>
        <v>0</v>
      </c>
      <c r="RH359" s="21">
        <f t="shared" si="3716"/>
        <v>0</v>
      </c>
      <c r="RI359" s="21">
        <f t="shared" si="3716"/>
        <v>0</v>
      </c>
      <c r="RJ359" s="21">
        <f t="shared" si="3716"/>
        <v>0</v>
      </c>
      <c r="RK359" s="21">
        <f t="shared" si="3716"/>
        <v>0</v>
      </c>
      <c r="RL359" s="21">
        <f t="shared" si="3716"/>
        <v>0</v>
      </c>
      <c r="RM359" s="21">
        <f t="shared" si="3716"/>
        <v>0</v>
      </c>
      <c r="RN359" s="21">
        <f t="shared" ref="RN359:RU359" si="3717">IF($F$290, 0, IF($J$301, IF(AND(COLUMN($RN$359)-COLUMN($QH$359)=$Q$291,ROW($RN$359)-ROW($QH$359)=$K$291), U$290, RN359), RN359))</f>
        <v>0</v>
      </c>
      <c r="RO359" s="21">
        <f t="shared" si="3717"/>
        <v>0</v>
      </c>
      <c r="RP359" s="21">
        <f t="shared" si="3717"/>
        <v>0</v>
      </c>
      <c r="RQ359" s="21">
        <f t="shared" si="3717"/>
        <v>0</v>
      </c>
      <c r="RR359" s="21">
        <f t="shared" si="3717"/>
        <v>0</v>
      </c>
      <c r="RS359" s="21">
        <f t="shared" si="3717"/>
        <v>0</v>
      </c>
      <c r="RT359" s="21">
        <f t="shared" si="3717"/>
        <v>0</v>
      </c>
      <c r="RU359" s="21">
        <f t="shared" si="3717"/>
        <v>0</v>
      </c>
      <c r="RV359" s="21">
        <f t="shared" ref="RV359:SC359" si="3718">IF($F$290, 0, IF($J$301, IF(AND(COLUMN($RV$359)-COLUMN($QH$359)=$Q$291,ROW($RV$359)-ROW($QH$359)=$K$291), U$290, RV359), RV359))</f>
        <v>0</v>
      </c>
      <c r="RW359" s="21">
        <f t="shared" si="3718"/>
        <v>0</v>
      </c>
      <c r="RX359" s="21">
        <f t="shared" si="3718"/>
        <v>0</v>
      </c>
      <c r="RY359" s="21">
        <f t="shared" si="3718"/>
        <v>0</v>
      </c>
      <c r="RZ359" s="21">
        <f t="shared" si="3718"/>
        <v>0</v>
      </c>
      <c r="SA359" s="21">
        <f t="shared" si="3718"/>
        <v>0</v>
      </c>
      <c r="SB359" s="21">
        <f t="shared" si="3718"/>
        <v>0</v>
      </c>
      <c r="SC359" s="21">
        <f t="shared" si="3718"/>
        <v>0</v>
      </c>
      <c r="SD359" s="21">
        <f t="shared" ref="SD359:SK359" si="3719">IF($F$290, 0, IF($J$301, IF(AND(COLUMN($SD$359)-COLUMN($QH$359)=$Q$291,ROW($SD$359)-ROW($QH$359)=$K$291), U$290, SD359), SD359))</f>
        <v>0</v>
      </c>
      <c r="SE359" s="21">
        <f t="shared" si="3719"/>
        <v>0</v>
      </c>
      <c r="SF359" s="21">
        <f t="shared" si="3719"/>
        <v>0</v>
      </c>
      <c r="SG359" s="21">
        <f t="shared" si="3719"/>
        <v>0</v>
      </c>
      <c r="SH359" s="21">
        <f t="shared" si="3719"/>
        <v>0</v>
      </c>
      <c r="SI359" s="21">
        <f t="shared" si="3719"/>
        <v>0</v>
      </c>
      <c r="SJ359" s="21">
        <f t="shared" si="3719"/>
        <v>0</v>
      </c>
      <c r="SK359" s="21">
        <f t="shared" si="3719"/>
        <v>0</v>
      </c>
      <c r="SL359" s="21">
        <f t="shared" ref="SL359:SS359" si="3720">IF($F$290, 0, IF($J$301, IF(AND(COLUMN($SL$359)-COLUMN($QH$359)=$Q$291,ROW($SL$359)-ROW($QH$359)=$K$291), U$290, SL359), SL359))</f>
        <v>0</v>
      </c>
      <c r="SM359" s="21">
        <f t="shared" si="3720"/>
        <v>0</v>
      </c>
      <c r="SN359" s="21">
        <f t="shared" si="3720"/>
        <v>0</v>
      </c>
      <c r="SO359" s="21">
        <f t="shared" si="3720"/>
        <v>0</v>
      </c>
      <c r="SP359" s="21">
        <f t="shared" si="3720"/>
        <v>0</v>
      </c>
      <c r="SQ359" s="21">
        <f t="shared" si="3720"/>
        <v>0</v>
      </c>
      <c r="SR359" s="21">
        <f t="shared" si="3720"/>
        <v>0</v>
      </c>
      <c r="SS359" s="21">
        <f t="shared" si="3720"/>
        <v>0</v>
      </c>
    </row>
    <row r="360" spans="2:513" ht="15" customHeight="1" x14ac:dyDescent="0.25">
      <c r="B360" s="21">
        <f t="shared" ref="B360:I360" si="3721">IF($F$290, 0, IF($C$301, IF(AND(COLUMN($B$360)-COLUMN($B$359)=$Q$291,ROW($B$360)-ROW($B$359)=$K$291), U$290, B360), B360))</f>
        <v>0</v>
      </c>
      <c r="C360" s="21">
        <f t="shared" si="3721"/>
        <v>0</v>
      </c>
      <c r="D360" s="21">
        <f t="shared" si="3721"/>
        <v>0</v>
      </c>
      <c r="E360" s="21">
        <f t="shared" si="3721"/>
        <v>0</v>
      </c>
      <c r="F360" s="21">
        <f t="shared" si="3721"/>
        <v>0</v>
      </c>
      <c r="G360" s="21">
        <f t="shared" si="3721"/>
        <v>0</v>
      </c>
      <c r="H360" s="21">
        <f t="shared" si="3721"/>
        <v>0</v>
      </c>
      <c r="I360" s="21">
        <f t="shared" si="3721"/>
        <v>0</v>
      </c>
      <c r="J360" s="21">
        <f t="shared" ref="J360:Q360" si="3722">IF($F$290, 0, IF($C$301, IF(AND(COLUMN($J$360)-COLUMN($B$359)=$Q$291,ROW($J$360)-ROW($B$359)=$K$291), U$290, J360), J360))</f>
        <v>0</v>
      </c>
      <c r="K360" s="21">
        <f t="shared" si="3722"/>
        <v>0</v>
      </c>
      <c r="L360" s="21">
        <f t="shared" si="3722"/>
        <v>0</v>
      </c>
      <c r="M360" s="21">
        <f t="shared" si="3722"/>
        <v>0</v>
      </c>
      <c r="N360" s="21">
        <f t="shared" si="3722"/>
        <v>0</v>
      </c>
      <c r="O360" s="21">
        <f t="shared" si="3722"/>
        <v>0</v>
      </c>
      <c r="P360" s="21">
        <f t="shared" si="3722"/>
        <v>0</v>
      </c>
      <c r="Q360" s="21">
        <f t="shared" si="3722"/>
        <v>0</v>
      </c>
      <c r="R360" s="21">
        <f>IF($F$290, 0, IF($C$301, IF(AND(COLUMN($R$360)-COLUMN($B$359)=$Q$291,ROW($R$360)-ROW($B$359)=$K$291), U$290, R360), R360))</f>
        <v>0</v>
      </c>
      <c r="S360" s="21">
        <f t="shared" ref="S360:Y360" si="3723">IF($F$290, 0, IF($C$301, IF(AND(COLUMN($R$360)-COLUMN($B$359)=$Q$291,ROW($R$360)-ROW($B$359)=$K$291), V$290, S360), S360))</f>
        <v>0</v>
      </c>
      <c r="T360" s="21">
        <f t="shared" si="3723"/>
        <v>0</v>
      </c>
      <c r="U360" s="21">
        <f t="shared" si="3723"/>
        <v>0</v>
      </c>
      <c r="V360" s="21">
        <f t="shared" si="3723"/>
        <v>0</v>
      </c>
      <c r="W360" s="21">
        <f t="shared" si="3723"/>
        <v>0</v>
      </c>
      <c r="X360" s="21">
        <f t="shared" si="3723"/>
        <v>0</v>
      </c>
      <c r="Y360" s="21">
        <f t="shared" si="3723"/>
        <v>0</v>
      </c>
      <c r="Z360" s="21">
        <f t="shared" ref="Z360:AG360" si="3724">IF($F$290, 0, IF($C$301, IF(AND(COLUMN($Z$360)-COLUMN($B$359)=$Q$291,ROW($Z$360)-ROW($B$359)=$K$291), U$290, Z360), Z360))</f>
        <v>0</v>
      </c>
      <c r="AA360" s="21">
        <f t="shared" si="3724"/>
        <v>0</v>
      </c>
      <c r="AB360" s="21">
        <f t="shared" si="3724"/>
        <v>0</v>
      </c>
      <c r="AC360" s="21">
        <f t="shared" si="3724"/>
        <v>0</v>
      </c>
      <c r="AD360" s="21">
        <f t="shared" si="3724"/>
        <v>0</v>
      </c>
      <c r="AE360" s="21">
        <f t="shared" si="3724"/>
        <v>0</v>
      </c>
      <c r="AF360" s="21">
        <f t="shared" si="3724"/>
        <v>0</v>
      </c>
      <c r="AG360" s="21">
        <f t="shared" si="3724"/>
        <v>0</v>
      </c>
      <c r="AH360" s="21">
        <f t="shared" ref="AH360:AO360" si="3725">IF($F$290, 0, IF($C$301, IF(AND(COLUMN($AH$360)-COLUMN($B$359)=$Q$291,ROW($AH$360)-ROW($B$359)=$K$291), U$290, AH360), AH360))</f>
        <v>0</v>
      </c>
      <c r="AI360" s="21">
        <f t="shared" si="3725"/>
        <v>0</v>
      </c>
      <c r="AJ360" s="21">
        <f t="shared" si="3725"/>
        <v>0</v>
      </c>
      <c r="AK360" s="21">
        <f t="shared" si="3725"/>
        <v>0</v>
      </c>
      <c r="AL360" s="21">
        <f t="shared" si="3725"/>
        <v>0</v>
      </c>
      <c r="AM360" s="21">
        <f t="shared" si="3725"/>
        <v>0</v>
      </c>
      <c r="AN360" s="21">
        <f t="shared" si="3725"/>
        <v>0</v>
      </c>
      <c r="AO360" s="21">
        <f t="shared" si="3725"/>
        <v>0</v>
      </c>
      <c r="AP360" s="21">
        <f t="shared" ref="AP360:AW360" si="3726">IF($F$290, 0, IF($C$301, IF(AND(COLUMN($AP$360)-COLUMN($B$359)=$Q$291,ROW($AP$360)-ROW($B$359)=$K$291), U$290, AP360), AP360))</f>
        <v>0</v>
      </c>
      <c r="AQ360" s="21">
        <f t="shared" si="3726"/>
        <v>0</v>
      </c>
      <c r="AR360" s="21">
        <f t="shared" si="3726"/>
        <v>0</v>
      </c>
      <c r="AS360" s="21">
        <f t="shared" si="3726"/>
        <v>0</v>
      </c>
      <c r="AT360" s="21">
        <f t="shared" si="3726"/>
        <v>0</v>
      </c>
      <c r="AU360" s="21">
        <f t="shared" si="3726"/>
        <v>0</v>
      </c>
      <c r="AV360" s="21">
        <f t="shared" si="3726"/>
        <v>0</v>
      </c>
      <c r="AW360" s="21">
        <f t="shared" si="3726"/>
        <v>0</v>
      </c>
      <c r="AX360" s="21">
        <f t="shared" ref="AX360:BE360" si="3727">IF($F$290, 0, IF($C$301, IF(AND(COLUMN($AX$360)-COLUMN($B$359)=$Q$291,ROW($AX$360)-ROW($B$359)=$K$291), U$290, AX360), AX360))</f>
        <v>0</v>
      </c>
      <c r="AY360" s="21">
        <f t="shared" si="3727"/>
        <v>0</v>
      </c>
      <c r="AZ360" s="21">
        <f t="shared" si="3727"/>
        <v>0</v>
      </c>
      <c r="BA360" s="21">
        <f t="shared" si="3727"/>
        <v>0</v>
      </c>
      <c r="BB360" s="21">
        <f t="shared" si="3727"/>
        <v>0</v>
      </c>
      <c r="BC360" s="21">
        <f t="shared" si="3727"/>
        <v>0</v>
      </c>
      <c r="BD360" s="21">
        <f t="shared" si="3727"/>
        <v>0</v>
      </c>
      <c r="BE360" s="21">
        <f t="shared" si="3727"/>
        <v>0</v>
      </c>
      <c r="BF360" s="21">
        <f t="shared" ref="BF360:BM360" si="3728">IF($F$290, 0, IF($C$301, IF(AND(COLUMN($BF$360)-COLUMN($B$359)=$Q$291,ROW($BF$360)-ROW($B$359)=$K$291), U$290, BF360), BF360))</f>
        <v>0</v>
      </c>
      <c r="BG360" s="21">
        <f t="shared" si="3728"/>
        <v>0</v>
      </c>
      <c r="BH360" s="21">
        <f t="shared" si="3728"/>
        <v>0</v>
      </c>
      <c r="BI360" s="21">
        <f t="shared" si="3728"/>
        <v>0</v>
      </c>
      <c r="BJ360" s="21">
        <f t="shared" si="3728"/>
        <v>0</v>
      </c>
      <c r="BK360" s="21">
        <f t="shared" si="3728"/>
        <v>0</v>
      </c>
      <c r="BL360" s="21">
        <f t="shared" si="3728"/>
        <v>0</v>
      </c>
      <c r="BM360" s="21">
        <f t="shared" si="3728"/>
        <v>0</v>
      </c>
      <c r="BN360" s="21">
        <f t="shared" ref="BN360:BU360" si="3729">IF($F$290, 0, IF($D$301, IF(AND(COLUMN($BN$360)-COLUMN($BN$359)=$Q$291,ROW($BN$360)-ROW($BN$359)=$K$291), U$290, BN360), BN360))</f>
        <v>0</v>
      </c>
      <c r="BO360" s="21">
        <f t="shared" si="3729"/>
        <v>0</v>
      </c>
      <c r="BP360" s="21">
        <f t="shared" si="3729"/>
        <v>0</v>
      </c>
      <c r="BQ360" s="21">
        <f t="shared" si="3729"/>
        <v>0</v>
      </c>
      <c r="BR360" s="21">
        <f t="shared" si="3729"/>
        <v>0</v>
      </c>
      <c r="BS360" s="21">
        <f t="shared" si="3729"/>
        <v>0</v>
      </c>
      <c r="BT360" s="21">
        <f t="shared" si="3729"/>
        <v>0</v>
      </c>
      <c r="BU360" s="21">
        <f t="shared" si="3729"/>
        <v>0</v>
      </c>
      <c r="BV360" s="21">
        <f t="shared" ref="BV360:CC360" si="3730">IF($F$290, 0, IF($D$301, IF(AND(COLUMN($BV$360)-COLUMN($BN$359)=$Q$291,ROW($BV$360)-ROW($BN$359)=$K$291), U$290, BV360), BV360))</f>
        <v>0</v>
      </c>
      <c r="BW360" s="21">
        <f t="shared" si="3730"/>
        <v>0</v>
      </c>
      <c r="BX360" s="21">
        <f t="shared" si="3730"/>
        <v>0</v>
      </c>
      <c r="BY360" s="21">
        <f t="shared" si="3730"/>
        <v>0</v>
      </c>
      <c r="BZ360" s="21">
        <f t="shared" si="3730"/>
        <v>0</v>
      </c>
      <c r="CA360" s="21">
        <f t="shared" si="3730"/>
        <v>0</v>
      </c>
      <c r="CB360" s="21">
        <f t="shared" si="3730"/>
        <v>0</v>
      </c>
      <c r="CC360" s="21">
        <f t="shared" si="3730"/>
        <v>0</v>
      </c>
      <c r="CD360" s="21">
        <f t="shared" ref="CD360:CK360" si="3731">IF($F$290, 0, IF($D$301, IF(AND(COLUMN($CD$360)-COLUMN($BN$359)=$Q$291,ROW($CD$360)-ROW($BN$359)=$K$291), U$290, CD360), CD360))</f>
        <v>0</v>
      </c>
      <c r="CE360" s="21">
        <f t="shared" si="3731"/>
        <v>0</v>
      </c>
      <c r="CF360" s="21">
        <f t="shared" si="3731"/>
        <v>0</v>
      </c>
      <c r="CG360" s="21">
        <f t="shared" si="3731"/>
        <v>0</v>
      </c>
      <c r="CH360" s="21">
        <f t="shared" si="3731"/>
        <v>0</v>
      </c>
      <c r="CI360" s="21">
        <f t="shared" si="3731"/>
        <v>0</v>
      </c>
      <c r="CJ360" s="21">
        <f t="shared" si="3731"/>
        <v>0</v>
      </c>
      <c r="CK360" s="21">
        <f t="shared" si="3731"/>
        <v>0</v>
      </c>
      <c r="CL360" s="21">
        <f t="shared" ref="CL360:CS360" si="3732">IF($F$290, 0, IF($D$301, IF(AND(COLUMN($CL$360)-COLUMN($BN$359)=$Q$291,ROW($CL$360)-ROW($BN$359)=$K$291), U$290, CL360), CL360))</f>
        <v>0</v>
      </c>
      <c r="CM360" s="21">
        <f t="shared" si="3732"/>
        <v>0</v>
      </c>
      <c r="CN360" s="21">
        <f t="shared" si="3732"/>
        <v>0</v>
      </c>
      <c r="CO360" s="21">
        <f t="shared" si="3732"/>
        <v>0</v>
      </c>
      <c r="CP360" s="21">
        <f t="shared" si="3732"/>
        <v>0</v>
      </c>
      <c r="CQ360" s="21">
        <f t="shared" si="3732"/>
        <v>0</v>
      </c>
      <c r="CR360" s="21">
        <f t="shared" si="3732"/>
        <v>0</v>
      </c>
      <c r="CS360" s="21">
        <f t="shared" si="3732"/>
        <v>0</v>
      </c>
      <c r="CT360" s="21">
        <f t="shared" ref="CT360:DA360" si="3733">IF($F$290, 0, IF($D$301, IF(AND(COLUMN($CT$360)-COLUMN($BN$359)=$Q$291,ROW($CT$360)-ROW($BN$359)=$K$291), U$290, CT360), CT360))</f>
        <v>0</v>
      </c>
      <c r="CU360" s="21">
        <f t="shared" si="3733"/>
        <v>0</v>
      </c>
      <c r="CV360" s="21">
        <f t="shared" si="3733"/>
        <v>0</v>
      </c>
      <c r="CW360" s="21">
        <f t="shared" si="3733"/>
        <v>0</v>
      </c>
      <c r="CX360" s="21">
        <f t="shared" si="3733"/>
        <v>0</v>
      </c>
      <c r="CY360" s="21">
        <f t="shared" si="3733"/>
        <v>0</v>
      </c>
      <c r="CZ360" s="21">
        <f t="shared" si="3733"/>
        <v>0</v>
      </c>
      <c r="DA360" s="21">
        <f t="shared" si="3733"/>
        <v>0</v>
      </c>
      <c r="DB360" s="21">
        <f t="shared" ref="DB360:DI360" si="3734">IF($F$290, 0, IF($D$301, IF(AND(COLUMN($DB$360)-COLUMN($BN$359)=$Q$291,ROW($DB$360)-ROW($BN$359)=$K$291), U$290, DB360), DB360))</f>
        <v>0</v>
      </c>
      <c r="DC360" s="21">
        <f t="shared" si="3734"/>
        <v>0</v>
      </c>
      <c r="DD360" s="21">
        <f t="shared" si="3734"/>
        <v>0</v>
      </c>
      <c r="DE360" s="21">
        <f t="shared" si="3734"/>
        <v>0</v>
      </c>
      <c r="DF360" s="21">
        <f t="shared" si="3734"/>
        <v>0</v>
      </c>
      <c r="DG360" s="21">
        <f t="shared" si="3734"/>
        <v>0</v>
      </c>
      <c r="DH360" s="21">
        <f t="shared" si="3734"/>
        <v>0</v>
      </c>
      <c r="DI360" s="21">
        <f t="shared" si="3734"/>
        <v>0</v>
      </c>
      <c r="DJ360" s="21">
        <f t="shared" ref="DJ360:DQ360" si="3735">IF($F$290, 0, IF($D$301, IF(AND(COLUMN($DJ$360)-COLUMN($BN$359)=$Q$291,ROW($DJ$360)-ROW($BN$359)=$K$291), U$290, DJ360), DJ360))</f>
        <v>0</v>
      </c>
      <c r="DK360" s="21">
        <f t="shared" si="3735"/>
        <v>0</v>
      </c>
      <c r="DL360" s="21">
        <f t="shared" si="3735"/>
        <v>0</v>
      </c>
      <c r="DM360" s="21">
        <f t="shared" si="3735"/>
        <v>0</v>
      </c>
      <c r="DN360" s="21">
        <f t="shared" si="3735"/>
        <v>0</v>
      </c>
      <c r="DO360" s="21">
        <f t="shared" si="3735"/>
        <v>0</v>
      </c>
      <c r="DP360" s="21">
        <f t="shared" si="3735"/>
        <v>0</v>
      </c>
      <c r="DQ360" s="21">
        <f t="shared" si="3735"/>
        <v>0</v>
      </c>
      <c r="DR360" s="21">
        <f t="shared" ref="DR360:DY360" si="3736">IF($F$290, 0, IF($D$301, IF(AND(COLUMN($DR$360)-COLUMN($BN$359)=$Q$291,ROW($DR$360)-ROW($BN$359)=$K$291), U$290, DR360), DR360))</f>
        <v>0</v>
      </c>
      <c r="DS360" s="21">
        <f t="shared" si="3736"/>
        <v>0</v>
      </c>
      <c r="DT360" s="21">
        <f t="shared" si="3736"/>
        <v>0</v>
      </c>
      <c r="DU360" s="21">
        <f t="shared" si="3736"/>
        <v>0</v>
      </c>
      <c r="DV360" s="21">
        <f t="shared" si="3736"/>
        <v>0</v>
      </c>
      <c r="DW360" s="21">
        <f t="shared" si="3736"/>
        <v>0</v>
      </c>
      <c r="DX360" s="21">
        <f t="shared" si="3736"/>
        <v>0</v>
      </c>
      <c r="DY360" s="21">
        <f t="shared" si="3736"/>
        <v>0</v>
      </c>
      <c r="DZ360" s="21">
        <f t="shared" ref="DZ360:EG360" si="3737">IF($F$290, 0, IF($E$301, IF(AND(COLUMN($DZ$360)-COLUMN($DZ$359)=$Q$291,ROW($DZ$360)-ROW($DZ$359)=$K$291), U$290, DZ360), DZ360))</f>
        <v>0</v>
      </c>
      <c r="EA360" s="21">
        <f t="shared" si="3737"/>
        <v>0</v>
      </c>
      <c r="EB360" s="21">
        <f t="shared" si="3737"/>
        <v>0</v>
      </c>
      <c r="EC360" s="21">
        <f t="shared" si="3737"/>
        <v>0</v>
      </c>
      <c r="ED360" s="21">
        <f t="shared" si="3737"/>
        <v>0</v>
      </c>
      <c r="EE360" s="21">
        <f t="shared" si="3737"/>
        <v>0</v>
      </c>
      <c r="EF360" s="21">
        <f t="shared" si="3737"/>
        <v>0</v>
      </c>
      <c r="EG360" s="21">
        <f t="shared" si="3737"/>
        <v>0</v>
      </c>
      <c r="EH360" s="21">
        <f t="shared" ref="EH360:EO360" si="3738">IF($F$290, 0, IF($E$301, IF(AND(COLUMN($EH$360)-COLUMN($DZ$359)=$Q$291,ROW($EH$360)-ROW($DZ$359)=$K$291), U$290, EH360), EH360))</f>
        <v>0</v>
      </c>
      <c r="EI360" s="21">
        <f t="shared" si="3738"/>
        <v>0</v>
      </c>
      <c r="EJ360" s="21">
        <f t="shared" si="3738"/>
        <v>0</v>
      </c>
      <c r="EK360" s="21">
        <f t="shared" si="3738"/>
        <v>0</v>
      </c>
      <c r="EL360" s="21">
        <f t="shared" si="3738"/>
        <v>0</v>
      </c>
      <c r="EM360" s="21">
        <f t="shared" si="3738"/>
        <v>0</v>
      </c>
      <c r="EN360" s="21">
        <f t="shared" si="3738"/>
        <v>0</v>
      </c>
      <c r="EO360" s="21">
        <f t="shared" si="3738"/>
        <v>0</v>
      </c>
      <c r="EP360" s="21">
        <f t="shared" ref="EP360:EW360" si="3739">IF($F$290, 0, IF($E$301, IF(AND(COLUMN($EP$360)-COLUMN($DZ$359)=$Q$291,ROW($EP$360)-ROW($DZ$359)=$K$291), U$290, EP360), EP360))</f>
        <v>0</v>
      </c>
      <c r="EQ360" s="21">
        <f t="shared" si="3739"/>
        <v>0</v>
      </c>
      <c r="ER360" s="21">
        <f t="shared" si="3739"/>
        <v>0</v>
      </c>
      <c r="ES360" s="21">
        <f t="shared" si="3739"/>
        <v>0</v>
      </c>
      <c r="ET360" s="21">
        <f t="shared" si="3739"/>
        <v>0</v>
      </c>
      <c r="EU360" s="21">
        <f t="shared" si="3739"/>
        <v>0</v>
      </c>
      <c r="EV360" s="21">
        <f t="shared" si="3739"/>
        <v>0</v>
      </c>
      <c r="EW360" s="21">
        <f t="shared" si="3739"/>
        <v>0</v>
      </c>
      <c r="EX360" s="21">
        <f t="shared" ref="EX360:FE360" si="3740">IF($F$290, 0, IF($E$301, IF(AND(COLUMN($EX$360)-COLUMN($DZ$359)=$Q$291,ROW($EX$360)-ROW($DZ$359)=$K$291), U$290, EX360), EX360))</f>
        <v>0</v>
      </c>
      <c r="EY360" s="21">
        <f t="shared" si="3740"/>
        <v>0</v>
      </c>
      <c r="EZ360" s="21">
        <f t="shared" si="3740"/>
        <v>0</v>
      </c>
      <c r="FA360" s="21">
        <f t="shared" si="3740"/>
        <v>0</v>
      </c>
      <c r="FB360" s="21">
        <f t="shared" si="3740"/>
        <v>0</v>
      </c>
      <c r="FC360" s="21">
        <f t="shared" si="3740"/>
        <v>0</v>
      </c>
      <c r="FD360" s="21">
        <f t="shared" si="3740"/>
        <v>0</v>
      </c>
      <c r="FE360" s="21">
        <f t="shared" si="3740"/>
        <v>0</v>
      </c>
      <c r="FF360" s="21">
        <f t="shared" ref="FF360:FM360" si="3741">IF($F$290, 0, IF($E$301, IF(AND(COLUMN($FF$360)-COLUMN($DZ$359)=$Q$291,ROW($FF$360)-ROW($DZ$359)=$K$291), U$290, FF360), FF360))</f>
        <v>0</v>
      </c>
      <c r="FG360" s="21">
        <f t="shared" si="3741"/>
        <v>0</v>
      </c>
      <c r="FH360" s="21">
        <f t="shared" si="3741"/>
        <v>0</v>
      </c>
      <c r="FI360" s="21">
        <f t="shared" si="3741"/>
        <v>0</v>
      </c>
      <c r="FJ360" s="21">
        <f t="shared" si="3741"/>
        <v>0</v>
      </c>
      <c r="FK360" s="21">
        <f t="shared" si="3741"/>
        <v>0</v>
      </c>
      <c r="FL360" s="21">
        <f t="shared" si="3741"/>
        <v>0</v>
      </c>
      <c r="FM360" s="21">
        <f t="shared" si="3741"/>
        <v>0</v>
      </c>
      <c r="FN360" s="21">
        <f t="shared" ref="FN360:FU360" si="3742">IF($F$290, 0, IF($E$301, IF(AND(COLUMN($FN$360)-COLUMN($DZ$359)=$Q$291,ROW($FN$360)-ROW($DZ$359)=$K$291), U$290, FN360), FN360))</f>
        <v>0</v>
      </c>
      <c r="FO360" s="21">
        <f t="shared" si="3742"/>
        <v>0</v>
      </c>
      <c r="FP360" s="21">
        <f t="shared" si="3742"/>
        <v>0</v>
      </c>
      <c r="FQ360" s="21">
        <f t="shared" si="3742"/>
        <v>0</v>
      </c>
      <c r="FR360" s="21">
        <f t="shared" si="3742"/>
        <v>0</v>
      </c>
      <c r="FS360" s="21">
        <f t="shared" si="3742"/>
        <v>0</v>
      </c>
      <c r="FT360" s="21">
        <f t="shared" si="3742"/>
        <v>0</v>
      </c>
      <c r="FU360" s="21">
        <f t="shared" si="3742"/>
        <v>0</v>
      </c>
      <c r="FV360" s="21">
        <f t="shared" ref="FV360:GC360" si="3743">IF($F$290, 0, IF($E$301, IF(AND(COLUMN($FV$360)-COLUMN($DZ$359)=$Q$291,ROW($FV$360)-ROW($DZ$359)=$K$291), U$290, FV360), FV360))</f>
        <v>0</v>
      </c>
      <c r="FW360" s="21">
        <f t="shared" si="3743"/>
        <v>0</v>
      </c>
      <c r="FX360" s="21">
        <f t="shared" si="3743"/>
        <v>0</v>
      </c>
      <c r="FY360" s="21">
        <f t="shared" si="3743"/>
        <v>0</v>
      </c>
      <c r="FZ360" s="21">
        <f t="shared" si="3743"/>
        <v>0</v>
      </c>
      <c r="GA360" s="21">
        <f t="shared" si="3743"/>
        <v>0</v>
      </c>
      <c r="GB360" s="21">
        <f t="shared" si="3743"/>
        <v>0</v>
      </c>
      <c r="GC360" s="21">
        <f t="shared" si="3743"/>
        <v>0</v>
      </c>
      <c r="GD360" s="21">
        <f t="shared" ref="GD360:GK360" si="3744">IF($F$290, 0, IF($E$301, IF(AND(COLUMN($GD$360)-COLUMN($DZ$359)=$Q$291,ROW($GD$360)-ROW($DZ$359)=$K$291), U$290, GD360), GD360))</f>
        <v>0</v>
      </c>
      <c r="GE360" s="21">
        <f t="shared" si="3744"/>
        <v>0</v>
      </c>
      <c r="GF360" s="21">
        <f t="shared" si="3744"/>
        <v>0</v>
      </c>
      <c r="GG360" s="21">
        <f t="shared" si="3744"/>
        <v>0</v>
      </c>
      <c r="GH360" s="21">
        <f t="shared" si="3744"/>
        <v>0</v>
      </c>
      <c r="GI360" s="21">
        <f t="shared" si="3744"/>
        <v>0</v>
      </c>
      <c r="GJ360" s="21">
        <f t="shared" si="3744"/>
        <v>0</v>
      </c>
      <c r="GK360" s="21">
        <f t="shared" si="3744"/>
        <v>0</v>
      </c>
      <c r="GL360" s="21">
        <f t="shared" ref="GL360:GS360" si="3745">IF($F$290, 0, IF($F$301, IF(AND(COLUMN($GL$360)-COLUMN($GL$359)=$Q$291,ROW($GL$360)-ROW($GL$359)=$K$291), U$290, GL360), GL360))</f>
        <v>0</v>
      </c>
      <c r="GM360" s="21">
        <f t="shared" si="3745"/>
        <v>0</v>
      </c>
      <c r="GN360" s="21">
        <f t="shared" si="3745"/>
        <v>0</v>
      </c>
      <c r="GO360" s="21">
        <f t="shared" si="3745"/>
        <v>0</v>
      </c>
      <c r="GP360" s="21">
        <f t="shared" si="3745"/>
        <v>0</v>
      </c>
      <c r="GQ360" s="21">
        <f t="shared" si="3745"/>
        <v>0</v>
      </c>
      <c r="GR360" s="21">
        <f t="shared" si="3745"/>
        <v>0</v>
      </c>
      <c r="GS360" s="21">
        <f t="shared" si="3745"/>
        <v>0</v>
      </c>
      <c r="GT360" s="21">
        <f t="shared" ref="GT360:HA360" si="3746">IF($F$290, 0, IF($F$301, IF(AND(COLUMN($GT$360)-COLUMN($GL$359)=$Q$291,ROW($GT$360)-ROW($GL$359)=$K$291), U$290, GT360), GT360))</f>
        <v>0</v>
      </c>
      <c r="GU360" s="21">
        <f t="shared" si="3746"/>
        <v>0</v>
      </c>
      <c r="GV360" s="21">
        <f t="shared" si="3746"/>
        <v>0</v>
      </c>
      <c r="GW360" s="21">
        <f t="shared" si="3746"/>
        <v>0</v>
      </c>
      <c r="GX360" s="21">
        <f t="shared" si="3746"/>
        <v>0</v>
      </c>
      <c r="GY360" s="21">
        <f t="shared" si="3746"/>
        <v>0</v>
      </c>
      <c r="GZ360" s="21">
        <f t="shared" si="3746"/>
        <v>0</v>
      </c>
      <c r="HA360" s="21">
        <f t="shared" si="3746"/>
        <v>0</v>
      </c>
      <c r="HB360" s="21">
        <f t="shared" ref="HB360:HI360" si="3747">IF($F$290, 0, IF($F$301, IF(AND(COLUMN($HB$360)-COLUMN($GL$359)=$Q$291,ROW($HB$360)-ROW($GL$359)=$K$291), U$290, HB360), HB360))</f>
        <v>0</v>
      </c>
      <c r="HC360" s="21">
        <f t="shared" si="3747"/>
        <v>0</v>
      </c>
      <c r="HD360" s="21">
        <f t="shared" si="3747"/>
        <v>0</v>
      </c>
      <c r="HE360" s="21">
        <f t="shared" si="3747"/>
        <v>0</v>
      </c>
      <c r="HF360" s="21">
        <f t="shared" si="3747"/>
        <v>0</v>
      </c>
      <c r="HG360" s="21">
        <f t="shared" si="3747"/>
        <v>0</v>
      </c>
      <c r="HH360" s="21">
        <f t="shared" si="3747"/>
        <v>0</v>
      </c>
      <c r="HI360" s="21">
        <f t="shared" si="3747"/>
        <v>0</v>
      </c>
      <c r="HJ360" s="21">
        <f t="shared" ref="HJ360:HQ360" si="3748">IF($F$290, 0, IF($F$301, IF(AND(COLUMN($HJ$360)-COLUMN($GL$359)=$Q$291,ROW($HJ$360)-ROW($GL$359)=$K$291), U$290, HJ360), HJ360))</f>
        <v>0</v>
      </c>
      <c r="HK360" s="21">
        <f t="shared" si="3748"/>
        <v>0</v>
      </c>
      <c r="HL360" s="21">
        <f t="shared" si="3748"/>
        <v>0</v>
      </c>
      <c r="HM360" s="21">
        <f t="shared" si="3748"/>
        <v>0</v>
      </c>
      <c r="HN360" s="21">
        <f t="shared" si="3748"/>
        <v>0</v>
      </c>
      <c r="HO360" s="21">
        <f t="shared" si="3748"/>
        <v>0</v>
      </c>
      <c r="HP360" s="21">
        <f t="shared" si="3748"/>
        <v>0</v>
      </c>
      <c r="HQ360" s="21">
        <f t="shared" si="3748"/>
        <v>0</v>
      </c>
      <c r="HR360" s="21">
        <f t="shared" ref="HR360:HY360" si="3749">IF($F$290, 0, IF($F$301, IF(AND(COLUMN($HR$360)-COLUMN($GL$359)=$Q$291,ROW($HR$360)-ROW($GL$359)=$K$291), U$290, HR360), HR360))</f>
        <v>0</v>
      </c>
      <c r="HS360" s="21">
        <f t="shared" si="3749"/>
        <v>0</v>
      </c>
      <c r="HT360" s="21">
        <f t="shared" si="3749"/>
        <v>0</v>
      </c>
      <c r="HU360" s="21">
        <f t="shared" si="3749"/>
        <v>0</v>
      </c>
      <c r="HV360" s="21">
        <f t="shared" si="3749"/>
        <v>0</v>
      </c>
      <c r="HW360" s="21">
        <f t="shared" si="3749"/>
        <v>0</v>
      </c>
      <c r="HX360" s="21">
        <f t="shared" si="3749"/>
        <v>0</v>
      </c>
      <c r="HY360" s="21">
        <f t="shared" si="3749"/>
        <v>0</v>
      </c>
      <c r="HZ360" s="21">
        <f t="shared" ref="HZ360:IG360" si="3750">IF($F$290, 0, IF($F$301, IF(AND(COLUMN($HZ$360)-COLUMN($GL$359)=$Q$291,ROW($HZ$360)-ROW($GL$359)=$K$291), U$290, HZ360), HZ360))</f>
        <v>0</v>
      </c>
      <c r="IA360" s="21">
        <f t="shared" si="3750"/>
        <v>0</v>
      </c>
      <c r="IB360" s="21">
        <f t="shared" si="3750"/>
        <v>0</v>
      </c>
      <c r="IC360" s="21">
        <f t="shared" si="3750"/>
        <v>0</v>
      </c>
      <c r="ID360" s="21">
        <f t="shared" si="3750"/>
        <v>0</v>
      </c>
      <c r="IE360" s="21">
        <f t="shared" si="3750"/>
        <v>0</v>
      </c>
      <c r="IF360" s="21">
        <f t="shared" si="3750"/>
        <v>0</v>
      </c>
      <c r="IG360" s="21">
        <f t="shared" si="3750"/>
        <v>0</v>
      </c>
      <c r="IH360" s="21">
        <f t="shared" ref="IH360:IO360" si="3751">IF($F$290, 0, IF($F$301, IF(AND(COLUMN($IH$360)-COLUMN($GL$359)=$Q$291,ROW($IH$360)-ROW($GL$359)=$K$291), U$290, IH360), IH360))</f>
        <v>0</v>
      </c>
      <c r="II360" s="21">
        <f t="shared" si="3751"/>
        <v>0</v>
      </c>
      <c r="IJ360" s="21">
        <f t="shared" si="3751"/>
        <v>0</v>
      </c>
      <c r="IK360" s="21">
        <f t="shared" si="3751"/>
        <v>0</v>
      </c>
      <c r="IL360" s="21">
        <f t="shared" si="3751"/>
        <v>0</v>
      </c>
      <c r="IM360" s="21">
        <f t="shared" si="3751"/>
        <v>0</v>
      </c>
      <c r="IN360" s="21">
        <f t="shared" si="3751"/>
        <v>0</v>
      </c>
      <c r="IO360" s="21">
        <f t="shared" si="3751"/>
        <v>0</v>
      </c>
      <c r="IP360" s="21">
        <f t="shared" ref="IP360:IW360" si="3752">IF($F$290, 0, IF($F$301, IF(AND(COLUMN($IP$360)-COLUMN($GL$359)=$Q$291,ROW($IP$360)-ROW($GL$359)=$K$291), U$290, IP360), IP360))</f>
        <v>0</v>
      </c>
      <c r="IQ360" s="21">
        <f t="shared" si="3752"/>
        <v>0</v>
      </c>
      <c r="IR360" s="21">
        <f t="shared" si="3752"/>
        <v>0</v>
      </c>
      <c r="IS360" s="21">
        <f t="shared" si="3752"/>
        <v>0</v>
      </c>
      <c r="IT360" s="21">
        <f t="shared" si="3752"/>
        <v>0</v>
      </c>
      <c r="IU360" s="21">
        <f t="shared" si="3752"/>
        <v>0</v>
      </c>
      <c r="IV360" s="21">
        <f t="shared" si="3752"/>
        <v>0</v>
      </c>
      <c r="IW360" s="21">
        <f t="shared" si="3752"/>
        <v>0</v>
      </c>
      <c r="IX360" s="21">
        <f t="shared" ref="IX360:JE360" si="3753">IF($F$290, 0, IF($G$301, IF(AND(COLUMN($IX$360)-COLUMN($IX$359)=$Q$291,ROW($IX$360)-ROW($IX$359)=$K$291), U$290, IX360), IX360))</f>
        <v>0</v>
      </c>
      <c r="IY360" s="21">
        <f t="shared" si="3753"/>
        <v>0</v>
      </c>
      <c r="IZ360" s="21">
        <f t="shared" si="3753"/>
        <v>0</v>
      </c>
      <c r="JA360" s="21">
        <f t="shared" si="3753"/>
        <v>0</v>
      </c>
      <c r="JB360" s="21">
        <f t="shared" si="3753"/>
        <v>0</v>
      </c>
      <c r="JC360" s="21">
        <f t="shared" si="3753"/>
        <v>0</v>
      </c>
      <c r="JD360" s="21">
        <f t="shared" si="3753"/>
        <v>0</v>
      </c>
      <c r="JE360" s="21">
        <f t="shared" si="3753"/>
        <v>0</v>
      </c>
      <c r="JF360" s="21">
        <f t="shared" ref="JF360:JM360" si="3754">IF($F$290, 0, IF($G$301, IF(AND(COLUMN($JF$360)-COLUMN($IX$359)=$Q$291,ROW($JF$360)-ROW($IX$359)=$K$291), U$290, JF360), JF360))</f>
        <v>0</v>
      </c>
      <c r="JG360" s="21">
        <f t="shared" si="3754"/>
        <v>0</v>
      </c>
      <c r="JH360" s="21">
        <f t="shared" si="3754"/>
        <v>0</v>
      </c>
      <c r="JI360" s="21">
        <f t="shared" si="3754"/>
        <v>0</v>
      </c>
      <c r="JJ360" s="21">
        <f t="shared" si="3754"/>
        <v>0</v>
      </c>
      <c r="JK360" s="21">
        <f t="shared" si="3754"/>
        <v>0</v>
      </c>
      <c r="JL360" s="21">
        <f t="shared" si="3754"/>
        <v>0</v>
      </c>
      <c r="JM360" s="21">
        <f t="shared" si="3754"/>
        <v>0</v>
      </c>
      <c r="JN360" s="21">
        <f t="shared" ref="JN360:JU360" si="3755">IF($F$290, 0, IF($G$301, IF(AND(COLUMN($JN$360)-COLUMN($IX$359)=$Q$291,ROW($JN$360)-ROW($IX$359)=$K$291), U$290, JN360), JN360))</f>
        <v>0</v>
      </c>
      <c r="JO360" s="21">
        <f t="shared" si="3755"/>
        <v>0</v>
      </c>
      <c r="JP360" s="21">
        <f t="shared" si="3755"/>
        <v>0</v>
      </c>
      <c r="JQ360" s="21">
        <f t="shared" si="3755"/>
        <v>0</v>
      </c>
      <c r="JR360" s="21">
        <f t="shared" si="3755"/>
        <v>0</v>
      </c>
      <c r="JS360" s="21">
        <f t="shared" si="3755"/>
        <v>0</v>
      </c>
      <c r="JT360" s="21">
        <f t="shared" si="3755"/>
        <v>0</v>
      </c>
      <c r="JU360" s="21">
        <f t="shared" si="3755"/>
        <v>0</v>
      </c>
      <c r="JV360" s="21">
        <f t="shared" ref="JV360:KC360" si="3756">IF($F$290, 0, IF($G$301, IF(AND(COLUMN($JV$360)-COLUMN($IX$359)=$Q$291,ROW($JV$360)-ROW($IX$359)=$K$291), U$290, JV360), JV360))</f>
        <v>0</v>
      </c>
      <c r="JW360" s="21">
        <f t="shared" si="3756"/>
        <v>0</v>
      </c>
      <c r="JX360" s="21">
        <f t="shared" si="3756"/>
        <v>0</v>
      </c>
      <c r="JY360" s="21">
        <f t="shared" si="3756"/>
        <v>0</v>
      </c>
      <c r="JZ360" s="21">
        <f t="shared" si="3756"/>
        <v>0</v>
      </c>
      <c r="KA360" s="21">
        <f t="shared" si="3756"/>
        <v>0</v>
      </c>
      <c r="KB360" s="21">
        <f t="shared" si="3756"/>
        <v>0</v>
      </c>
      <c r="KC360" s="21">
        <f t="shared" si="3756"/>
        <v>0</v>
      </c>
      <c r="KD360" s="21">
        <f t="shared" ref="KD360:KK360" si="3757">IF($F$290, 0, IF($G$301, IF(AND(COLUMN($KD$360)-COLUMN($IX$359)=$Q$291,ROW($KD$360)-ROW($IX$359)=$K$291), U$290, KD360), KD360))</f>
        <v>0</v>
      </c>
      <c r="KE360" s="21">
        <f t="shared" si="3757"/>
        <v>0</v>
      </c>
      <c r="KF360" s="21">
        <f t="shared" si="3757"/>
        <v>0</v>
      </c>
      <c r="KG360" s="21">
        <f t="shared" si="3757"/>
        <v>0</v>
      </c>
      <c r="KH360" s="21">
        <f t="shared" si="3757"/>
        <v>0</v>
      </c>
      <c r="KI360" s="21">
        <f t="shared" si="3757"/>
        <v>0</v>
      </c>
      <c r="KJ360" s="21">
        <f t="shared" si="3757"/>
        <v>0</v>
      </c>
      <c r="KK360" s="21">
        <f t="shared" si="3757"/>
        <v>0</v>
      </c>
      <c r="KL360" s="21">
        <f t="shared" ref="KL360:KS360" si="3758">IF($F$290, 0, IF($G$301, IF(AND(COLUMN($KL$360)-COLUMN($IX$359)=$Q$291,ROW($KL$360)-ROW($IX$359)=$K$291), U$290, KL360), KL360))</f>
        <v>0</v>
      </c>
      <c r="KM360" s="21">
        <f t="shared" si="3758"/>
        <v>0</v>
      </c>
      <c r="KN360" s="21">
        <f t="shared" si="3758"/>
        <v>0</v>
      </c>
      <c r="KO360" s="21">
        <f t="shared" si="3758"/>
        <v>0</v>
      </c>
      <c r="KP360" s="21">
        <f t="shared" si="3758"/>
        <v>0</v>
      </c>
      <c r="KQ360" s="21">
        <f t="shared" si="3758"/>
        <v>0</v>
      </c>
      <c r="KR360" s="21">
        <f t="shared" si="3758"/>
        <v>0</v>
      </c>
      <c r="KS360" s="21">
        <f t="shared" si="3758"/>
        <v>0</v>
      </c>
      <c r="KT360" s="21">
        <f t="shared" ref="KT360:LA360" si="3759">IF($F$290, 0, IF($G$301, IF(AND(COLUMN($KT$360)-COLUMN($IX$359)=$Q$291,ROW($KT$360)-ROW($IX$359)=$K$291), U$290, KT360), KT360))</f>
        <v>0</v>
      </c>
      <c r="KU360" s="21">
        <f t="shared" si="3759"/>
        <v>0</v>
      </c>
      <c r="KV360" s="21">
        <f t="shared" si="3759"/>
        <v>0</v>
      </c>
      <c r="KW360" s="21">
        <f t="shared" si="3759"/>
        <v>0</v>
      </c>
      <c r="KX360" s="21">
        <f t="shared" si="3759"/>
        <v>0</v>
      </c>
      <c r="KY360" s="21">
        <f t="shared" si="3759"/>
        <v>0</v>
      </c>
      <c r="KZ360" s="21">
        <f t="shared" si="3759"/>
        <v>0</v>
      </c>
      <c r="LA360" s="21">
        <f t="shared" si="3759"/>
        <v>0</v>
      </c>
      <c r="LB360" s="21">
        <f t="shared" ref="LB360:LI360" si="3760">IF($F$290, 0, IF($G$301, IF(AND(COLUMN($LB$360)-COLUMN($IX$359)=$Q$291,ROW($LB$360)-ROW($IX$359)=$K$291), U$290, LB360), LB360))</f>
        <v>0</v>
      </c>
      <c r="LC360" s="21">
        <f t="shared" si="3760"/>
        <v>0</v>
      </c>
      <c r="LD360" s="21">
        <f t="shared" si="3760"/>
        <v>0</v>
      </c>
      <c r="LE360" s="21">
        <f t="shared" si="3760"/>
        <v>0</v>
      </c>
      <c r="LF360" s="21">
        <f t="shared" si="3760"/>
        <v>0</v>
      </c>
      <c r="LG360" s="21">
        <f t="shared" si="3760"/>
        <v>0</v>
      </c>
      <c r="LH360" s="21">
        <f t="shared" si="3760"/>
        <v>0</v>
      </c>
      <c r="LI360" s="21">
        <f t="shared" si="3760"/>
        <v>0</v>
      </c>
      <c r="LJ360" s="21">
        <f t="shared" ref="LJ360:LQ360" si="3761">IF($F$290, 0, IF($H$301, IF(AND(COLUMN($LJ$360)-COLUMN($LJ$359)=$Q$291,ROW($LJ$360)-ROW($LJ$359)=$K$291), U$290, LJ360), LJ360))</f>
        <v>0</v>
      </c>
      <c r="LK360" s="21">
        <f t="shared" si="3761"/>
        <v>0</v>
      </c>
      <c r="LL360" s="21">
        <f t="shared" si="3761"/>
        <v>0</v>
      </c>
      <c r="LM360" s="21">
        <f t="shared" si="3761"/>
        <v>0</v>
      </c>
      <c r="LN360" s="21">
        <f t="shared" si="3761"/>
        <v>0</v>
      </c>
      <c r="LO360" s="21">
        <f t="shared" si="3761"/>
        <v>0</v>
      </c>
      <c r="LP360" s="21">
        <f t="shared" si="3761"/>
        <v>0</v>
      </c>
      <c r="LQ360" s="21">
        <f t="shared" si="3761"/>
        <v>0</v>
      </c>
      <c r="LR360" s="21">
        <f t="shared" ref="LR360:LY360" si="3762">IF($F$290, 0, IF($H$301, IF(AND(COLUMN($LR$360)-COLUMN($LJ$359)=$Q$291,ROW($LR$360)-ROW($LJ$359)=$K$291), U$290, LR360), LR360))</f>
        <v>0</v>
      </c>
      <c r="LS360" s="21">
        <f t="shared" si="3762"/>
        <v>0</v>
      </c>
      <c r="LT360" s="21">
        <f t="shared" si="3762"/>
        <v>0</v>
      </c>
      <c r="LU360" s="21">
        <f t="shared" si="3762"/>
        <v>0</v>
      </c>
      <c r="LV360" s="21">
        <f t="shared" si="3762"/>
        <v>0</v>
      </c>
      <c r="LW360" s="21">
        <f t="shared" si="3762"/>
        <v>0</v>
      </c>
      <c r="LX360" s="21">
        <f t="shared" si="3762"/>
        <v>0</v>
      </c>
      <c r="LY360" s="21">
        <f t="shared" si="3762"/>
        <v>0</v>
      </c>
      <c r="LZ360" s="21">
        <f t="shared" ref="LZ360:MG360" si="3763">IF($F$290, 0, IF($H$301, IF(AND(COLUMN($LZ$360)-COLUMN($LJ$359)=$Q$291,ROW($LZ$360)-ROW($LJ$359)=$K$291), U$290, LZ360), LZ360))</f>
        <v>0</v>
      </c>
      <c r="MA360" s="21">
        <f t="shared" si="3763"/>
        <v>0</v>
      </c>
      <c r="MB360" s="21">
        <f t="shared" si="3763"/>
        <v>0</v>
      </c>
      <c r="MC360" s="21">
        <f t="shared" si="3763"/>
        <v>0</v>
      </c>
      <c r="MD360" s="21">
        <f t="shared" si="3763"/>
        <v>0</v>
      </c>
      <c r="ME360" s="21">
        <f t="shared" si="3763"/>
        <v>0</v>
      </c>
      <c r="MF360" s="21">
        <f t="shared" si="3763"/>
        <v>0</v>
      </c>
      <c r="MG360" s="21">
        <f t="shared" si="3763"/>
        <v>0</v>
      </c>
      <c r="MH360" s="21">
        <f t="shared" ref="MH360:MO360" si="3764">IF($F$290, 0, IF($H$301, IF(AND(COLUMN($MH$360)-COLUMN($LJ$359)=$Q$291,ROW($MH$360)-ROW($LJ$359)=$K$291), U$290, MH360), MH360))</f>
        <v>0</v>
      </c>
      <c r="MI360" s="21">
        <f t="shared" si="3764"/>
        <v>0</v>
      </c>
      <c r="MJ360" s="21">
        <f t="shared" si="3764"/>
        <v>0</v>
      </c>
      <c r="MK360" s="21">
        <f t="shared" si="3764"/>
        <v>0</v>
      </c>
      <c r="ML360" s="21">
        <f t="shared" si="3764"/>
        <v>0</v>
      </c>
      <c r="MM360" s="21">
        <f t="shared" si="3764"/>
        <v>0</v>
      </c>
      <c r="MN360" s="21">
        <f t="shared" si="3764"/>
        <v>0</v>
      </c>
      <c r="MO360" s="21">
        <f t="shared" si="3764"/>
        <v>0</v>
      </c>
      <c r="MP360" s="21">
        <f t="shared" ref="MP360:MW360" si="3765">IF($F$290, 0, IF($H$301, IF(AND(COLUMN($MP$360)-COLUMN($LJ$359)=$Q$291,ROW($MP$360)-ROW($LJ$359)=$K$291), U$290, MP360), MP360))</f>
        <v>0</v>
      </c>
      <c r="MQ360" s="21">
        <f t="shared" si="3765"/>
        <v>0</v>
      </c>
      <c r="MR360" s="21">
        <f t="shared" si="3765"/>
        <v>0</v>
      </c>
      <c r="MS360" s="21">
        <f t="shared" si="3765"/>
        <v>0</v>
      </c>
      <c r="MT360" s="21">
        <f t="shared" si="3765"/>
        <v>0</v>
      </c>
      <c r="MU360" s="21">
        <f t="shared" si="3765"/>
        <v>0</v>
      </c>
      <c r="MV360" s="21">
        <f t="shared" si="3765"/>
        <v>0</v>
      </c>
      <c r="MW360" s="21">
        <f t="shared" si="3765"/>
        <v>0</v>
      </c>
      <c r="MX360" s="21">
        <f t="shared" ref="MX360:NE360" si="3766">IF($F$290, 0, IF($H$301, IF(AND(COLUMN($MX$360)-COLUMN($LJ$359)=$Q$291,ROW($MX$360)-ROW($LJ$359)=$K$291), U$290, MX360), MX360))</f>
        <v>0</v>
      </c>
      <c r="MY360" s="21">
        <f t="shared" si="3766"/>
        <v>0</v>
      </c>
      <c r="MZ360" s="21">
        <f t="shared" si="3766"/>
        <v>0</v>
      </c>
      <c r="NA360" s="21">
        <f t="shared" si="3766"/>
        <v>0</v>
      </c>
      <c r="NB360" s="21">
        <f t="shared" si="3766"/>
        <v>0</v>
      </c>
      <c r="NC360" s="21">
        <f t="shared" si="3766"/>
        <v>0</v>
      </c>
      <c r="ND360" s="21">
        <f t="shared" si="3766"/>
        <v>0</v>
      </c>
      <c r="NE360" s="21">
        <f t="shared" si="3766"/>
        <v>0</v>
      </c>
      <c r="NF360" s="21">
        <f t="shared" ref="NF360:NM360" si="3767">IF($F$290, 0, IF($H$301, IF(AND(COLUMN($NF$360)-COLUMN($LJ$359)=$Q$291,ROW($NF$360)-ROW($LJ$359)=$K$291), U$290, NF360), NF360))</f>
        <v>0</v>
      </c>
      <c r="NG360" s="21">
        <f t="shared" si="3767"/>
        <v>0</v>
      </c>
      <c r="NH360" s="21">
        <f t="shared" si="3767"/>
        <v>0</v>
      </c>
      <c r="NI360" s="21">
        <f t="shared" si="3767"/>
        <v>0</v>
      </c>
      <c r="NJ360" s="21">
        <f t="shared" si="3767"/>
        <v>0</v>
      </c>
      <c r="NK360" s="21">
        <f t="shared" si="3767"/>
        <v>0</v>
      </c>
      <c r="NL360" s="21">
        <f t="shared" si="3767"/>
        <v>0</v>
      </c>
      <c r="NM360" s="21">
        <f t="shared" si="3767"/>
        <v>0</v>
      </c>
      <c r="NN360" s="21">
        <f t="shared" ref="NN360:NU360" si="3768">IF($F$290, 0, IF($H$301, IF(AND(COLUMN($NN$360)-COLUMN($LJ$359)=$Q$291,ROW($NN$360)-ROW($LJ$359)=$K$291), U$290, NN360), NN360))</f>
        <v>0</v>
      </c>
      <c r="NO360" s="21">
        <f t="shared" si="3768"/>
        <v>0</v>
      </c>
      <c r="NP360" s="21">
        <f t="shared" si="3768"/>
        <v>0</v>
      </c>
      <c r="NQ360" s="21">
        <f t="shared" si="3768"/>
        <v>0</v>
      </c>
      <c r="NR360" s="21">
        <f t="shared" si="3768"/>
        <v>0</v>
      </c>
      <c r="NS360" s="21">
        <f t="shared" si="3768"/>
        <v>0</v>
      </c>
      <c r="NT360" s="21">
        <f t="shared" si="3768"/>
        <v>0</v>
      </c>
      <c r="NU360" s="21">
        <f t="shared" si="3768"/>
        <v>0</v>
      </c>
      <c r="NV360" s="21">
        <f t="shared" ref="NV360:OC360" si="3769">IF($F$290, 0, IF($I$301, IF(AND(COLUMN($NV$360)-COLUMN($NV$359)=$Q$291,ROW($NV$360)-ROW($NV$359)=$K$291), U$290, NV360), NV360))</f>
        <v>0</v>
      </c>
      <c r="NW360" s="21">
        <f t="shared" si="3769"/>
        <v>0</v>
      </c>
      <c r="NX360" s="21">
        <f t="shared" si="3769"/>
        <v>0</v>
      </c>
      <c r="NY360" s="21">
        <f t="shared" si="3769"/>
        <v>0</v>
      </c>
      <c r="NZ360" s="21">
        <f t="shared" si="3769"/>
        <v>0</v>
      </c>
      <c r="OA360" s="21">
        <f t="shared" si="3769"/>
        <v>0</v>
      </c>
      <c r="OB360" s="21">
        <f t="shared" si="3769"/>
        <v>0</v>
      </c>
      <c r="OC360" s="21">
        <f t="shared" si="3769"/>
        <v>0</v>
      </c>
      <c r="OD360" s="21">
        <f t="shared" ref="OD360:OK360" si="3770">IF($F$290, 0, IF($I$301, IF(AND(COLUMN($OD$360)-COLUMN($NV$359)=$Q$291,ROW($OD$360)-ROW($NV$359)=$K$291), U$290, OD360), OD360))</f>
        <v>0</v>
      </c>
      <c r="OE360" s="21">
        <f t="shared" si="3770"/>
        <v>0</v>
      </c>
      <c r="OF360" s="21">
        <f t="shared" si="3770"/>
        <v>0</v>
      </c>
      <c r="OG360" s="21">
        <f t="shared" si="3770"/>
        <v>0</v>
      </c>
      <c r="OH360" s="21">
        <f t="shared" si="3770"/>
        <v>0</v>
      </c>
      <c r="OI360" s="21">
        <f t="shared" si="3770"/>
        <v>0</v>
      </c>
      <c r="OJ360" s="21">
        <f t="shared" si="3770"/>
        <v>0</v>
      </c>
      <c r="OK360" s="21">
        <f t="shared" si="3770"/>
        <v>0</v>
      </c>
      <c r="OL360" s="21">
        <f t="shared" ref="OL360:OS360" si="3771">IF($F$290, 0, IF($I$301, IF(AND(COLUMN($OL$360)-COLUMN($NV$359)=$Q$291,ROW($OL$360)-ROW($NV$359)=$K$291), U$290, OL360), OL360))</f>
        <v>0</v>
      </c>
      <c r="OM360" s="21">
        <f t="shared" si="3771"/>
        <v>0</v>
      </c>
      <c r="ON360" s="21">
        <f t="shared" si="3771"/>
        <v>0</v>
      </c>
      <c r="OO360" s="21">
        <f t="shared" si="3771"/>
        <v>0</v>
      </c>
      <c r="OP360" s="21">
        <f t="shared" si="3771"/>
        <v>0</v>
      </c>
      <c r="OQ360" s="21">
        <f t="shared" si="3771"/>
        <v>0</v>
      </c>
      <c r="OR360" s="21">
        <f t="shared" si="3771"/>
        <v>0</v>
      </c>
      <c r="OS360" s="21">
        <f t="shared" si="3771"/>
        <v>0</v>
      </c>
      <c r="OT360" s="21">
        <f t="shared" ref="OT360:PA360" si="3772">IF($F$290, 0, IF($I$301, IF(AND(COLUMN($OT$360)-COLUMN($NV$359)=$Q$291,ROW($OT$360)-ROW($NV$359)=$K$291), U$290, OT360), OT360))</f>
        <v>0</v>
      </c>
      <c r="OU360" s="21">
        <f t="shared" si="3772"/>
        <v>0</v>
      </c>
      <c r="OV360" s="21">
        <f t="shared" si="3772"/>
        <v>0</v>
      </c>
      <c r="OW360" s="21">
        <f t="shared" si="3772"/>
        <v>0</v>
      </c>
      <c r="OX360" s="21">
        <f t="shared" si="3772"/>
        <v>0</v>
      </c>
      <c r="OY360" s="21">
        <f t="shared" si="3772"/>
        <v>0</v>
      </c>
      <c r="OZ360" s="21">
        <f t="shared" si="3772"/>
        <v>0</v>
      </c>
      <c r="PA360" s="21">
        <f t="shared" si="3772"/>
        <v>0</v>
      </c>
      <c r="PB360" s="21">
        <f t="shared" ref="PB360:PI360" si="3773">IF($F$290, 0, IF($I$301, IF(AND(COLUMN($PB$360)-COLUMN($NV$359)=$Q$291,ROW($PB$360)-ROW($NV$359)=$K$291), U$290, PB360), PB360))</f>
        <v>0</v>
      </c>
      <c r="PC360" s="21">
        <f t="shared" si="3773"/>
        <v>0</v>
      </c>
      <c r="PD360" s="21">
        <f t="shared" si="3773"/>
        <v>0</v>
      </c>
      <c r="PE360" s="21">
        <f t="shared" si="3773"/>
        <v>0</v>
      </c>
      <c r="PF360" s="21">
        <f t="shared" si="3773"/>
        <v>0</v>
      </c>
      <c r="PG360" s="21">
        <f t="shared" si="3773"/>
        <v>0</v>
      </c>
      <c r="PH360" s="21">
        <f t="shared" si="3773"/>
        <v>0</v>
      </c>
      <c r="PI360" s="21">
        <f t="shared" si="3773"/>
        <v>0</v>
      </c>
      <c r="PJ360" s="21">
        <f t="shared" ref="PJ360:PQ360" si="3774">IF($F$290, 0, IF($I$301, IF(AND(COLUMN($PJ$360)-COLUMN($NV$359)=$Q$291,ROW($PJ$360)-ROW($NV$359)=$K$291), U$290, PJ360), PJ360))</f>
        <v>0</v>
      </c>
      <c r="PK360" s="21">
        <f t="shared" si="3774"/>
        <v>0</v>
      </c>
      <c r="PL360" s="21">
        <f t="shared" si="3774"/>
        <v>0</v>
      </c>
      <c r="PM360" s="21">
        <f t="shared" si="3774"/>
        <v>0</v>
      </c>
      <c r="PN360" s="21">
        <f t="shared" si="3774"/>
        <v>0</v>
      </c>
      <c r="PO360" s="21">
        <f t="shared" si="3774"/>
        <v>0</v>
      </c>
      <c r="PP360" s="21">
        <f t="shared" si="3774"/>
        <v>0</v>
      </c>
      <c r="PQ360" s="21">
        <f t="shared" si="3774"/>
        <v>0</v>
      </c>
      <c r="PR360" s="21">
        <f t="shared" ref="PR360:PY360" si="3775">IF($F$290, 0, IF($I$301, IF(AND(COLUMN($PR$360)-COLUMN($NV$359)=$Q$291,ROW($PR$360)-ROW($NV$359)=$K$291), U$290, PR360), PR360))</f>
        <v>0</v>
      </c>
      <c r="PS360" s="21">
        <f t="shared" si="3775"/>
        <v>0</v>
      </c>
      <c r="PT360" s="21">
        <f t="shared" si="3775"/>
        <v>0</v>
      </c>
      <c r="PU360" s="21">
        <f t="shared" si="3775"/>
        <v>0</v>
      </c>
      <c r="PV360" s="21">
        <f t="shared" si="3775"/>
        <v>0</v>
      </c>
      <c r="PW360" s="21">
        <f t="shared" si="3775"/>
        <v>0</v>
      </c>
      <c r="PX360" s="21">
        <f t="shared" si="3775"/>
        <v>0</v>
      </c>
      <c r="PY360" s="21">
        <f t="shared" si="3775"/>
        <v>0</v>
      </c>
      <c r="PZ360" s="21">
        <f t="shared" ref="PZ360:QG360" si="3776">IF($F$290, 0, IF($I$301, IF(AND(COLUMN($PZ$360)-COLUMN($NV$359)=$Q$291,ROW($PZ$360)-ROW($NV$359)=$K$291), U$290, PZ360), PZ360))</f>
        <v>0</v>
      </c>
      <c r="QA360" s="21">
        <f t="shared" si="3776"/>
        <v>0</v>
      </c>
      <c r="QB360" s="21">
        <f t="shared" si="3776"/>
        <v>0</v>
      </c>
      <c r="QC360" s="21">
        <f t="shared" si="3776"/>
        <v>0</v>
      </c>
      <c r="QD360" s="21">
        <f t="shared" si="3776"/>
        <v>0</v>
      </c>
      <c r="QE360" s="21">
        <f t="shared" si="3776"/>
        <v>0</v>
      </c>
      <c r="QF360" s="21">
        <f t="shared" si="3776"/>
        <v>0</v>
      </c>
      <c r="QG360" s="21">
        <f t="shared" si="3776"/>
        <v>0</v>
      </c>
      <c r="QH360" s="21">
        <f t="shared" ref="QH360:QO360" si="3777">IF($F$290, 0, IF($J$301, IF(AND(COLUMN($QH$360)-COLUMN($QH$359)=$Q$291,ROW($QH$360)-ROW($QH$359)=$K$291), U$290, QH360), QH360))</f>
        <v>0</v>
      </c>
      <c r="QI360" s="21">
        <f t="shared" si="3777"/>
        <v>0</v>
      </c>
      <c r="QJ360" s="21">
        <f t="shared" si="3777"/>
        <v>0</v>
      </c>
      <c r="QK360" s="21">
        <f t="shared" si="3777"/>
        <v>0</v>
      </c>
      <c r="QL360" s="21">
        <f t="shared" si="3777"/>
        <v>0</v>
      </c>
      <c r="QM360" s="21">
        <f t="shared" si="3777"/>
        <v>0</v>
      </c>
      <c r="QN360" s="21">
        <f t="shared" si="3777"/>
        <v>0</v>
      </c>
      <c r="QO360" s="21">
        <f t="shared" si="3777"/>
        <v>0</v>
      </c>
      <c r="QP360" s="21">
        <f t="shared" ref="QP360:QW360" si="3778">IF($F$290, 0, IF($J$301, IF(AND(COLUMN($QP$360)-COLUMN($QH$359)=$Q$291,ROW($QP$360)-ROW($QH$359)=$K$291), U$290, QP360), QP360))</f>
        <v>0</v>
      </c>
      <c r="QQ360" s="21">
        <f t="shared" si="3778"/>
        <v>0</v>
      </c>
      <c r="QR360" s="21">
        <f t="shared" si="3778"/>
        <v>0</v>
      </c>
      <c r="QS360" s="21">
        <f t="shared" si="3778"/>
        <v>0</v>
      </c>
      <c r="QT360" s="21">
        <f t="shared" si="3778"/>
        <v>0</v>
      </c>
      <c r="QU360" s="21">
        <f t="shared" si="3778"/>
        <v>0</v>
      </c>
      <c r="QV360" s="21">
        <f t="shared" si="3778"/>
        <v>0</v>
      </c>
      <c r="QW360" s="21">
        <f t="shared" si="3778"/>
        <v>0</v>
      </c>
      <c r="QX360" s="21">
        <f t="shared" ref="QX360:RE360" si="3779">IF($F$290, 0, IF($J$301, IF(AND(COLUMN($QX$360)-COLUMN($QH$359)=$Q$291,ROW($QX$360)-ROW($QH$359)=$K$291), U$290, QX360), QX360))</f>
        <v>0</v>
      </c>
      <c r="QY360" s="21">
        <f t="shared" si="3779"/>
        <v>0</v>
      </c>
      <c r="QZ360" s="21">
        <f t="shared" si="3779"/>
        <v>0</v>
      </c>
      <c r="RA360" s="21">
        <f t="shared" si="3779"/>
        <v>0</v>
      </c>
      <c r="RB360" s="21">
        <f t="shared" si="3779"/>
        <v>0</v>
      </c>
      <c r="RC360" s="21">
        <f t="shared" si="3779"/>
        <v>0</v>
      </c>
      <c r="RD360" s="21">
        <f t="shared" si="3779"/>
        <v>0</v>
      </c>
      <c r="RE360" s="21">
        <f t="shared" si="3779"/>
        <v>0</v>
      </c>
      <c r="RF360" s="21">
        <f t="shared" ref="RF360:RM360" si="3780">IF($F$290, 0, IF($J$301, IF(AND(COLUMN($RF$360)-COLUMN($QH$359)=$Q$291,ROW($RF$360)-ROW($QH$359)=$K$291), U$290, RF360), RF360))</f>
        <v>0</v>
      </c>
      <c r="RG360" s="21">
        <f t="shared" si="3780"/>
        <v>0</v>
      </c>
      <c r="RH360" s="21">
        <f t="shared" si="3780"/>
        <v>0</v>
      </c>
      <c r="RI360" s="21">
        <f t="shared" si="3780"/>
        <v>0</v>
      </c>
      <c r="RJ360" s="21">
        <f t="shared" si="3780"/>
        <v>0</v>
      </c>
      <c r="RK360" s="21">
        <f t="shared" si="3780"/>
        <v>0</v>
      </c>
      <c r="RL360" s="21">
        <f t="shared" si="3780"/>
        <v>0</v>
      </c>
      <c r="RM360" s="21">
        <f t="shared" si="3780"/>
        <v>0</v>
      </c>
      <c r="RN360" s="21">
        <f t="shared" ref="RN360:RU360" si="3781">IF($F$290, 0, IF($J$301, IF(AND(COLUMN($RN$360)-COLUMN($QH$359)=$Q$291,ROW($RN$360)-ROW($QH$359)=$K$291), U$290, RN360), RN360))</f>
        <v>0</v>
      </c>
      <c r="RO360" s="21">
        <f t="shared" si="3781"/>
        <v>0</v>
      </c>
      <c r="RP360" s="21">
        <f t="shared" si="3781"/>
        <v>0</v>
      </c>
      <c r="RQ360" s="21">
        <f t="shared" si="3781"/>
        <v>0</v>
      </c>
      <c r="RR360" s="21">
        <f t="shared" si="3781"/>
        <v>0</v>
      </c>
      <c r="RS360" s="21">
        <f t="shared" si="3781"/>
        <v>0</v>
      </c>
      <c r="RT360" s="21">
        <f t="shared" si="3781"/>
        <v>0</v>
      </c>
      <c r="RU360" s="21">
        <f t="shared" si="3781"/>
        <v>0</v>
      </c>
      <c r="RV360" s="21">
        <f t="shared" ref="RV360:SC360" si="3782">IF($F$290, 0, IF($J$301, IF(AND(COLUMN($RV$360)-COLUMN($QH$359)=$Q$291,ROW($RV$360)-ROW($QH$359)=$K$291), U$290, RV360), RV360))</f>
        <v>0</v>
      </c>
      <c r="RW360" s="21">
        <f t="shared" si="3782"/>
        <v>0</v>
      </c>
      <c r="RX360" s="21">
        <f t="shared" si="3782"/>
        <v>0</v>
      </c>
      <c r="RY360" s="21">
        <f t="shared" si="3782"/>
        <v>0</v>
      </c>
      <c r="RZ360" s="21">
        <f t="shared" si="3782"/>
        <v>0</v>
      </c>
      <c r="SA360" s="21">
        <f t="shared" si="3782"/>
        <v>0</v>
      </c>
      <c r="SB360" s="21">
        <f t="shared" si="3782"/>
        <v>0</v>
      </c>
      <c r="SC360" s="21">
        <f t="shared" si="3782"/>
        <v>0</v>
      </c>
      <c r="SD360" s="21">
        <f t="shared" ref="SD360:SK360" si="3783">IF($F$290, 0, IF($J$301, IF(AND(COLUMN($SD$360)-COLUMN($QH$359)=$Q$291,ROW($SD$360)-ROW($QH$359)=$K$291), U$290, SD360), SD360))</f>
        <v>0</v>
      </c>
      <c r="SE360" s="21">
        <f t="shared" si="3783"/>
        <v>0</v>
      </c>
      <c r="SF360" s="21">
        <f t="shared" si="3783"/>
        <v>0</v>
      </c>
      <c r="SG360" s="21">
        <f t="shared" si="3783"/>
        <v>0</v>
      </c>
      <c r="SH360" s="21">
        <f t="shared" si="3783"/>
        <v>0</v>
      </c>
      <c r="SI360" s="21">
        <f t="shared" si="3783"/>
        <v>0</v>
      </c>
      <c r="SJ360" s="21">
        <f t="shared" si="3783"/>
        <v>0</v>
      </c>
      <c r="SK360" s="21">
        <f t="shared" si="3783"/>
        <v>0</v>
      </c>
      <c r="SL360" s="21">
        <f t="shared" ref="SL360:SS360" si="3784">IF($F$290, 0, IF($J$301, IF(AND(COLUMN($SL$360)-COLUMN($QH$359)=$Q$291,ROW($SL$360)-ROW($QH$359)=$K$291), U$290, SL360), SL360))</f>
        <v>0</v>
      </c>
      <c r="SM360" s="21">
        <f t="shared" si="3784"/>
        <v>0</v>
      </c>
      <c r="SN360" s="21">
        <f t="shared" si="3784"/>
        <v>0</v>
      </c>
      <c r="SO360" s="21">
        <f t="shared" si="3784"/>
        <v>0</v>
      </c>
      <c r="SP360" s="21">
        <f t="shared" si="3784"/>
        <v>0</v>
      </c>
      <c r="SQ360" s="21">
        <f t="shared" si="3784"/>
        <v>0</v>
      </c>
      <c r="SR360" s="21">
        <f t="shared" si="3784"/>
        <v>0</v>
      </c>
      <c r="SS360" s="21">
        <f t="shared" si="3784"/>
        <v>0</v>
      </c>
    </row>
    <row r="361" spans="2:513" ht="15" customHeight="1" x14ac:dyDescent="0.25">
      <c r="B361" s="21">
        <f t="shared" ref="B361:I361" si="3785">IF($F$290, 0, IF($C$301, IF(AND(COLUMN($B$361)-COLUMN($B$359)=$Q$291,ROW($B$361)-ROW($B$359)=$K$291), U$290, B361), B361))</f>
        <v>0</v>
      </c>
      <c r="C361" s="21">
        <f t="shared" si="3785"/>
        <v>0</v>
      </c>
      <c r="D361" s="21">
        <f t="shared" si="3785"/>
        <v>0</v>
      </c>
      <c r="E361" s="21">
        <f t="shared" si="3785"/>
        <v>0</v>
      </c>
      <c r="F361" s="21">
        <f t="shared" si="3785"/>
        <v>0</v>
      </c>
      <c r="G361" s="21">
        <f t="shared" si="3785"/>
        <v>0</v>
      </c>
      <c r="H361" s="21">
        <f t="shared" si="3785"/>
        <v>0</v>
      </c>
      <c r="I361" s="21">
        <f t="shared" si="3785"/>
        <v>0</v>
      </c>
      <c r="J361" s="21">
        <f t="shared" ref="J361:Q361" si="3786">IF($F$290, 0, IF($C$301, IF(AND(COLUMN($J$361)-COLUMN($B$359)=$Q$291,ROW($J$361)-ROW($B$359)=$K$291), U$290, J361), J361))</f>
        <v>0</v>
      </c>
      <c r="K361" s="21">
        <f t="shared" si="3786"/>
        <v>0</v>
      </c>
      <c r="L361" s="21">
        <f t="shared" si="3786"/>
        <v>0</v>
      </c>
      <c r="M361" s="21">
        <f t="shared" si="3786"/>
        <v>0</v>
      </c>
      <c r="N361" s="21">
        <f t="shared" si="3786"/>
        <v>0</v>
      </c>
      <c r="O361" s="21">
        <f t="shared" si="3786"/>
        <v>0</v>
      </c>
      <c r="P361" s="21">
        <f t="shared" si="3786"/>
        <v>0</v>
      </c>
      <c r="Q361" s="21">
        <f t="shared" si="3786"/>
        <v>0</v>
      </c>
      <c r="R361" s="21">
        <f>IF($F$290, 0, IF($C$301, IF(AND(COLUMN($R$361)-COLUMN($B$359)=$Q$291,ROW($R$361)-ROW($B$359)=$K$291), U$290, R361), R361))</f>
        <v>0</v>
      </c>
      <c r="S361" s="21">
        <f t="shared" ref="S361:Y361" si="3787">IF($F$290, 0, IF($C$301, IF(AND(COLUMN($R$361)-COLUMN($B$359)=$Q$291,ROW($R$361)-ROW($B$359)=$K$291), V$290, S361), S361))</f>
        <v>0</v>
      </c>
      <c r="T361" s="21">
        <f t="shared" si="3787"/>
        <v>0</v>
      </c>
      <c r="U361" s="21">
        <f t="shared" si="3787"/>
        <v>0</v>
      </c>
      <c r="V361" s="21">
        <f t="shared" si="3787"/>
        <v>0</v>
      </c>
      <c r="W361" s="21">
        <f t="shared" si="3787"/>
        <v>0</v>
      </c>
      <c r="X361" s="21">
        <f t="shared" si="3787"/>
        <v>0</v>
      </c>
      <c r="Y361" s="21">
        <f t="shared" si="3787"/>
        <v>0</v>
      </c>
      <c r="Z361" s="21">
        <f t="shared" ref="Z361:AG361" si="3788">IF($F$290, 0, IF($C$301, IF(AND(COLUMN($Z$361)-COLUMN($B$359)=$Q$291,ROW($Z$361)-ROW($B$359)=$K$291), U$290, Z361), Z361))</f>
        <v>0</v>
      </c>
      <c r="AA361" s="21">
        <f t="shared" si="3788"/>
        <v>0</v>
      </c>
      <c r="AB361" s="21">
        <f t="shared" si="3788"/>
        <v>0</v>
      </c>
      <c r="AC361" s="21">
        <f t="shared" si="3788"/>
        <v>0</v>
      </c>
      <c r="AD361" s="21">
        <f t="shared" si="3788"/>
        <v>0</v>
      </c>
      <c r="AE361" s="21">
        <f t="shared" si="3788"/>
        <v>0</v>
      </c>
      <c r="AF361" s="21">
        <f t="shared" si="3788"/>
        <v>0</v>
      </c>
      <c r="AG361" s="21">
        <f t="shared" si="3788"/>
        <v>0</v>
      </c>
      <c r="AH361" s="21">
        <f t="shared" ref="AH361:AO361" si="3789">IF($F$290, 0, IF($C$301, IF(AND(COLUMN($AH$361)-COLUMN($B$359)=$Q$291,ROW($AH$361)-ROW($B$359)=$K$291), U$290, AH361), AH361))</f>
        <v>0</v>
      </c>
      <c r="AI361" s="21">
        <f t="shared" si="3789"/>
        <v>0</v>
      </c>
      <c r="AJ361" s="21">
        <f t="shared" si="3789"/>
        <v>0</v>
      </c>
      <c r="AK361" s="21">
        <f t="shared" si="3789"/>
        <v>0</v>
      </c>
      <c r="AL361" s="21">
        <f t="shared" si="3789"/>
        <v>0</v>
      </c>
      <c r="AM361" s="21">
        <f t="shared" si="3789"/>
        <v>0</v>
      </c>
      <c r="AN361" s="21">
        <f t="shared" si="3789"/>
        <v>0</v>
      </c>
      <c r="AO361" s="21">
        <f t="shared" si="3789"/>
        <v>0</v>
      </c>
      <c r="AP361" s="21">
        <f t="shared" ref="AP361:AW361" si="3790">IF($F$290, 0, IF($C$301, IF(AND(COLUMN($AP$361)-COLUMN($B$359)=$Q$291,ROW($AP$361)-ROW($B$359)=$K$291), U$290, AP361), AP361))</f>
        <v>0</v>
      </c>
      <c r="AQ361" s="21">
        <f t="shared" si="3790"/>
        <v>0</v>
      </c>
      <c r="AR361" s="21">
        <f t="shared" si="3790"/>
        <v>0</v>
      </c>
      <c r="AS361" s="21">
        <f t="shared" si="3790"/>
        <v>0</v>
      </c>
      <c r="AT361" s="21">
        <f t="shared" si="3790"/>
        <v>0</v>
      </c>
      <c r="AU361" s="21">
        <f t="shared" si="3790"/>
        <v>0</v>
      </c>
      <c r="AV361" s="21">
        <f t="shared" si="3790"/>
        <v>0</v>
      </c>
      <c r="AW361" s="21">
        <f t="shared" si="3790"/>
        <v>0</v>
      </c>
      <c r="AX361" s="21">
        <f t="shared" ref="AX361:BE361" si="3791">IF($F$290, 0, IF($C$301, IF(AND(COLUMN($AX$361)-COLUMN($B$359)=$Q$291,ROW($AX$361)-ROW($B$359)=$K$291), U$290, AX361), AX361))</f>
        <v>0</v>
      </c>
      <c r="AY361" s="21">
        <f t="shared" si="3791"/>
        <v>0</v>
      </c>
      <c r="AZ361" s="21">
        <f t="shared" si="3791"/>
        <v>0</v>
      </c>
      <c r="BA361" s="21">
        <f t="shared" si="3791"/>
        <v>0</v>
      </c>
      <c r="BB361" s="21">
        <f t="shared" si="3791"/>
        <v>0</v>
      </c>
      <c r="BC361" s="21">
        <f t="shared" si="3791"/>
        <v>0</v>
      </c>
      <c r="BD361" s="21">
        <f t="shared" si="3791"/>
        <v>0</v>
      </c>
      <c r="BE361" s="21">
        <f t="shared" si="3791"/>
        <v>0</v>
      </c>
      <c r="BF361" s="21">
        <f t="shared" ref="BF361:BM361" si="3792">IF($F$290, 0, IF($C$301, IF(AND(COLUMN($BF$361)-COLUMN($B$359)=$Q$291,ROW($BF$361)-ROW($B$359)=$K$291), U$290, BF361), BF361))</f>
        <v>0</v>
      </c>
      <c r="BG361" s="21">
        <f t="shared" si="3792"/>
        <v>0</v>
      </c>
      <c r="BH361" s="21">
        <f t="shared" si="3792"/>
        <v>0</v>
      </c>
      <c r="BI361" s="21">
        <f t="shared" si="3792"/>
        <v>0</v>
      </c>
      <c r="BJ361" s="21">
        <f t="shared" si="3792"/>
        <v>0</v>
      </c>
      <c r="BK361" s="21">
        <f t="shared" si="3792"/>
        <v>0</v>
      </c>
      <c r="BL361" s="21">
        <f t="shared" si="3792"/>
        <v>0</v>
      </c>
      <c r="BM361" s="21">
        <f t="shared" si="3792"/>
        <v>0</v>
      </c>
      <c r="BN361" s="21">
        <f t="shared" ref="BN361:BU361" si="3793">IF($F$290, 0, IF($D$301, IF(AND(COLUMN($BN$361)-COLUMN($BN$359)=$Q$291,ROW($BN$361)-ROW($BN$359)=$K$291), U$290, BN361), BN361))</f>
        <v>0</v>
      </c>
      <c r="BO361" s="21">
        <f t="shared" si="3793"/>
        <v>0</v>
      </c>
      <c r="BP361" s="21">
        <f t="shared" si="3793"/>
        <v>0</v>
      </c>
      <c r="BQ361" s="21">
        <f t="shared" si="3793"/>
        <v>0</v>
      </c>
      <c r="BR361" s="21">
        <f t="shared" si="3793"/>
        <v>0</v>
      </c>
      <c r="BS361" s="21">
        <f t="shared" si="3793"/>
        <v>0</v>
      </c>
      <c r="BT361" s="21">
        <f t="shared" si="3793"/>
        <v>0</v>
      </c>
      <c r="BU361" s="21">
        <f t="shared" si="3793"/>
        <v>0</v>
      </c>
      <c r="BV361" s="21">
        <f t="shared" ref="BV361:CC361" si="3794">IF($F$290, 0, IF($D$301, IF(AND(COLUMN($BV$361)-COLUMN($BN$359)=$Q$291,ROW($BV$361)-ROW($BN$359)=$K$291), U$290, BV361), BV361))</f>
        <v>0</v>
      </c>
      <c r="BW361" s="21">
        <f t="shared" si="3794"/>
        <v>0</v>
      </c>
      <c r="BX361" s="21">
        <f t="shared" si="3794"/>
        <v>0</v>
      </c>
      <c r="BY361" s="21">
        <f t="shared" si="3794"/>
        <v>0</v>
      </c>
      <c r="BZ361" s="21">
        <f t="shared" si="3794"/>
        <v>0</v>
      </c>
      <c r="CA361" s="21">
        <f t="shared" si="3794"/>
        <v>0</v>
      </c>
      <c r="CB361" s="21">
        <f t="shared" si="3794"/>
        <v>0</v>
      </c>
      <c r="CC361" s="21">
        <f t="shared" si="3794"/>
        <v>0</v>
      </c>
      <c r="CD361" s="21">
        <f t="shared" ref="CD361:CK361" si="3795">IF($F$290, 0, IF($D$301, IF(AND(COLUMN($CD$361)-COLUMN($BN$359)=$Q$291,ROW($CD$361)-ROW($BN$359)=$K$291), U$290, CD361), CD361))</f>
        <v>0</v>
      </c>
      <c r="CE361" s="21">
        <f t="shared" si="3795"/>
        <v>0</v>
      </c>
      <c r="CF361" s="21">
        <f t="shared" si="3795"/>
        <v>0</v>
      </c>
      <c r="CG361" s="21">
        <f t="shared" si="3795"/>
        <v>0</v>
      </c>
      <c r="CH361" s="21">
        <f t="shared" si="3795"/>
        <v>0</v>
      </c>
      <c r="CI361" s="21">
        <f t="shared" si="3795"/>
        <v>0</v>
      </c>
      <c r="CJ361" s="21">
        <f t="shared" si="3795"/>
        <v>0</v>
      </c>
      <c r="CK361" s="21">
        <f t="shared" si="3795"/>
        <v>0</v>
      </c>
      <c r="CL361" s="21">
        <f t="shared" ref="CL361:CS361" si="3796">IF($F$290, 0, IF($D$301, IF(AND(COLUMN($CL$361)-COLUMN($BN$359)=$Q$291,ROW($CL$361)-ROW($BN$359)=$K$291), U$290, CL361), CL361))</f>
        <v>0</v>
      </c>
      <c r="CM361" s="21">
        <f t="shared" si="3796"/>
        <v>0</v>
      </c>
      <c r="CN361" s="21">
        <f t="shared" si="3796"/>
        <v>0</v>
      </c>
      <c r="CO361" s="21">
        <f t="shared" si="3796"/>
        <v>0</v>
      </c>
      <c r="CP361" s="21">
        <f t="shared" si="3796"/>
        <v>0</v>
      </c>
      <c r="CQ361" s="21">
        <f t="shared" si="3796"/>
        <v>0</v>
      </c>
      <c r="CR361" s="21">
        <f t="shared" si="3796"/>
        <v>0</v>
      </c>
      <c r="CS361" s="21">
        <f t="shared" si="3796"/>
        <v>0</v>
      </c>
      <c r="CT361" s="21">
        <f t="shared" ref="CT361:DA361" si="3797">IF($F$290, 0, IF($D$301, IF(AND(COLUMN($CT$361)-COLUMN($BN$359)=$Q$291,ROW($CT$361)-ROW($BN$359)=$K$291), U$290, CT361), CT361))</f>
        <v>0</v>
      </c>
      <c r="CU361" s="21">
        <f t="shared" si="3797"/>
        <v>0</v>
      </c>
      <c r="CV361" s="21">
        <f t="shared" si="3797"/>
        <v>0</v>
      </c>
      <c r="CW361" s="21">
        <f t="shared" si="3797"/>
        <v>0</v>
      </c>
      <c r="CX361" s="21">
        <f t="shared" si="3797"/>
        <v>0</v>
      </c>
      <c r="CY361" s="21">
        <f t="shared" si="3797"/>
        <v>0</v>
      </c>
      <c r="CZ361" s="21">
        <f t="shared" si="3797"/>
        <v>0</v>
      </c>
      <c r="DA361" s="21">
        <f t="shared" si="3797"/>
        <v>0</v>
      </c>
      <c r="DB361" s="21">
        <f t="shared" ref="DB361:DI361" si="3798">IF($F$290, 0, IF($D$301, IF(AND(COLUMN($DB$361)-COLUMN($BN$359)=$Q$291,ROW($DB$361)-ROW($BN$359)=$K$291), U$290, DB361), DB361))</f>
        <v>0</v>
      </c>
      <c r="DC361" s="21">
        <f t="shared" si="3798"/>
        <v>0</v>
      </c>
      <c r="DD361" s="21">
        <f t="shared" si="3798"/>
        <v>0</v>
      </c>
      <c r="DE361" s="21">
        <f t="shared" si="3798"/>
        <v>0</v>
      </c>
      <c r="DF361" s="21">
        <f t="shared" si="3798"/>
        <v>0</v>
      </c>
      <c r="DG361" s="21">
        <f t="shared" si="3798"/>
        <v>0</v>
      </c>
      <c r="DH361" s="21">
        <f t="shared" si="3798"/>
        <v>0</v>
      </c>
      <c r="DI361" s="21">
        <f t="shared" si="3798"/>
        <v>0</v>
      </c>
      <c r="DJ361" s="21">
        <f t="shared" ref="DJ361:DQ361" si="3799">IF($F$290, 0, IF($D$301, IF(AND(COLUMN($DJ$361)-COLUMN($BN$359)=$Q$291,ROW($DJ$361)-ROW($BN$359)=$K$291), U$290, DJ361), DJ361))</f>
        <v>0</v>
      </c>
      <c r="DK361" s="21">
        <f t="shared" si="3799"/>
        <v>0</v>
      </c>
      <c r="DL361" s="21">
        <f t="shared" si="3799"/>
        <v>0</v>
      </c>
      <c r="DM361" s="21">
        <f t="shared" si="3799"/>
        <v>0</v>
      </c>
      <c r="DN361" s="21">
        <f t="shared" si="3799"/>
        <v>0</v>
      </c>
      <c r="DO361" s="21">
        <f t="shared" si="3799"/>
        <v>0</v>
      </c>
      <c r="DP361" s="21">
        <f t="shared" si="3799"/>
        <v>0</v>
      </c>
      <c r="DQ361" s="21">
        <f t="shared" si="3799"/>
        <v>0</v>
      </c>
      <c r="DR361" s="21">
        <f t="shared" ref="DR361:DY361" si="3800">IF($F$290, 0, IF($D$301, IF(AND(COLUMN($DR$361)-COLUMN($BN$359)=$Q$291,ROW($DR$361)-ROW($BN$359)=$K$291), U$290, DR361), DR361))</f>
        <v>0</v>
      </c>
      <c r="DS361" s="21">
        <f t="shared" si="3800"/>
        <v>0</v>
      </c>
      <c r="DT361" s="21">
        <f t="shared" si="3800"/>
        <v>0</v>
      </c>
      <c r="DU361" s="21">
        <f t="shared" si="3800"/>
        <v>0</v>
      </c>
      <c r="DV361" s="21">
        <f t="shared" si="3800"/>
        <v>0</v>
      </c>
      <c r="DW361" s="21">
        <f t="shared" si="3800"/>
        <v>0</v>
      </c>
      <c r="DX361" s="21">
        <f t="shared" si="3800"/>
        <v>0</v>
      </c>
      <c r="DY361" s="21">
        <f t="shared" si="3800"/>
        <v>0</v>
      </c>
      <c r="DZ361" s="21">
        <f t="shared" ref="DZ361:EG361" si="3801">IF($F$290, 0, IF($E$301, IF(AND(COLUMN($DZ$361)-COLUMN($DZ$359)=$Q$291,ROW($DZ$361)-ROW($DZ$359)=$K$291), U$290, DZ361), DZ361))</f>
        <v>0</v>
      </c>
      <c r="EA361" s="21">
        <f t="shared" si="3801"/>
        <v>0</v>
      </c>
      <c r="EB361" s="21">
        <f t="shared" si="3801"/>
        <v>0</v>
      </c>
      <c r="EC361" s="21">
        <f t="shared" si="3801"/>
        <v>0</v>
      </c>
      <c r="ED361" s="21">
        <f t="shared" si="3801"/>
        <v>0</v>
      </c>
      <c r="EE361" s="21">
        <f t="shared" si="3801"/>
        <v>0</v>
      </c>
      <c r="EF361" s="21">
        <f t="shared" si="3801"/>
        <v>0</v>
      </c>
      <c r="EG361" s="21">
        <f t="shared" si="3801"/>
        <v>0</v>
      </c>
      <c r="EH361" s="21">
        <f t="shared" ref="EH361:EO361" si="3802">IF($F$290, 0, IF($E$301, IF(AND(COLUMN($EH$361)-COLUMN($DZ$359)=$Q$291,ROW($EH$361)-ROW($DZ$359)=$K$291), U$290, EH361), EH361))</f>
        <v>0</v>
      </c>
      <c r="EI361" s="21">
        <f t="shared" si="3802"/>
        <v>0</v>
      </c>
      <c r="EJ361" s="21">
        <f t="shared" si="3802"/>
        <v>0</v>
      </c>
      <c r="EK361" s="21">
        <f t="shared" si="3802"/>
        <v>0</v>
      </c>
      <c r="EL361" s="21">
        <f t="shared" si="3802"/>
        <v>0</v>
      </c>
      <c r="EM361" s="21">
        <f t="shared" si="3802"/>
        <v>0</v>
      </c>
      <c r="EN361" s="21">
        <f t="shared" si="3802"/>
        <v>0</v>
      </c>
      <c r="EO361" s="21">
        <f t="shared" si="3802"/>
        <v>0</v>
      </c>
      <c r="EP361" s="21">
        <f t="shared" ref="EP361:EW361" si="3803">IF($F$290, 0, IF($E$301, IF(AND(COLUMN($EP$361)-COLUMN($DZ$359)=$Q$291,ROW($EP$361)-ROW($DZ$359)=$K$291), U$290, EP361), EP361))</f>
        <v>0</v>
      </c>
      <c r="EQ361" s="21">
        <f t="shared" si="3803"/>
        <v>0</v>
      </c>
      <c r="ER361" s="21">
        <f t="shared" si="3803"/>
        <v>0</v>
      </c>
      <c r="ES361" s="21">
        <f t="shared" si="3803"/>
        <v>0</v>
      </c>
      <c r="ET361" s="21">
        <f t="shared" si="3803"/>
        <v>0</v>
      </c>
      <c r="EU361" s="21">
        <f t="shared" si="3803"/>
        <v>0</v>
      </c>
      <c r="EV361" s="21">
        <f t="shared" si="3803"/>
        <v>0</v>
      </c>
      <c r="EW361" s="21">
        <f t="shared" si="3803"/>
        <v>0</v>
      </c>
      <c r="EX361" s="21">
        <f t="shared" ref="EX361:FE361" si="3804">IF($F$290, 0, IF($E$301, IF(AND(COLUMN($EX$361)-COLUMN($DZ$359)=$Q$291,ROW($EX$361)-ROW($DZ$359)=$K$291), U$290, EX361), EX361))</f>
        <v>0</v>
      </c>
      <c r="EY361" s="21">
        <f t="shared" si="3804"/>
        <v>0</v>
      </c>
      <c r="EZ361" s="21">
        <f t="shared" si="3804"/>
        <v>0</v>
      </c>
      <c r="FA361" s="21">
        <f t="shared" si="3804"/>
        <v>0</v>
      </c>
      <c r="FB361" s="21">
        <f t="shared" si="3804"/>
        <v>0</v>
      </c>
      <c r="FC361" s="21">
        <f t="shared" si="3804"/>
        <v>0</v>
      </c>
      <c r="FD361" s="21">
        <f t="shared" si="3804"/>
        <v>0</v>
      </c>
      <c r="FE361" s="21">
        <f t="shared" si="3804"/>
        <v>0</v>
      </c>
      <c r="FF361" s="21">
        <f t="shared" ref="FF361:FM361" si="3805">IF($F$290, 0, IF($E$301, IF(AND(COLUMN($FF$361)-COLUMN($DZ$359)=$Q$291,ROW($FF$361)-ROW($DZ$359)=$K$291), U$290, FF361), FF361))</f>
        <v>0</v>
      </c>
      <c r="FG361" s="21">
        <f t="shared" si="3805"/>
        <v>0</v>
      </c>
      <c r="FH361" s="21">
        <f t="shared" si="3805"/>
        <v>0</v>
      </c>
      <c r="FI361" s="21">
        <f t="shared" si="3805"/>
        <v>0</v>
      </c>
      <c r="FJ361" s="21">
        <f t="shared" si="3805"/>
        <v>0</v>
      </c>
      <c r="FK361" s="21">
        <f t="shared" si="3805"/>
        <v>0</v>
      </c>
      <c r="FL361" s="21">
        <f t="shared" si="3805"/>
        <v>0</v>
      </c>
      <c r="FM361" s="21">
        <f t="shared" si="3805"/>
        <v>0</v>
      </c>
      <c r="FN361" s="21">
        <f t="shared" ref="FN361:FU361" si="3806">IF($F$290, 0, IF($E$301, IF(AND(COLUMN($FN$361)-COLUMN($DZ$359)=$Q$291,ROW($FN$361)-ROW($DZ$359)=$K$291), U$290, FN361), FN361))</f>
        <v>0</v>
      </c>
      <c r="FO361" s="21">
        <f t="shared" si="3806"/>
        <v>0</v>
      </c>
      <c r="FP361" s="21">
        <f t="shared" si="3806"/>
        <v>0</v>
      </c>
      <c r="FQ361" s="21">
        <f t="shared" si="3806"/>
        <v>0</v>
      </c>
      <c r="FR361" s="21">
        <f t="shared" si="3806"/>
        <v>0</v>
      </c>
      <c r="FS361" s="21">
        <f t="shared" si="3806"/>
        <v>0</v>
      </c>
      <c r="FT361" s="21">
        <f t="shared" si="3806"/>
        <v>0</v>
      </c>
      <c r="FU361" s="21">
        <f t="shared" si="3806"/>
        <v>0</v>
      </c>
      <c r="FV361" s="21">
        <f t="shared" ref="FV361:GC361" si="3807">IF($F$290, 0, IF($E$301, IF(AND(COLUMN($FV$361)-COLUMN($DZ$359)=$Q$291,ROW($FV$361)-ROW($DZ$359)=$K$291), U$290, FV361), FV361))</f>
        <v>0</v>
      </c>
      <c r="FW361" s="21">
        <f t="shared" si="3807"/>
        <v>0</v>
      </c>
      <c r="FX361" s="21">
        <f t="shared" si="3807"/>
        <v>0</v>
      </c>
      <c r="FY361" s="21">
        <f t="shared" si="3807"/>
        <v>0</v>
      </c>
      <c r="FZ361" s="21">
        <f t="shared" si="3807"/>
        <v>0</v>
      </c>
      <c r="GA361" s="21">
        <f t="shared" si="3807"/>
        <v>0</v>
      </c>
      <c r="GB361" s="21">
        <f t="shared" si="3807"/>
        <v>0</v>
      </c>
      <c r="GC361" s="21">
        <f t="shared" si="3807"/>
        <v>0</v>
      </c>
      <c r="GD361" s="21">
        <f t="shared" ref="GD361:GK361" si="3808">IF($F$290, 0, IF($E$301, IF(AND(COLUMN($GD$361)-COLUMN($DZ$359)=$Q$291,ROW($GD$361)-ROW($DZ$359)=$K$291), U$290, GD361), GD361))</f>
        <v>0</v>
      </c>
      <c r="GE361" s="21">
        <f t="shared" si="3808"/>
        <v>0</v>
      </c>
      <c r="GF361" s="21">
        <f t="shared" si="3808"/>
        <v>0</v>
      </c>
      <c r="GG361" s="21">
        <f t="shared" si="3808"/>
        <v>0</v>
      </c>
      <c r="GH361" s="21">
        <f t="shared" si="3808"/>
        <v>0</v>
      </c>
      <c r="GI361" s="21">
        <f t="shared" si="3808"/>
        <v>0</v>
      </c>
      <c r="GJ361" s="21">
        <f t="shared" si="3808"/>
        <v>0</v>
      </c>
      <c r="GK361" s="21">
        <f t="shared" si="3808"/>
        <v>0</v>
      </c>
      <c r="GL361" s="21">
        <f t="shared" ref="GL361:GS361" si="3809">IF($F$290, 0, IF($F$301, IF(AND(COLUMN($GL$361)-COLUMN($GL$359)=$Q$291,ROW($GL$361)-ROW($GL$359)=$K$291), U$290, GL361), GL361))</f>
        <v>0</v>
      </c>
      <c r="GM361" s="21">
        <f t="shared" si="3809"/>
        <v>0</v>
      </c>
      <c r="GN361" s="21">
        <f t="shared" si="3809"/>
        <v>0</v>
      </c>
      <c r="GO361" s="21">
        <f t="shared" si="3809"/>
        <v>0</v>
      </c>
      <c r="GP361" s="21">
        <f t="shared" si="3809"/>
        <v>0</v>
      </c>
      <c r="GQ361" s="21">
        <f t="shared" si="3809"/>
        <v>0</v>
      </c>
      <c r="GR361" s="21">
        <f t="shared" si="3809"/>
        <v>0</v>
      </c>
      <c r="GS361" s="21">
        <f t="shared" si="3809"/>
        <v>0</v>
      </c>
      <c r="GT361" s="21">
        <f t="shared" ref="GT361:HA361" si="3810">IF($F$290, 0, IF($F$301, IF(AND(COLUMN($GT$361)-COLUMN($GL$359)=$Q$291,ROW($GT$361)-ROW($GL$359)=$K$291), U$290, GT361), GT361))</f>
        <v>0</v>
      </c>
      <c r="GU361" s="21">
        <f t="shared" si="3810"/>
        <v>0</v>
      </c>
      <c r="GV361" s="21">
        <f t="shared" si="3810"/>
        <v>0</v>
      </c>
      <c r="GW361" s="21">
        <f t="shared" si="3810"/>
        <v>0</v>
      </c>
      <c r="GX361" s="21">
        <f t="shared" si="3810"/>
        <v>0</v>
      </c>
      <c r="GY361" s="21">
        <f t="shared" si="3810"/>
        <v>0</v>
      </c>
      <c r="GZ361" s="21">
        <f t="shared" si="3810"/>
        <v>0</v>
      </c>
      <c r="HA361" s="21">
        <f t="shared" si="3810"/>
        <v>0</v>
      </c>
      <c r="HB361" s="21">
        <f t="shared" ref="HB361:HI361" si="3811">IF($F$290, 0, IF($F$301, IF(AND(COLUMN($HB$361)-COLUMN($GL$359)=$Q$291,ROW($HB$361)-ROW($GL$359)=$K$291), U$290, HB361), HB361))</f>
        <v>0</v>
      </c>
      <c r="HC361" s="21">
        <f t="shared" si="3811"/>
        <v>0</v>
      </c>
      <c r="HD361" s="21">
        <f t="shared" si="3811"/>
        <v>0</v>
      </c>
      <c r="HE361" s="21">
        <f t="shared" si="3811"/>
        <v>0</v>
      </c>
      <c r="HF361" s="21">
        <f t="shared" si="3811"/>
        <v>0</v>
      </c>
      <c r="HG361" s="21">
        <f t="shared" si="3811"/>
        <v>0</v>
      </c>
      <c r="HH361" s="21">
        <f t="shared" si="3811"/>
        <v>0</v>
      </c>
      <c r="HI361" s="21">
        <f t="shared" si="3811"/>
        <v>0</v>
      </c>
      <c r="HJ361" s="21">
        <f t="shared" ref="HJ361:HQ361" si="3812">IF($F$290, 0, IF($F$301, IF(AND(COLUMN($HJ$361)-COLUMN($GL$359)=$Q$291,ROW($HJ$361)-ROW($GL$359)=$K$291), U$290, HJ361), HJ361))</f>
        <v>0</v>
      </c>
      <c r="HK361" s="21">
        <f t="shared" si="3812"/>
        <v>0</v>
      </c>
      <c r="HL361" s="21">
        <f t="shared" si="3812"/>
        <v>0</v>
      </c>
      <c r="HM361" s="21">
        <f t="shared" si="3812"/>
        <v>0</v>
      </c>
      <c r="HN361" s="21">
        <f t="shared" si="3812"/>
        <v>0</v>
      </c>
      <c r="HO361" s="21">
        <f t="shared" si="3812"/>
        <v>0</v>
      </c>
      <c r="HP361" s="21">
        <f t="shared" si="3812"/>
        <v>0</v>
      </c>
      <c r="HQ361" s="21">
        <f t="shared" si="3812"/>
        <v>0</v>
      </c>
      <c r="HR361" s="21">
        <f t="shared" ref="HR361:HY361" si="3813">IF($F$290, 0, IF($F$301, IF(AND(COLUMN($HR$361)-COLUMN($GL$359)=$Q$291,ROW($HR$361)-ROW($GL$359)=$K$291), U$290, HR361), HR361))</f>
        <v>0</v>
      </c>
      <c r="HS361" s="21">
        <f t="shared" si="3813"/>
        <v>0</v>
      </c>
      <c r="HT361" s="21">
        <f t="shared" si="3813"/>
        <v>0</v>
      </c>
      <c r="HU361" s="21">
        <f t="shared" si="3813"/>
        <v>0</v>
      </c>
      <c r="HV361" s="21">
        <f t="shared" si="3813"/>
        <v>0</v>
      </c>
      <c r="HW361" s="21">
        <f t="shared" si="3813"/>
        <v>0</v>
      </c>
      <c r="HX361" s="21">
        <f t="shared" si="3813"/>
        <v>0</v>
      </c>
      <c r="HY361" s="21">
        <f t="shared" si="3813"/>
        <v>0</v>
      </c>
      <c r="HZ361" s="21">
        <f t="shared" ref="HZ361:IG361" si="3814">IF($F$290, 0, IF($F$301, IF(AND(COLUMN($HZ$361)-COLUMN($GL$359)=$Q$291,ROW($HZ$361)-ROW($GL$359)=$K$291), U$290, HZ361), HZ361))</f>
        <v>0</v>
      </c>
      <c r="IA361" s="21">
        <f t="shared" si="3814"/>
        <v>0</v>
      </c>
      <c r="IB361" s="21">
        <f t="shared" si="3814"/>
        <v>0</v>
      </c>
      <c r="IC361" s="21">
        <f t="shared" si="3814"/>
        <v>0</v>
      </c>
      <c r="ID361" s="21">
        <f t="shared" si="3814"/>
        <v>0</v>
      </c>
      <c r="IE361" s="21">
        <f t="shared" si="3814"/>
        <v>0</v>
      </c>
      <c r="IF361" s="21">
        <f t="shared" si="3814"/>
        <v>0</v>
      </c>
      <c r="IG361" s="21">
        <f t="shared" si="3814"/>
        <v>0</v>
      </c>
      <c r="IH361" s="21">
        <f t="shared" ref="IH361:IO361" si="3815">IF($F$290, 0, IF($F$301, IF(AND(COLUMN($IH$361)-COLUMN($GL$359)=$Q$291,ROW($IH$361)-ROW($GL$359)=$K$291), U$290, IH361), IH361))</f>
        <v>0</v>
      </c>
      <c r="II361" s="21">
        <f t="shared" si="3815"/>
        <v>0</v>
      </c>
      <c r="IJ361" s="21">
        <f t="shared" si="3815"/>
        <v>0</v>
      </c>
      <c r="IK361" s="21">
        <f t="shared" si="3815"/>
        <v>0</v>
      </c>
      <c r="IL361" s="21">
        <f t="shared" si="3815"/>
        <v>0</v>
      </c>
      <c r="IM361" s="21">
        <f t="shared" si="3815"/>
        <v>0</v>
      </c>
      <c r="IN361" s="21">
        <f t="shared" si="3815"/>
        <v>0</v>
      </c>
      <c r="IO361" s="21">
        <f t="shared" si="3815"/>
        <v>0</v>
      </c>
      <c r="IP361" s="21">
        <f t="shared" ref="IP361:IW361" si="3816">IF($F$290, 0, IF($F$301, IF(AND(COLUMN($IP$361)-COLUMN($GL$359)=$Q$291,ROW($IP$361)-ROW($GL$359)=$K$291), U$290, IP361), IP361))</f>
        <v>0</v>
      </c>
      <c r="IQ361" s="21">
        <f t="shared" si="3816"/>
        <v>0</v>
      </c>
      <c r="IR361" s="21">
        <f t="shared" si="3816"/>
        <v>0</v>
      </c>
      <c r="IS361" s="21">
        <f t="shared" si="3816"/>
        <v>0</v>
      </c>
      <c r="IT361" s="21">
        <f t="shared" si="3816"/>
        <v>0</v>
      </c>
      <c r="IU361" s="21">
        <f t="shared" si="3816"/>
        <v>0</v>
      </c>
      <c r="IV361" s="21">
        <f t="shared" si="3816"/>
        <v>0</v>
      </c>
      <c r="IW361" s="21">
        <f t="shared" si="3816"/>
        <v>0</v>
      </c>
      <c r="IX361" s="21">
        <f t="shared" ref="IX361:JE361" si="3817">IF($F$290, 0, IF($G$301, IF(AND(COLUMN($IX$361)-COLUMN($IX$359)=$Q$291,ROW($IX$361)-ROW($IX$359)=$K$291), U$290, IX361), IX361))</f>
        <v>0</v>
      </c>
      <c r="IY361" s="21">
        <f t="shared" si="3817"/>
        <v>0</v>
      </c>
      <c r="IZ361" s="21">
        <f t="shared" si="3817"/>
        <v>0</v>
      </c>
      <c r="JA361" s="21">
        <f t="shared" si="3817"/>
        <v>0</v>
      </c>
      <c r="JB361" s="21">
        <f t="shared" si="3817"/>
        <v>0</v>
      </c>
      <c r="JC361" s="21">
        <f t="shared" si="3817"/>
        <v>0</v>
      </c>
      <c r="JD361" s="21">
        <f t="shared" si="3817"/>
        <v>0</v>
      </c>
      <c r="JE361" s="21">
        <f t="shared" si="3817"/>
        <v>0</v>
      </c>
      <c r="JF361" s="21">
        <f t="shared" ref="JF361:JM361" si="3818">IF($F$290, 0, IF($G$301, IF(AND(COLUMN($JF$361)-COLUMN($IX$359)=$Q$291,ROW($JF$361)-ROW($IX$359)=$K$291), U$290, JF361), JF361))</f>
        <v>0</v>
      </c>
      <c r="JG361" s="21">
        <f t="shared" si="3818"/>
        <v>0</v>
      </c>
      <c r="JH361" s="21">
        <f t="shared" si="3818"/>
        <v>0</v>
      </c>
      <c r="JI361" s="21">
        <f t="shared" si="3818"/>
        <v>0</v>
      </c>
      <c r="JJ361" s="21">
        <f t="shared" si="3818"/>
        <v>0</v>
      </c>
      <c r="JK361" s="21">
        <f t="shared" si="3818"/>
        <v>0</v>
      </c>
      <c r="JL361" s="21">
        <f t="shared" si="3818"/>
        <v>0</v>
      </c>
      <c r="JM361" s="21">
        <f t="shared" si="3818"/>
        <v>0</v>
      </c>
      <c r="JN361" s="21">
        <f t="shared" ref="JN361:JU361" si="3819">IF($F$290, 0, IF($G$301, IF(AND(COLUMN($JN$361)-COLUMN($IX$359)=$Q$291,ROW($JN$361)-ROW($IX$359)=$K$291), U$290, JN361), JN361))</f>
        <v>0</v>
      </c>
      <c r="JO361" s="21">
        <f t="shared" si="3819"/>
        <v>0</v>
      </c>
      <c r="JP361" s="21">
        <f t="shared" si="3819"/>
        <v>0</v>
      </c>
      <c r="JQ361" s="21">
        <f t="shared" si="3819"/>
        <v>0</v>
      </c>
      <c r="JR361" s="21">
        <f t="shared" si="3819"/>
        <v>0</v>
      </c>
      <c r="JS361" s="21">
        <f t="shared" si="3819"/>
        <v>0</v>
      </c>
      <c r="JT361" s="21">
        <f t="shared" si="3819"/>
        <v>0</v>
      </c>
      <c r="JU361" s="21">
        <f t="shared" si="3819"/>
        <v>0</v>
      </c>
      <c r="JV361" s="21">
        <f t="shared" ref="JV361:KC361" si="3820">IF($F$290, 0, IF($G$301, IF(AND(COLUMN($JV$361)-COLUMN($IX$359)=$Q$291,ROW($JV$361)-ROW($IX$359)=$K$291), U$290, JV361), JV361))</f>
        <v>0</v>
      </c>
      <c r="JW361" s="21">
        <f t="shared" si="3820"/>
        <v>0</v>
      </c>
      <c r="JX361" s="21">
        <f t="shared" si="3820"/>
        <v>0</v>
      </c>
      <c r="JY361" s="21">
        <f t="shared" si="3820"/>
        <v>0</v>
      </c>
      <c r="JZ361" s="21">
        <f t="shared" si="3820"/>
        <v>0</v>
      </c>
      <c r="KA361" s="21">
        <f t="shared" si="3820"/>
        <v>0</v>
      </c>
      <c r="KB361" s="21">
        <f t="shared" si="3820"/>
        <v>0</v>
      </c>
      <c r="KC361" s="21">
        <f t="shared" si="3820"/>
        <v>0</v>
      </c>
      <c r="KD361" s="21">
        <f t="shared" ref="KD361:KK361" si="3821">IF($F$290, 0, IF($G$301, IF(AND(COLUMN($KD$361)-COLUMN($IX$359)=$Q$291,ROW($KD$361)-ROW($IX$359)=$K$291), U$290, KD361), KD361))</f>
        <v>0</v>
      </c>
      <c r="KE361" s="21">
        <f t="shared" si="3821"/>
        <v>0</v>
      </c>
      <c r="KF361" s="21">
        <f t="shared" si="3821"/>
        <v>0</v>
      </c>
      <c r="KG361" s="21">
        <f t="shared" si="3821"/>
        <v>0</v>
      </c>
      <c r="KH361" s="21">
        <f t="shared" si="3821"/>
        <v>0</v>
      </c>
      <c r="KI361" s="21">
        <f t="shared" si="3821"/>
        <v>0</v>
      </c>
      <c r="KJ361" s="21">
        <f t="shared" si="3821"/>
        <v>0</v>
      </c>
      <c r="KK361" s="21">
        <f t="shared" si="3821"/>
        <v>0</v>
      </c>
      <c r="KL361" s="21">
        <f t="shared" ref="KL361:KS361" si="3822">IF($F$290, 0, IF($G$301, IF(AND(COLUMN($KL$361)-COLUMN($IX$359)=$Q$291,ROW($KL$361)-ROW($IX$359)=$K$291), U$290, KL361), KL361))</f>
        <v>0</v>
      </c>
      <c r="KM361" s="21">
        <f t="shared" si="3822"/>
        <v>0</v>
      </c>
      <c r="KN361" s="21">
        <f t="shared" si="3822"/>
        <v>0</v>
      </c>
      <c r="KO361" s="21">
        <f t="shared" si="3822"/>
        <v>0</v>
      </c>
      <c r="KP361" s="21">
        <f t="shared" si="3822"/>
        <v>0</v>
      </c>
      <c r="KQ361" s="21">
        <f t="shared" si="3822"/>
        <v>0</v>
      </c>
      <c r="KR361" s="21">
        <f t="shared" si="3822"/>
        <v>0</v>
      </c>
      <c r="KS361" s="21">
        <f t="shared" si="3822"/>
        <v>0</v>
      </c>
      <c r="KT361" s="21">
        <f t="shared" ref="KT361:LA361" si="3823">IF($F$290, 0, IF($G$301, IF(AND(COLUMN($KT$361)-COLUMN($IX$359)=$Q$291,ROW($KT$361)-ROW($IX$359)=$K$291), U$290, KT361), KT361))</f>
        <v>0</v>
      </c>
      <c r="KU361" s="21">
        <f t="shared" si="3823"/>
        <v>0</v>
      </c>
      <c r="KV361" s="21">
        <f t="shared" si="3823"/>
        <v>0</v>
      </c>
      <c r="KW361" s="21">
        <f t="shared" si="3823"/>
        <v>0</v>
      </c>
      <c r="KX361" s="21">
        <f t="shared" si="3823"/>
        <v>0</v>
      </c>
      <c r="KY361" s="21">
        <f t="shared" si="3823"/>
        <v>0</v>
      </c>
      <c r="KZ361" s="21">
        <f t="shared" si="3823"/>
        <v>0</v>
      </c>
      <c r="LA361" s="21">
        <f t="shared" si="3823"/>
        <v>0</v>
      </c>
      <c r="LB361" s="21">
        <f t="shared" ref="LB361:LI361" si="3824">IF($F$290, 0, IF($G$301, IF(AND(COLUMN($LB$361)-COLUMN($IX$359)=$Q$291,ROW($LB$361)-ROW($IX$359)=$K$291), U$290, LB361), LB361))</f>
        <v>0</v>
      </c>
      <c r="LC361" s="21">
        <f t="shared" si="3824"/>
        <v>0</v>
      </c>
      <c r="LD361" s="21">
        <f t="shared" si="3824"/>
        <v>0</v>
      </c>
      <c r="LE361" s="21">
        <f t="shared" si="3824"/>
        <v>0</v>
      </c>
      <c r="LF361" s="21">
        <f t="shared" si="3824"/>
        <v>0</v>
      </c>
      <c r="LG361" s="21">
        <f t="shared" si="3824"/>
        <v>0</v>
      </c>
      <c r="LH361" s="21">
        <f t="shared" si="3824"/>
        <v>0</v>
      </c>
      <c r="LI361" s="21">
        <f t="shared" si="3824"/>
        <v>0</v>
      </c>
      <c r="LJ361" s="21">
        <f t="shared" ref="LJ361:LQ361" si="3825">IF($F$290, 0, IF($H$301, IF(AND(COLUMN($LJ$361)-COLUMN($LJ$359)=$Q$291,ROW($LJ$361)-ROW($LJ$359)=$K$291), U$290, LJ361), LJ361))</f>
        <v>0</v>
      </c>
      <c r="LK361" s="21">
        <f t="shared" si="3825"/>
        <v>0</v>
      </c>
      <c r="LL361" s="21">
        <f t="shared" si="3825"/>
        <v>0</v>
      </c>
      <c r="LM361" s="21">
        <f t="shared" si="3825"/>
        <v>0</v>
      </c>
      <c r="LN361" s="21">
        <f t="shared" si="3825"/>
        <v>0</v>
      </c>
      <c r="LO361" s="21">
        <f t="shared" si="3825"/>
        <v>0</v>
      </c>
      <c r="LP361" s="21">
        <f t="shared" si="3825"/>
        <v>0</v>
      </c>
      <c r="LQ361" s="21">
        <f t="shared" si="3825"/>
        <v>0</v>
      </c>
      <c r="LR361" s="21">
        <f t="shared" ref="LR361:LY361" si="3826">IF($F$290, 0, IF($H$301, IF(AND(COLUMN($LR$361)-COLUMN($LJ$359)=$Q$291,ROW($LR$361)-ROW($LJ$359)=$K$291), U$290, LR361), LR361))</f>
        <v>0</v>
      </c>
      <c r="LS361" s="21">
        <f t="shared" si="3826"/>
        <v>0</v>
      </c>
      <c r="LT361" s="21">
        <f t="shared" si="3826"/>
        <v>0</v>
      </c>
      <c r="LU361" s="21">
        <f t="shared" si="3826"/>
        <v>0</v>
      </c>
      <c r="LV361" s="21">
        <f t="shared" si="3826"/>
        <v>0</v>
      </c>
      <c r="LW361" s="21">
        <f t="shared" si="3826"/>
        <v>0</v>
      </c>
      <c r="LX361" s="21">
        <f t="shared" si="3826"/>
        <v>0</v>
      </c>
      <c r="LY361" s="21">
        <f t="shared" si="3826"/>
        <v>0</v>
      </c>
      <c r="LZ361" s="21">
        <f t="shared" ref="LZ361:MG361" si="3827">IF($F$290, 0, IF($H$301, IF(AND(COLUMN($LZ$361)-COLUMN($LJ$359)=$Q$291,ROW($LZ$361)-ROW($LJ$359)=$K$291), U$290, LZ361), LZ361))</f>
        <v>0</v>
      </c>
      <c r="MA361" s="21">
        <f t="shared" si="3827"/>
        <v>0</v>
      </c>
      <c r="MB361" s="21">
        <f t="shared" si="3827"/>
        <v>0</v>
      </c>
      <c r="MC361" s="21">
        <f t="shared" si="3827"/>
        <v>0</v>
      </c>
      <c r="MD361" s="21">
        <f t="shared" si="3827"/>
        <v>0</v>
      </c>
      <c r="ME361" s="21">
        <f t="shared" si="3827"/>
        <v>0</v>
      </c>
      <c r="MF361" s="21">
        <f t="shared" si="3827"/>
        <v>0</v>
      </c>
      <c r="MG361" s="21">
        <f t="shared" si="3827"/>
        <v>0</v>
      </c>
      <c r="MH361" s="21">
        <f t="shared" ref="MH361:MO361" si="3828">IF($F$290, 0, IF($H$301, IF(AND(COLUMN($MH$361)-COLUMN($LJ$359)=$Q$291,ROW($MH$361)-ROW($LJ$359)=$K$291), U$290, MH361), MH361))</f>
        <v>0</v>
      </c>
      <c r="MI361" s="21">
        <f t="shared" si="3828"/>
        <v>0</v>
      </c>
      <c r="MJ361" s="21">
        <f t="shared" si="3828"/>
        <v>0</v>
      </c>
      <c r="MK361" s="21">
        <f t="shared" si="3828"/>
        <v>0</v>
      </c>
      <c r="ML361" s="21">
        <f t="shared" si="3828"/>
        <v>0</v>
      </c>
      <c r="MM361" s="21">
        <f t="shared" si="3828"/>
        <v>0</v>
      </c>
      <c r="MN361" s="21">
        <f t="shared" si="3828"/>
        <v>0</v>
      </c>
      <c r="MO361" s="21">
        <f t="shared" si="3828"/>
        <v>0</v>
      </c>
      <c r="MP361" s="21">
        <f t="shared" ref="MP361:MW361" si="3829">IF($F$290, 0, IF($H$301, IF(AND(COLUMN($MP$361)-COLUMN($LJ$359)=$Q$291,ROW($MP$361)-ROW($LJ$359)=$K$291), U$290, MP361), MP361))</f>
        <v>0</v>
      </c>
      <c r="MQ361" s="21">
        <f t="shared" si="3829"/>
        <v>0</v>
      </c>
      <c r="MR361" s="21">
        <f t="shared" si="3829"/>
        <v>0</v>
      </c>
      <c r="MS361" s="21">
        <f t="shared" si="3829"/>
        <v>0</v>
      </c>
      <c r="MT361" s="21">
        <f t="shared" si="3829"/>
        <v>0</v>
      </c>
      <c r="MU361" s="21">
        <f t="shared" si="3829"/>
        <v>0</v>
      </c>
      <c r="MV361" s="21">
        <f t="shared" si="3829"/>
        <v>0</v>
      </c>
      <c r="MW361" s="21">
        <f t="shared" si="3829"/>
        <v>0</v>
      </c>
      <c r="MX361" s="21">
        <f t="shared" ref="MX361:NE361" si="3830">IF($F$290, 0, IF($H$301, IF(AND(COLUMN($MX$361)-COLUMN($LJ$359)=$Q$291,ROW($MX$361)-ROW($LJ$359)=$K$291), U$290, MX361), MX361))</f>
        <v>0</v>
      </c>
      <c r="MY361" s="21">
        <f t="shared" si="3830"/>
        <v>0</v>
      </c>
      <c r="MZ361" s="21">
        <f t="shared" si="3830"/>
        <v>0</v>
      </c>
      <c r="NA361" s="21">
        <f t="shared" si="3830"/>
        <v>0</v>
      </c>
      <c r="NB361" s="21">
        <f t="shared" si="3830"/>
        <v>0</v>
      </c>
      <c r="NC361" s="21">
        <f t="shared" si="3830"/>
        <v>0</v>
      </c>
      <c r="ND361" s="21">
        <f t="shared" si="3830"/>
        <v>0</v>
      </c>
      <c r="NE361" s="21">
        <f t="shared" si="3830"/>
        <v>0</v>
      </c>
      <c r="NF361" s="21">
        <f t="shared" ref="NF361:NM361" si="3831">IF($F$290, 0, IF($H$301, IF(AND(COLUMN($NF$361)-COLUMN($LJ$359)=$Q$291,ROW($NF$361)-ROW($LJ$359)=$K$291), U$290, NF361), NF361))</f>
        <v>0</v>
      </c>
      <c r="NG361" s="21">
        <f t="shared" si="3831"/>
        <v>0</v>
      </c>
      <c r="NH361" s="21">
        <f t="shared" si="3831"/>
        <v>0</v>
      </c>
      <c r="NI361" s="21">
        <f t="shared" si="3831"/>
        <v>0</v>
      </c>
      <c r="NJ361" s="21">
        <f t="shared" si="3831"/>
        <v>0</v>
      </c>
      <c r="NK361" s="21">
        <f t="shared" si="3831"/>
        <v>0</v>
      </c>
      <c r="NL361" s="21">
        <f t="shared" si="3831"/>
        <v>0</v>
      </c>
      <c r="NM361" s="21">
        <f t="shared" si="3831"/>
        <v>0</v>
      </c>
      <c r="NN361" s="21">
        <f t="shared" ref="NN361:NU361" si="3832">IF($F$290, 0, IF($H$301, IF(AND(COLUMN($NN$361)-COLUMN($LJ$359)=$Q$291,ROW($NN$361)-ROW($LJ$359)=$K$291), U$290, NN361), NN361))</f>
        <v>0</v>
      </c>
      <c r="NO361" s="21">
        <f t="shared" si="3832"/>
        <v>0</v>
      </c>
      <c r="NP361" s="21">
        <f t="shared" si="3832"/>
        <v>0</v>
      </c>
      <c r="NQ361" s="21">
        <f t="shared" si="3832"/>
        <v>0</v>
      </c>
      <c r="NR361" s="21">
        <f t="shared" si="3832"/>
        <v>0</v>
      </c>
      <c r="NS361" s="21">
        <f t="shared" si="3832"/>
        <v>0</v>
      </c>
      <c r="NT361" s="21">
        <f t="shared" si="3832"/>
        <v>0</v>
      </c>
      <c r="NU361" s="21">
        <f t="shared" si="3832"/>
        <v>0</v>
      </c>
      <c r="NV361" s="21">
        <f t="shared" ref="NV361:OC361" si="3833">IF($F$290, 0, IF($I$301, IF(AND(COLUMN($NV$361)-COLUMN($NV$359)=$Q$291,ROW($NV$361)-ROW($NV$359)=$K$291), U$290, NV361), NV361))</f>
        <v>0</v>
      </c>
      <c r="NW361" s="21">
        <f t="shared" si="3833"/>
        <v>0</v>
      </c>
      <c r="NX361" s="21">
        <f t="shared" si="3833"/>
        <v>0</v>
      </c>
      <c r="NY361" s="21">
        <f t="shared" si="3833"/>
        <v>0</v>
      </c>
      <c r="NZ361" s="21">
        <f t="shared" si="3833"/>
        <v>0</v>
      </c>
      <c r="OA361" s="21">
        <f t="shared" si="3833"/>
        <v>0</v>
      </c>
      <c r="OB361" s="21">
        <f t="shared" si="3833"/>
        <v>0</v>
      </c>
      <c r="OC361" s="21">
        <f t="shared" si="3833"/>
        <v>0</v>
      </c>
      <c r="OD361" s="21">
        <f t="shared" ref="OD361:OK361" si="3834">IF($F$290, 0, IF($I$301, IF(AND(COLUMN($OD$361)-COLUMN($NV$359)=$Q$291,ROW($OD$361)-ROW($NV$359)=$K$291), U$290, OD361), OD361))</f>
        <v>0</v>
      </c>
      <c r="OE361" s="21">
        <f t="shared" si="3834"/>
        <v>0</v>
      </c>
      <c r="OF361" s="21">
        <f t="shared" si="3834"/>
        <v>0</v>
      </c>
      <c r="OG361" s="21">
        <f t="shared" si="3834"/>
        <v>0</v>
      </c>
      <c r="OH361" s="21">
        <f t="shared" si="3834"/>
        <v>0</v>
      </c>
      <c r="OI361" s="21">
        <f t="shared" si="3834"/>
        <v>0</v>
      </c>
      <c r="OJ361" s="21">
        <f t="shared" si="3834"/>
        <v>0</v>
      </c>
      <c r="OK361" s="21">
        <f t="shared" si="3834"/>
        <v>0</v>
      </c>
      <c r="OL361" s="21">
        <f t="shared" ref="OL361:OS361" si="3835">IF($F$290, 0, IF($I$301, IF(AND(COLUMN($OL$361)-COLUMN($NV$359)=$Q$291,ROW($OL$361)-ROW($NV$359)=$K$291), U$290, OL361), OL361))</f>
        <v>0</v>
      </c>
      <c r="OM361" s="21">
        <f t="shared" si="3835"/>
        <v>0</v>
      </c>
      <c r="ON361" s="21">
        <f t="shared" si="3835"/>
        <v>0</v>
      </c>
      <c r="OO361" s="21">
        <f t="shared" si="3835"/>
        <v>0</v>
      </c>
      <c r="OP361" s="21">
        <f t="shared" si="3835"/>
        <v>0</v>
      </c>
      <c r="OQ361" s="21">
        <f t="shared" si="3835"/>
        <v>0</v>
      </c>
      <c r="OR361" s="21">
        <f t="shared" si="3835"/>
        <v>0</v>
      </c>
      <c r="OS361" s="21">
        <f t="shared" si="3835"/>
        <v>0</v>
      </c>
      <c r="OT361" s="21">
        <f t="shared" ref="OT361:PA361" si="3836">IF($F$290, 0, IF($I$301, IF(AND(COLUMN($OT$361)-COLUMN($NV$359)=$Q$291,ROW($OT$361)-ROW($NV$359)=$K$291), U$290, OT361), OT361))</f>
        <v>0</v>
      </c>
      <c r="OU361" s="21">
        <f t="shared" si="3836"/>
        <v>0</v>
      </c>
      <c r="OV361" s="21">
        <f t="shared" si="3836"/>
        <v>0</v>
      </c>
      <c r="OW361" s="21">
        <f t="shared" si="3836"/>
        <v>0</v>
      </c>
      <c r="OX361" s="21">
        <f t="shared" si="3836"/>
        <v>0</v>
      </c>
      <c r="OY361" s="21">
        <f t="shared" si="3836"/>
        <v>0</v>
      </c>
      <c r="OZ361" s="21">
        <f t="shared" si="3836"/>
        <v>0</v>
      </c>
      <c r="PA361" s="21">
        <f t="shared" si="3836"/>
        <v>0</v>
      </c>
      <c r="PB361" s="21">
        <f t="shared" ref="PB361:PI361" si="3837">IF($F$290, 0, IF($I$301, IF(AND(COLUMN($PB$361)-COLUMN($NV$359)=$Q$291,ROW($PB$361)-ROW($NV$359)=$K$291), U$290, PB361), PB361))</f>
        <v>0</v>
      </c>
      <c r="PC361" s="21">
        <f t="shared" si="3837"/>
        <v>0</v>
      </c>
      <c r="PD361" s="21">
        <f t="shared" si="3837"/>
        <v>0</v>
      </c>
      <c r="PE361" s="21">
        <f t="shared" si="3837"/>
        <v>0</v>
      </c>
      <c r="PF361" s="21">
        <f t="shared" si="3837"/>
        <v>0</v>
      </c>
      <c r="PG361" s="21">
        <f t="shared" si="3837"/>
        <v>0</v>
      </c>
      <c r="PH361" s="21">
        <f t="shared" si="3837"/>
        <v>0</v>
      </c>
      <c r="PI361" s="21">
        <f t="shared" si="3837"/>
        <v>0</v>
      </c>
      <c r="PJ361" s="21">
        <f t="shared" ref="PJ361:PQ361" si="3838">IF($F$290, 0, IF($I$301, IF(AND(COLUMN($PJ$361)-COLUMN($NV$359)=$Q$291,ROW($PJ$361)-ROW($NV$359)=$K$291), U$290, PJ361), PJ361))</f>
        <v>0</v>
      </c>
      <c r="PK361" s="21">
        <f t="shared" si="3838"/>
        <v>0</v>
      </c>
      <c r="PL361" s="21">
        <f t="shared" si="3838"/>
        <v>0</v>
      </c>
      <c r="PM361" s="21">
        <f t="shared" si="3838"/>
        <v>0</v>
      </c>
      <c r="PN361" s="21">
        <f t="shared" si="3838"/>
        <v>0</v>
      </c>
      <c r="PO361" s="21">
        <f t="shared" si="3838"/>
        <v>0</v>
      </c>
      <c r="PP361" s="21">
        <f t="shared" si="3838"/>
        <v>0</v>
      </c>
      <c r="PQ361" s="21">
        <f t="shared" si="3838"/>
        <v>0</v>
      </c>
      <c r="PR361" s="21">
        <f t="shared" ref="PR361:PY361" si="3839">IF($F$290, 0, IF($I$301, IF(AND(COLUMN($PR$361)-COLUMN($NV$359)=$Q$291,ROW($PR$361)-ROW($NV$359)=$K$291), U$290, PR361), PR361))</f>
        <v>0</v>
      </c>
      <c r="PS361" s="21">
        <f t="shared" si="3839"/>
        <v>0</v>
      </c>
      <c r="PT361" s="21">
        <f t="shared" si="3839"/>
        <v>0</v>
      </c>
      <c r="PU361" s="21">
        <f t="shared" si="3839"/>
        <v>0</v>
      </c>
      <c r="PV361" s="21">
        <f t="shared" si="3839"/>
        <v>0</v>
      </c>
      <c r="PW361" s="21">
        <f t="shared" si="3839"/>
        <v>0</v>
      </c>
      <c r="PX361" s="21">
        <f t="shared" si="3839"/>
        <v>0</v>
      </c>
      <c r="PY361" s="21">
        <f t="shared" si="3839"/>
        <v>0</v>
      </c>
      <c r="PZ361" s="21">
        <f t="shared" ref="PZ361:QG361" si="3840">IF($F$290, 0, IF($I$301, IF(AND(COLUMN($PZ$361)-COLUMN($NV$359)=$Q$291,ROW($PZ$361)-ROW($NV$359)=$K$291), U$290, PZ361), PZ361))</f>
        <v>0</v>
      </c>
      <c r="QA361" s="21">
        <f t="shared" si="3840"/>
        <v>0</v>
      </c>
      <c r="QB361" s="21">
        <f t="shared" si="3840"/>
        <v>0</v>
      </c>
      <c r="QC361" s="21">
        <f t="shared" si="3840"/>
        <v>0</v>
      </c>
      <c r="QD361" s="21">
        <f t="shared" si="3840"/>
        <v>0</v>
      </c>
      <c r="QE361" s="21">
        <f t="shared" si="3840"/>
        <v>0</v>
      </c>
      <c r="QF361" s="21">
        <f t="shared" si="3840"/>
        <v>0</v>
      </c>
      <c r="QG361" s="21">
        <f t="shared" si="3840"/>
        <v>0</v>
      </c>
      <c r="QH361" s="21">
        <f t="shared" ref="QH361:QO361" si="3841">IF($F$290, 0, IF($J$301, IF(AND(COLUMN($QH$361)-COLUMN($QH$359)=$Q$291,ROW($QH$361)-ROW($QH$359)=$K$291), U$290, QH361), QH361))</f>
        <v>0</v>
      </c>
      <c r="QI361" s="21">
        <f t="shared" si="3841"/>
        <v>0</v>
      </c>
      <c r="QJ361" s="21">
        <f t="shared" si="3841"/>
        <v>0</v>
      </c>
      <c r="QK361" s="21">
        <f t="shared" si="3841"/>
        <v>0</v>
      </c>
      <c r="QL361" s="21">
        <f t="shared" si="3841"/>
        <v>0</v>
      </c>
      <c r="QM361" s="21">
        <f t="shared" si="3841"/>
        <v>0</v>
      </c>
      <c r="QN361" s="21">
        <f t="shared" si="3841"/>
        <v>0</v>
      </c>
      <c r="QO361" s="21">
        <f t="shared" si="3841"/>
        <v>0</v>
      </c>
      <c r="QP361" s="21">
        <f t="shared" ref="QP361:QW361" si="3842">IF($F$290, 0, IF($J$301, IF(AND(COLUMN($QP$361)-COLUMN($QH$359)=$Q$291,ROW($QP$361)-ROW($QH$359)=$K$291), U$290, QP361), QP361))</f>
        <v>0</v>
      </c>
      <c r="QQ361" s="21">
        <f t="shared" si="3842"/>
        <v>0</v>
      </c>
      <c r="QR361" s="21">
        <f t="shared" si="3842"/>
        <v>0</v>
      </c>
      <c r="QS361" s="21">
        <f t="shared" si="3842"/>
        <v>0</v>
      </c>
      <c r="QT361" s="21">
        <f t="shared" si="3842"/>
        <v>0</v>
      </c>
      <c r="QU361" s="21">
        <f t="shared" si="3842"/>
        <v>0</v>
      </c>
      <c r="QV361" s="21">
        <f t="shared" si="3842"/>
        <v>0</v>
      </c>
      <c r="QW361" s="21">
        <f t="shared" si="3842"/>
        <v>0</v>
      </c>
      <c r="QX361" s="21">
        <f t="shared" ref="QX361:RE361" si="3843">IF($F$290, 0, IF($J$301, IF(AND(COLUMN($QX$361)-COLUMN($QH$359)=$Q$291,ROW($QX$361)-ROW($QH$359)=$K$291), U$290, QX361), QX361))</f>
        <v>0</v>
      </c>
      <c r="QY361" s="21">
        <f t="shared" si="3843"/>
        <v>0</v>
      </c>
      <c r="QZ361" s="21">
        <f t="shared" si="3843"/>
        <v>0</v>
      </c>
      <c r="RA361" s="21">
        <f t="shared" si="3843"/>
        <v>0</v>
      </c>
      <c r="RB361" s="21">
        <f t="shared" si="3843"/>
        <v>0</v>
      </c>
      <c r="RC361" s="21">
        <f t="shared" si="3843"/>
        <v>0</v>
      </c>
      <c r="RD361" s="21">
        <f t="shared" si="3843"/>
        <v>0</v>
      </c>
      <c r="RE361" s="21">
        <f t="shared" si="3843"/>
        <v>0</v>
      </c>
      <c r="RF361" s="21">
        <f t="shared" ref="RF361:RM361" si="3844">IF($F$290, 0, IF($J$301, IF(AND(COLUMN($RF$361)-COLUMN($QH$359)=$Q$291,ROW($RF$361)-ROW($QH$359)=$K$291), U$290, RF361), RF361))</f>
        <v>0</v>
      </c>
      <c r="RG361" s="21">
        <f t="shared" si="3844"/>
        <v>0</v>
      </c>
      <c r="RH361" s="21">
        <f t="shared" si="3844"/>
        <v>0</v>
      </c>
      <c r="RI361" s="21">
        <f t="shared" si="3844"/>
        <v>0</v>
      </c>
      <c r="RJ361" s="21">
        <f t="shared" si="3844"/>
        <v>0</v>
      </c>
      <c r="RK361" s="21">
        <f t="shared" si="3844"/>
        <v>0</v>
      </c>
      <c r="RL361" s="21">
        <f t="shared" si="3844"/>
        <v>0</v>
      </c>
      <c r="RM361" s="21">
        <f t="shared" si="3844"/>
        <v>0</v>
      </c>
      <c r="RN361" s="21">
        <f t="shared" ref="RN361:RU361" si="3845">IF($F$290, 0, IF($J$301, IF(AND(COLUMN($RN$361)-COLUMN($QH$359)=$Q$291,ROW($RN$361)-ROW($QH$359)=$K$291), U$290, RN361), RN361))</f>
        <v>0</v>
      </c>
      <c r="RO361" s="21">
        <f t="shared" si="3845"/>
        <v>0</v>
      </c>
      <c r="RP361" s="21">
        <f t="shared" si="3845"/>
        <v>0</v>
      </c>
      <c r="RQ361" s="21">
        <f t="shared" si="3845"/>
        <v>0</v>
      </c>
      <c r="RR361" s="21">
        <f t="shared" si="3845"/>
        <v>0</v>
      </c>
      <c r="RS361" s="21">
        <f t="shared" si="3845"/>
        <v>0</v>
      </c>
      <c r="RT361" s="21">
        <f t="shared" si="3845"/>
        <v>0</v>
      </c>
      <c r="RU361" s="21">
        <f t="shared" si="3845"/>
        <v>0</v>
      </c>
      <c r="RV361" s="21">
        <f t="shared" ref="RV361:SC361" si="3846">IF($F$290, 0, IF($J$301, IF(AND(COLUMN($RV$361)-COLUMN($QH$359)=$Q$291,ROW($RV$361)-ROW($QH$359)=$K$291), U$290, RV361), RV361))</f>
        <v>0</v>
      </c>
      <c r="RW361" s="21">
        <f t="shared" si="3846"/>
        <v>0</v>
      </c>
      <c r="RX361" s="21">
        <f t="shared" si="3846"/>
        <v>0</v>
      </c>
      <c r="RY361" s="21">
        <f t="shared" si="3846"/>
        <v>0</v>
      </c>
      <c r="RZ361" s="21">
        <f t="shared" si="3846"/>
        <v>0</v>
      </c>
      <c r="SA361" s="21">
        <f t="shared" si="3846"/>
        <v>0</v>
      </c>
      <c r="SB361" s="21">
        <f t="shared" si="3846"/>
        <v>0</v>
      </c>
      <c r="SC361" s="21">
        <f t="shared" si="3846"/>
        <v>0</v>
      </c>
      <c r="SD361" s="21">
        <f t="shared" ref="SD361:SK361" si="3847">IF($F$290, 0, IF($J$301, IF(AND(COLUMN($SD$361)-COLUMN($QH$359)=$Q$291,ROW($SD$361)-ROW($QH$359)=$K$291), U$290, SD361), SD361))</f>
        <v>0</v>
      </c>
      <c r="SE361" s="21">
        <f t="shared" si="3847"/>
        <v>0</v>
      </c>
      <c r="SF361" s="21">
        <f t="shared" si="3847"/>
        <v>0</v>
      </c>
      <c r="SG361" s="21">
        <f t="shared" si="3847"/>
        <v>0</v>
      </c>
      <c r="SH361" s="21">
        <f t="shared" si="3847"/>
        <v>0</v>
      </c>
      <c r="SI361" s="21">
        <f t="shared" si="3847"/>
        <v>0</v>
      </c>
      <c r="SJ361" s="21">
        <f t="shared" si="3847"/>
        <v>0</v>
      </c>
      <c r="SK361" s="21">
        <f t="shared" si="3847"/>
        <v>0</v>
      </c>
      <c r="SL361" s="21">
        <f t="shared" ref="SL361:SS361" si="3848">IF($F$290, 0, IF($J$301, IF(AND(COLUMN($SL$361)-COLUMN($QH$359)=$Q$291,ROW($SL$361)-ROW($QH$359)=$K$291), U$290, SL361), SL361))</f>
        <v>0</v>
      </c>
      <c r="SM361" s="21">
        <f t="shared" si="3848"/>
        <v>0</v>
      </c>
      <c r="SN361" s="21">
        <f t="shared" si="3848"/>
        <v>0</v>
      </c>
      <c r="SO361" s="21">
        <f t="shared" si="3848"/>
        <v>0</v>
      </c>
      <c r="SP361" s="21">
        <f t="shared" si="3848"/>
        <v>0</v>
      </c>
      <c r="SQ361" s="21">
        <f t="shared" si="3848"/>
        <v>0</v>
      </c>
      <c r="SR361" s="21">
        <f t="shared" si="3848"/>
        <v>0</v>
      </c>
      <c r="SS361" s="21">
        <f t="shared" si="3848"/>
        <v>0</v>
      </c>
    </row>
    <row r="362" spans="2:513" ht="15" customHeight="1" x14ac:dyDescent="0.25">
      <c r="B362" s="21">
        <f t="shared" ref="B362:I362" si="3849">IF($F$290, 0, IF($C$301, IF(AND(COLUMN($B$362)-COLUMN($B$359)=$Q$291,ROW($B$362)-ROW($B$359)=$K$291), U$290, B362), B362))</f>
        <v>0</v>
      </c>
      <c r="C362" s="21">
        <f t="shared" si="3849"/>
        <v>0</v>
      </c>
      <c r="D362" s="21">
        <f t="shared" si="3849"/>
        <v>0</v>
      </c>
      <c r="E362" s="21">
        <f t="shared" si="3849"/>
        <v>0</v>
      </c>
      <c r="F362" s="21">
        <f t="shared" si="3849"/>
        <v>0</v>
      </c>
      <c r="G362" s="21">
        <f t="shared" si="3849"/>
        <v>0</v>
      </c>
      <c r="H362" s="21">
        <f t="shared" si="3849"/>
        <v>0</v>
      </c>
      <c r="I362" s="21">
        <f t="shared" si="3849"/>
        <v>0</v>
      </c>
      <c r="J362" s="21">
        <f t="shared" ref="J362:Q362" si="3850">IF($F$290, 0, IF($C$301, IF(AND(COLUMN($J$362)-COLUMN($B$359)=$Q$291,ROW($J$362)-ROW($B$359)=$K$291), U$290, J362), J362))</f>
        <v>0</v>
      </c>
      <c r="K362" s="21">
        <f t="shared" si="3850"/>
        <v>0</v>
      </c>
      <c r="L362" s="21">
        <f t="shared" si="3850"/>
        <v>0</v>
      </c>
      <c r="M362" s="21">
        <f t="shared" si="3850"/>
        <v>0</v>
      </c>
      <c r="N362" s="21">
        <f t="shared" si="3850"/>
        <v>0</v>
      </c>
      <c r="O362" s="21">
        <f t="shared" si="3850"/>
        <v>0</v>
      </c>
      <c r="P362" s="21">
        <f t="shared" si="3850"/>
        <v>0</v>
      </c>
      <c r="Q362" s="21">
        <f t="shared" si="3850"/>
        <v>0</v>
      </c>
      <c r="R362" s="21">
        <f>IF($F$290, 0, IF($C$301, IF(AND(COLUMN($R$362)-COLUMN($B$359)=$Q$291,ROW($R$362)-ROW($B$359)=$K$291), U$290, R362), R362))</f>
        <v>0</v>
      </c>
      <c r="S362" s="21">
        <f t="shared" ref="S362:Y362" si="3851">IF($F$290, 0, IF($C$301, IF(AND(COLUMN($R$362)-COLUMN($B$359)=$Q$291,ROW($R$362)-ROW($B$359)=$K$291), V$290, S362), S362))</f>
        <v>0</v>
      </c>
      <c r="T362" s="21">
        <f t="shared" si="3851"/>
        <v>0</v>
      </c>
      <c r="U362" s="21">
        <f t="shared" si="3851"/>
        <v>0</v>
      </c>
      <c r="V362" s="21">
        <f t="shared" si="3851"/>
        <v>0</v>
      </c>
      <c r="W362" s="21">
        <f t="shared" si="3851"/>
        <v>0</v>
      </c>
      <c r="X362" s="21">
        <f t="shared" si="3851"/>
        <v>0</v>
      </c>
      <c r="Y362" s="21">
        <f t="shared" si="3851"/>
        <v>0</v>
      </c>
      <c r="Z362" s="21">
        <f t="shared" ref="Z362:AG362" si="3852">IF($F$290, 0, IF($C$301, IF(AND(COLUMN($Z$362)-COLUMN($B$359)=$Q$291,ROW($Z$362)-ROW($B$359)=$K$291), U$290, Z362), Z362))</f>
        <v>0</v>
      </c>
      <c r="AA362" s="21">
        <f t="shared" si="3852"/>
        <v>0</v>
      </c>
      <c r="AB362" s="21">
        <f t="shared" si="3852"/>
        <v>0</v>
      </c>
      <c r="AC362" s="21">
        <f t="shared" si="3852"/>
        <v>0</v>
      </c>
      <c r="AD362" s="21">
        <f t="shared" si="3852"/>
        <v>0</v>
      </c>
      <c r="AE362" s="21">
        <f t="shared" si="3852"/>
        <v>0</v>
      </c>
      <c r="AF362" s="21">
        <f t="shared" si="3852"/>
        <v>0</v>
      </c>
      <c r="AG362" s="21">
        <f t="shared" si="3852"/>
        <v>0</v>
      </c>
      <c r="AH362" s="21">
        <f t="shared" ref="AH362:AO362" si="3853">IF($F$290, 0, IF($C$301, IF(AND(COLUMN($AH$362)-COLUMN($B$359)=$Q$291,ROW($AH$362)-ROW($B$359)=$K$291), U$290, AH362), AH362))</f>
        <v>0</v>
      </c>
      <c r="AI362" s="21">
        <f t="shared" si="3853"/>
        <v>0</v>
      </c>
      <c r="AJ362" s="21">
        <f t="shared" si="3853"/>
        <v>0</v>
      </c>
      <c r="AK362" s="21">
        <f t="shared" si="3853"/>
        <v>0</v>
      </c>
      <c r="AL362" s="21">
        <f t="shared" si="3853"/>
        <v>0</v>
      </c>
      <c r="AM362" s="21">
        <f t="shared" si="3853"/>
        <v>0</v>
      </c>
      <c r="AN362" s="21">
        <f t="shared" si="3853"/>
        <v>0</v>
      </c>
      <c r="AO362" s="21">
        <f t="shared" si="3853"/>
        <v>0</v>
      </c>
      <c r="AP362" s="21">
        <f t="shared" ref="AP362:AW362" si="3854">IF($F$290, 0, IF($C$301, IF(AND(COLUMN($AP$362)-COLUMN($B$359)=$Q$291,ROW($AP$362)-ROW($B$359)=$K$291), U$290, AP362), AP362))</f>
        <v>0</v>
      </c>
      <c r="AQ362" s="21">
        <f t="shared" si="3854"/>
        <v>0</v>
      </c>
      <c r="AR362" s="21">
        <f t="shared" si="3854"/>
        <v>0</v>
      </c>
      <c r="AS362" s="21">
        <f t="shared" si="3854"/>
        <v>0</v>
      </c>
      <c r="AT362" s="21">
        <f t="shared" si="3854"/>
        <v>0</v>
      </c>
      <c r="AU362" s="21">
        <f t="shared" si="3854"/>
        <v>0</v>
      </c>
      <c r="AV362" s="21">
        <f t="shared" si="3854"/>
        <v>0</v>
      </c>
      <c r="AW362" s="21">
        <f t="shared" si="3854"/>
        <v>0</v>
      </c>
      <c r="AX362" s="21">
        <f t="shared" ref="AX362:BE362" si="3855">IF($F$290, 0, IF($C$301, IF(AND(COLUMN($AX$362)-COLUMN($B$359)=$Q$291,ROW($AX$362)-ROW($B$359)=$K$291), U$290, AX362), AX362))</f>
        <v>0</v>
      </c>
      <c r="AY362" s="21">
        <f t="shared" si="3855"/>
        <v>0</v>
      </c>
      <c r="AZ362" s="21">
        <f t="shared" si="3855"/>
        <v>0</v>
      </c>
      <c r="BA362" s="21">
        <f t="shared" si="3855"/>
        <v>0</v>
      </c>
      <c r="BB362" s="21">
        <f t="shared" si="3855"/>
        <v>0</v>
      </c>
      <c r="BC362" s="21">
        <f t="shared" si="3855"/>
        <v>0</v>
      </c>
      <c r="BD362" s="21">
        <f t="shared" si="3855"/>
        <v>0</v>
      </c>
      <c r="BE362" s="21">
        <f t="shared" si="3855"/>
        <v>0</v>
      </c>
      <c r="BF362" s="21">
        <f t="shared" ref="BF362:BM362" si="3856">IF($F$290, 0, IF($C$301, IF(AND(COLUMN($BF$362)-COLUMN($B$359)=$Q$291,ROW($BF$362)-ROW($B$359)=$K$291), U$290, BF362), BF362))</f>
        <v>0</v>
      </c>
      <c r="BG362" s="21">
        <f t="shared" si="3856"/>
        <v>0</v>
      </c>
      <c r="BH362" s="21">
        <f t="shared" si="3856"/>
        <v>0</v>
      </c>
      <c r="BI362" s="21">
        <f t="shared" si="3856"/>
        <v>0</v>
      </c>
      <c r="BJ362" s="21">
        <f t="shared" si="3856"/>
        <v>0</v>
      </c>
      <c r="BK362" s="21">
        <f t="shared" si="3856"/>
        <v>0</v>
      </c>
      <c r="BL362" s="21">
        <f t="shared" si="3856"/>
        <v>0</v>
      </c>
      <c r="BM362" s="21">
        <f t="shared" si="3856"/>
        <v>0</v>
      </c>
      <c r="BN362" s="21">
        <f t="shared" ref="BN362:BU362" si="3857">IF($F$290, 0, IF($D$301, IF(AND(COLUMN($BN$362)-COLUMN($BN$359)=$Q$291,ROW($BN$362)-ROW($BN$359)=$K$291), U$290, BN362), BN362))</f>
        <v>0</v>
      </c>
      <c r="BO362" s="21">
        <f t="shared" si="3857"/>
        <v>0</v>
      </c>
      <c r="BP362" s="21">
        <f t="shared" si="3857"/>
        <v>0</v>
      </c>
      <c r="BQ362" s="21">
        <f t="shared" si="3857"/>
        <v>0</v>
      </c>
      <c r="BR362" s="21">
        <f t="shared" si="3857"/>
        <v>0</v>
      </c>
      <c r="BS362" s="21">
        <f t="shared" si="3857"/>
        <v>0</v>
      </c>
      <c r="BT362" s="21">
        <f t="shared" si="3857"/>
        <v>0</v>
      </c>
      <c r="BU362" s="21">
        <f t="shared" si="3857"/>
        <v>0</v>
      </c>
      <c r="BV362" s="21">
        <f t="shared" ref="BV362:CC362" si="3858">IF($F$290, 0, IF($D$301, IF(AND(COLUMN($BV$362)-COLUMN($BN$359)=$Q$291,ROW($BV$362)-ROW($BN$359)=$K$291), U$290, BV362), BV362))</f>
        <v>0</v>
      </c>
      <c r="BW362" s="21">
        <f t="shared" si="3858"/>
        <v>0</v>
      </c>
      <c r="BX362" s="21">
        <f t="shared" si="3858"/>
        <v>0</v>
      </c>
      <c r="BY362" s="21">
        <f t="shared" si="3858"/>
        <v>0</v>
      </c>
      <c r="BZ362" s="21">
        <f t="shared" si="3858"/>
        <v>0</v>
      </c>
      <c r="CA362" s="21">
        <f t="shared" si="3858"/>
        <v>0</v>
      </c>
      <c r="CB362" s="21">
        <f t="shared" si="3858"/>
        <v>0</v>
      </c>
      <c r="CC362" s="21">
        <f t="shared" si="3858"/>
        <v>0</v>
      </c>
      <c r="CD362" s="21">
        <f t="shared" ref="CD362:CK362" si="3859">IF($F$290, 0, IF($D$301, IF(AND(COLUMN($CD$362)-COLUMN($BN$359)=$Q$291,ROW($CD$362)-ROW($BN$359)=$K$291), U$290, CD362), CD362))</f>
        <v>0</v>
      </c>
      <c r="CE362" s="21">
        <f t="shared" si="3859"/>
        <v>0</v>
      </c>
      <c r="CF362" s="21">
        <f t="shared" si="3859"/>
        <v>0</v>
      </c>
      <c r="CG362" s="21">
        <f t="shared" si="3859"/>
        <v>0</v>
      </c>
      <c r="CH362" s="21">
        <f t="shared" si="3859"/>
        <v>0</v>
      </c>
      <c r="CI362" s="21">
        <f t="shared" si="3859"/>
        <v>0</v>
      </c>
      <c r="CJ362" s="21">
        <f t="shared" si="3859"/>
        <v>0</v>
      </c>
      <c r="CK362" s="21">
        <f t="shared" si="3859"/>
        <v>0</v>
      </c>
      <c r="CL362" s="21">
        <f t="shared" ref="CL362:CS362" si="3860">IF($F$290, 0, IF($D$301, IF(AND(COLUMN($CL$362)-COLUMN($BN$359)=$Q$291,ROW($CL$362)-ROW($BN$359)=$K$291), U$290, CL362), CL362))</f>
        <v>0</v>
      </c>
      <c r="CM362" s="21">
        <f t="shared" si="3860"/>
        <v>0</v>
      </c>
      <c r="CN362" s="21">
        <f t="shared" si="3860"/>
        <v>0</v>
      </c>
      <c r="CO362" s="21">
        <f t="shared" si="3860"/>
        <v>0</v>
      </c>
      <c r="CP362" s="21">
        <f t="shared" si="3860"/>
        <v>0</v>
      </c>
      <c r="CQ362" s="21">
        <f t="shared" si="3860"/>
        <v>0</v>
      </c>
      <c r="CR362" s="21">
        <f t="shared" si="3860"/>
        <v>0</v>
      </c>
      <c r="CS362" s="21">
        <f t="shared" si="3860"/>
        <v>0</v>
      </c>
      <c r="CT362" s="21">
        <f t="shared" ref="CT362:DA362" si="3861">IF($F$290, 0, IF($D$301, IF(AND(COLUMN($CT$362)-COLUMN($BN$359)=$Q$291,ROW($CT$362)-ROW($BN$359)=$K$291), U$290, CT362), CT362))</f>
        <v>0</v>
      </c>
      <c r="CU362" s="21">
        <f t="shared" si="3861"/>
        <v>0</v>
      </c>
      <c r="CV362" s="21">
        <f t="shared" si="3861"/>
        <v>0</v>
      </c>
      <c r="CW362" s="21">
        <f t="shared" si="3861"/>
        <v>0</v>
      </c>
      <c r="CX362" s="21">
        <f t="shared" si="3861"/>
        <v>0</v>
      </c>
      <c r="CY362" s="21">
        <f t="shared" si="3861"/>
        <v>0</v>
      </c>
      <c r="CZ362" s="21">
        <f t="shared" si="3861"/>
        <v>0</v>
      </c>
      <c r="DA362" s="21">
        <f t="shared" si="3861"/>
        <v>0</v>
      </c>
      <c r="DB362" s="21">
        <f t="shared" ref="DB362:DI362" si="3862">IF($F$290, 0, IF($D$301, IF(AND(COLUMN($DB$362)-COLUMN($BN$359)=$Q$291,ROW($DB$362)-ROW($BN$359)=$K$291), U$290, DB362), DB362))</f>
        <v>0</v>
      </c>
      <c r="DC362" s="21">
        <f t="shared" si="3862"/>
        <v>0</v>
      </c>
      <c r="DD362" s="21">
        <f t="shared" si="3862"/>
        <v>0</v>
      </c>
      <c r="DE362" s="21">
        <f t="shared" si="3862"/>
        <v>0</v>
      </c>
      <c r="DF362" s="21">
        <f t="shared" si="3862"/>
        <v>0</v>
      </c>
      <c r="DG362" s="21">
        <f t="shared" si="3862"/>
        <v>0</v>
      </c>
      <c r="DH362" s="21">
        <f t="shared" si="3862"/>
        <v>0</v>
      </c>
      <c r="DI362" s="21">
        <f t="shared" si="3862"/>
        <v>0</v>
      </c>
      <c r="DJ362" s="21">
        <f t="shared" ref="DJ362:DQ362" si="3863">IF($F$290, 0, IF($D$301, IF(AND(COLUMN($DJ$362)-COLUMN($BN$359)=$Q$291,ROW($DJ$362)-ROW($BN$359)=$K$291), U$290, DJ362), DJ362))</f>
        <v>0</v>
      </c>
      <c r="DK362" s="21">
        <f t="shared" si="3863"/>
        <v>0</v>
      </c>
      <c r="DL362" s="21">
        <f t="shared" si="3863"/>
        <v>0</v>
      </c>
      <c r="DM362" s="21">
        <f t="shared" si="3863"/>
        <v>0</v>
      </c>
      <c r="DN362" s="21">
        <f t="shared" si="3863"/>
        <v>0</v>
      </c>
      <c r="DO362" s="21">
        <f t="shared" si="3863"/>
        <v>0</v>
      </c>
      <c r="DP362" s="21">
        <f t="shared" si="3863"/>
        <v>0</v>
      </c>
      <c r="DQ362" s="21">
        <f t="shared" si="3863"/>
        <v>0</v>
      </c>
      <c r="DR362" s="21">
        <f t="shared" ref="DR362:DY362" si="3864">IF($F$290, 0, IF($D$301, IF(AND(COLUMN($DR$362)-COLUMN($BN$359)=$Q$291,ROW($DR$362)-ROW($BN$359)=$K$291), U$290, DR362), DR362))</f>
        <v>0</v>
      </c>
      <c r="DS362" s="21">
        <f t="shared" si="3864"/>
        <v>0</v>
      </c>
      <c r="DT362" s="21">
        <f t="shared" si="3864"/>
        <v>0</v>
      </c>
      <c r="DU362" s="21">
        <f t="shared" si="3864"/>
        <v>0</v>
      </c>
      <c r="DV362" s="21">
        <f t="shared" si="3864"/>
        <v>0</v>
      </c>
      <c r="DW362" s="21">
        <f t="shared" si="3864"/>
        <v>0</v>
      </c>
      <c r="DX362" s="21">
        <f t="shared" si="3864"/>
        <v>0</v>
      </c>
      <c r="DY362" s="21">
        <f t="shared" si="3864"/>
        <v>0</v>
      </c>
      <c r="DZ362" s="21">
        <f t="shared" ref="DZ362:EG362" si="3865">IF($F$290, 0, IF($E$301, IF(AND(COLUMN($DZ$362)-COLUMN($DZ$359)=$Q$291,ROW($DZ$362)-ROW($DZ$359)=$K$291), U$290, DZ362), DZ362))</f>
        <v>0</v>
      </c>
      <c r="EA362" s="21">
        <f t="shared" si="3865"/>
        <v>0</v>
      </c>
      <c r="EB362" s="21">
        <f t="shared" si="3865"/>
        <v>0</v>
      </c>
      <c r="EC362" s="21">
        <f t="shared" si="3865"/>
        <v>0</v>
      </c>
      <c r="ED362" s="21">
        <f t="shared" si="3865"/>
        <v>0</v>
      </c>
      <c r="EE362" s="21">
        <f t="shared" si="3865"/>
        <v>0</v>
      </c>
      <c r="EF362" s="21">
        <f t="shared" si="3865"/>
        <v>0</v>
      </c>
      <c r="EG362" s="21">
        <f t="shared" si="3865"/>
        <v>0</v>
      </c>
      <c r="EH362" s="21">
        <f t="shared" ref="EH362:EO362" si="3866">IF($F$290, 0, IF($E$301, IF(AND(COLUMN($EH$362)-COLUMN($DZ$359)=$Q$291,ROW($EH$362)-ROW($DZ$359)=$K$291), U$290, EH362), EH362))</f>
        <v>0</v>
      </c>
      <c r="EI362" s="21">
        <f t="shared" si="3866"/>
        <v>0</v>
      </c>
      <c r="EJ362" s="21">
        <f t="shared" si="3866"/>
        <v>0</v>
      </c>
      <c r="EK362" s="21">
        <f t="shared" si="3866"/>
        <v>0</v>
      </c>
      <c r="EL362" s="21">
        <f t="shared" si="3866"/>
        <v>0</v>
      </c>
      <c r="EM362" s="21">
        <f t="shared" si="3866"/>
        <v>0</v>
      </c>
      <c r="EN362" s="21">
        <f t="shared" si="3866"/>
        <v>0</v>
      </c>
      <c r="EO362" s="21">
        <f t="shared" si="3866"/>
        <v>0</v>
      </c>
      <c r="EP362" s="21">
        <f t="shared" ref="EP362:EW362" si="3867">IF($F$290, 0, IF($E$301, IF(AND(COLUMN($EP$362)-COLUMN($DZ$359)=$Q$291,ROW($EP$362)-ROW($DZ$359)=$K$291), U$290, EP362), EP362))</f>
        <v>0</v>
      </c>
      <c r="EQ362" s="21">
        <f t="shared" si="3867"/>
        <v>0</v>
      </c>
      <c r="ER362" s="21">
        <f t="shared" si="3867"/>
        <v>0</v>
      </c>
      <c r="ES362" s="21">
        <f t="shared" si="3867"/>
        <v>0</v>
      </c>
      <c r="ET362" s="21">
        <f t="shared" si="3867"/>
        <v>0</v>
      </c>
      <c r="EU362" s="21">
        <f t="shared" si="3867"/>
        <v>0</v>
      </c>
      <c r="EV362" s="21">
        <f t="shared" si="3867"/>
        <v>0</v>
      </c>
      <c r="EW362" s="21">
        <f t="shared" si="3867"/>
        <v>0</v>
      </c>
      <c r="EX362" s="21">
        <f t="shared" ref="EX362:FE362" si="3868">IF($F$290, 0, IF($E$301, IF(AND(COLUMN($EX$362)-COLUMN($DZ$359)=$Q$291,ROW($EX$362)-ROW($DZ$359)=$K$291), U$290, EX362), EX362))</f>
        <v>0</v>
      </c>
      <c r="EY362" s="21">
        <f t="shared" si="3868"/>
        <v>0</v>
      </c>
      <c r="EZ362" s="21">
        <f t="shared" si="3868"/>
        <v>0</v>
      </c>
      <c r="FA362" s="21">
        <f t="shared" si="3868"/>
        <v>0</v>
      </c>
      <c r="FB362" s="21">
        <f t="shared" si="3868"/>
        <v>0</v>
      </c>
      <c r="FC362" s="21">
        <f t="shared" si="3868"/>
        <v>0</v>
      </c>
      <c r="FD362" s="21">
        <f t="shared" si="3868"/>
        <v>0</v>
      </c>
      <c r="FE362" s="21">
        <f t="shared" si="3868"/>
        <v>0</v>
      </c>
      <c r="FF362" s="21">
        <f t="shared" ref="FF362:FM362" si="3869">IF($F$290, 0, IF($E$301, IF(AND(COLUMN($FF$362)-COLUMN($DZ$359)=$Q$291,ROW($FF$362)-ROW($DZ$359)=$K$291), U$290, FF362), FF362))</f>
        <v>0</v>
      </c>
      <c r="FG362" s="21">
        <f t="shared" si="3869"/>
        <v>0</v>
      </c>
      <c r="FH362" s="21">
        <f t="shared" si="3869"/>
        <v>0</v>
      </c>
      <c r="FI362" s="21">
        <f t="shared" si="3869"/>
        <v>0</v>
      </c>
      <c r="FJ362" s="21">
        <f t="shared" si="3869"/>
        <v>0</v>
      </c>
      <c r="FK362" s="21">
        <f t="shared" si="3869"/>
        <v>0</v>
      </c>
      <c r="FL362" s="21">
        <f t="shared" si="3869"/>
        <v>0</v>
      </c>
      <c r="FM362" s="21">
        <f t="shared" si="3869"/>
        <v>0</v>
      </c>
      <c r="FN362" s="21">
        <f t="shared" ref="FN362:FU362" si="3870">IF($F$290, 0, IF($E$301, IF(AND(COLUMN($FN$362)-COLUMN($DZ$359)=$Q$291,ROW($FN$362)-ROW($DZ$359)=$K$291), U$290, FN362), FN362))</f>
        <v>0</v>
      </c>
      <c r="FO362" s="21">
        <f t="shared" si="3870"/>
        <v>0</v>
      </c>
      <c r="FP362" s="21">
        <f t="shared" si="3870"/>
        <v>0</v>
      </c>
      <c r="FQ362" s="21">
        <f t="shared" si="3870"/>
        <v>0</v>
      </c>
      <c r="FR362" s="21">
        <f t="shared" si="3870"/>
        <v>0</v>
      </c>
      <c r="FS362" s="21">
        <f t="shared" si="3870"/>
        <v>0</v>
      </c>
      <c r="FT362" s="21">
        <f t="shared" si="3870"/>
        <v>0</v>
      </c>
      <c r="FU362" s="21">
        <f t="shared" si="3870"/>
        <v>0</v>
      </c>
      <c r="FV362" s="21">
        <f t="shared" ref="FV362:GC362" si="3871">IF($F$290, 0, IF($E$301, IF(AND(COLUMN($FV$362)-COLUMN($DZ$359)=$Q$291,ROW($FV$362)-ROW($DZ$359)=$K$291), U$290, FV362), FV362))</f>
        <v>0</v>
      </c>
      <c r="FW362" s="21">
        <f t="shared" si="3871"/>
        <v>0</v>
      </c>
      <c r="FX362" s="21">
        <f t="shared" si="3871"/>
        <v>0</v>
      </c>
      <c r="FY362" s="21">
        <f t="shared" si="3871"/>
        <v>0</v>
      </c>
      <c r="FZ362" s="21">
        <f t="shared" si="3871"/>
        <v>0</v>
      </c>
      <c r="GA362" s="21">
        <f t="shared" si="3871"/>
        <v>0</v>
      </c>
      <c r="GB362" s="21">
        <f t="shared" si="3871"/>
        <v>0</v>
      </c>
      <c r="GC362" s="21">
        <f t="shared" si="3871"/>
        <v>0</v>
      </c>
      <c r="GD362" s="21">
        <f t="shared" ref="GD362:GK362" si="3872">IF($F$290, 0, IF($E$301, IF(AND(COLUMN($GD$362)-COLUMN($DZ$359)=$Q$291,ROW($GD$362)-ROW($DZ$359)=$K$291), U$290, GD362), GD362))</f>
        <v>0</v>
      </c>
      <c r="GE362" s="21">
        <f t="shared" si="3872"/>
        <v>0</v>
      </c>
      <c r="GF362" s="21">
        <f t="shared" si="3872"/>
        <v>0</v>
      </c>
      <c r="GG362" s="21">
        <f t="shared" si="3872"/>
        <v>0</v>
      </c>
      <c r="GH362" s="21">
        <f t="shared" si="3872"/>
        <v>0</v>
      </c>
      <c r="GI362" s="21">
        <f t="shared" si="3872"/>
        <v>0</v>
      </c>
      <c r="GJ362" s="21">
        <f t="shared" si="3872"/>
        <v>0</v>
      </c>
      <c r="GK362" s="21">
        <f t="shared" si="3872"/>
        <v>0</v>
      </c>
      <c r="GL362" s="21">
        <f t="shared" ref="GL362:GS362" si="3873">IF($F$290, 0, IF($F$301, IF(AND(COLUMN($GL$362)-COLUMN($GL$359)=$Q$291,ROW($GL$362)-ROW($GL$359)=$K$291), U$290, GL362), GL362))</f>
        <v>0</v>
      </c>
      <c r="GM362" s="21">
        <f t="shared" si="3873"/>
        <v>0</v>
      </c>
      <c r="GN362" s="21">
        <f t="shared" si="3873"/>
        <v>0</v>
      </c>
      <c r="GO362" s="21">
        <f t="shared" si="3873"/>
        <v>0</v>
      </c>
      <c r="GP362" s="21">
        <f t="shared" si="3873"/>
        <v>0</v>
      </c>
      <c r="GQ362" s="21">
        <f t="shared" si="3873"/>
        <v>0</v>
      </c>
      <c r="GR362" s="21">
        <f t="shared" si="3873"/>
        <v>0</v>
      </c>
      <c r="GS362" s="21">
        <f t="shared" si="3873"/>
        <v>0</v>
      </c>
      <c r="GT362" s="21">
        <f t="shared" ref="GT362:HA362" si="3874">IF($F$290, 0, IF($F$301, IF(AND(COLUMN($GT$362)-COLUMN($GL$359)=$Q$291,ROW($GT$362)-ROW($GL$359)=$K$291), U$290, GT362), GT362))</f>
        <v>0</v>
      </c>
      <c r="GU362" s="21">
        <f t="shared" si="3874"/>
        <v>0</v>
      </c>
      <c r="GV362" s="21">
        <f t="shared" si="3874"/>
        <v>0</v>
      </c>
      <c r="GW362" s="21">
        <f t="shared" si="3874"/>
        <v>0</v>
      </c>
      <c r="GX362" s="21">
        <f t="shared" si="3874"/>
        <v>0</v>
      </c>
      <c r="GY362" s="21">
        <f t="shared" si="3874"/>
        <v>0</v>
      </c>
      <c r="GZ362" s="21">
        <f t="shared" si="3874"/>
        <v>0</v>
      </c>
      <c r="HA362" s="21">
        <f t="shared" si="3874"/>
        <v>0</v>
      </c>
      <c r="HB362" s="21">
        <f t="shared" ref="HB362:HI362" si="3875">IF($F$290, 0, IF($F$301, IF(AND(COLUMN($HB$362)-COLUMN($GL$359)=$Q$291,ROW($HB$362)-ROW($GL$359)=$K$291), U$290, HB362), HB362))</f>
        <v>0</v>
      </c>
      <c r="HC362" s="21">
        <f t="shared" si="3875"/>
        <v>0</v>
      </c>
      <c r="HD362" s="21">
        <f t="shared" si="3875"/>
        <v>0</v>
      </c>
      <c r="HE362" s="21">
        <f t="shared" si="3875"/>
        <v>0</v>
      </c>
      <c r="HF362" s="21">
        <f t="shared" si="3875"/>
        <v>0</v>
      </c>
      <c r="HG362" s="21">
        <f t="shared" si="3875"/>
        <v>0</v>
      </c>
      <c r="HH362" s="21">
        <f t="shared" si="3875"/>
        <v>0</v>
      </c>
      <c r="HI362" s="21">
        <f t="shared" si="3875"/>
        <v>0</v>
      </c>
      <c r="HJ362" s="21">
        <f t="shared" ref="HJ362:HQ362" si="3876">IF($F$290, 0, IF($F$301, IF(AND(COLUMN($HJ$362)-COLUMN($GL$359)=$Q$291,ROW($HJ$362)-ROW($GL$359)=$K$291), U$290, HJ362), HJ362))</f>
        <v>0</v>
      </c>
      <c r="HK362" s="21">
        <f t="shared" si="3876"/>
        <v>0</v>
      </c>
      <c r="HL362" s="21">
        <f t="shared" si="3876"/>
        <v>0</v>
      </c>
      <c r="HM362" s="21">
        <f t="shared" si="3876"/>
        <v>0</v>
      </c>
      <c r="HN362" s="21">
        <f t="shared" si="3876"/>
        <v>0</v>
      </c>
      <c r="HO362" s="21">
        <f t="shared" si="3876"/>
        <v>0</v>
      </c>
      <c r="HP362" s="21">
        <f t="shared" si="3876"/>
        <v>0</v>
      </c>
      <c r="HQ362" s="21">
        <f t="shared" si="3876"/>
        <v>0</v>
      </c>
      <c r="HR362" s="21">
        <f t="shared" ref="HR362:HY362" si="3877">IF($F$290, 0, IF($F$301, IF(AND(COLUMN($HR$362)-COLUMN($GL$359)=$Q$291,ROW($HR$362)-ROW($GL$359)=$K$291), U$290, HR362), HR362))</f>
        <v>0</v>
      </c>
      <c r="HS362" s="21">
        <f t="shared" si="3877"/>
        <v>0</v>
      </c>
      <c r="HT362" s="21">
        <f t="shared" si="3877"/>
        <v>0</v>
      </c>
      <c r="HU362" s="21">
        <f t="shared" si="3877"/>
        <v>0</v>
      </c>
      <c r="HV362" s="21">
        <f t="shared" si="3877"/>
        <v>0</v>
      </c>
      <c r="HW362" s="21">
        <f t="shared" si="3877"/>
        <v>0</v>
      </c>
      <c r="HX362" s="21">
        <f t="shared" si="3877"/>
        <v>0</v>
      </c>
      <c r="HY362" s="21">
        <f t="shared" si="3877"/>
        <v>0</v>
      </c>
      <c r="HZ362" s="21">
        <f t="shared" ref="HZ362:IG362" si="3878">IF($F$290, 0, IF($F$301, IF(AND(COLUMN($HZ$362)-COLUMN($GL$359)=$Q$291,ROW($HZ$362)-ROW($GL$359)=$K$291), U$290, HZ362), HZ362))</f>
        <v>0</v>
      </c>
      <c r="IA362" s="21">
        <f t="shared" si="3878"/>
        <v>0</v>
      </c>
      <c r="IB362" s="21">
        <f t="shared" si="3878"/>
        <v>0</v>
      </c>
      <c r="IC362" s="21">
        <f t="shared" si="3878"/>
        <v>0</v>
      </c>
      <c r="ID362" s="21">
        <f t="shared" si="3878"/>
        <v>0</v>
      </c>
      <c r="IE362" s="21">
        <f t="shared" si="3878"/>
        <v>0</v>
      </c>
      <c r="IF362" s="21">
        <f t="shared" si="3878"/>
        <v>0</v>
      </c>
      <c r="IG362" s="21">
        <f t="shared" si="3878"/>
        <v>0</v>
      </c>
      <c r="IH362" s="21">
        <f t="shared" ref="IH362:IO362" si="3879">IF($F$290, 0, IF($F$301, IF(AND(COLUMN($IH$362)-COLUMN($GL$359)=$Q$291,ROW($IH$362)-ROW($GL$359)=$K$291), U$290, IH362), IH362))</f>
        <v>0</v>
      </c>
      <c r="II362" s="21">
        <f t="shared" si="3879"/>
        <v>0</v>
      </c>
      <c r="IJ362" s="21">
        <f t="shared" si="3879"/>
        <v>0</v>
      </c>
      <c r="IK362" s="21">
        <f t="shared" si="3879"/>
        <v>0</v>
      </c>
      <c r="IL362" s="21">
        <f t="shared" si="3879"/>
        <v>0</v>
      </c>
      <c r="IM362" s="21">
        <f t="shared" si="3879"/>
        <v>0</v>
      </c>
      <c r="IN362" s="21">
        <f t="shared" si="3879"/>
        <v>0</v>
      </c>
      <c r="IO362" s="21">
        <f t="shared" si="3879"/>
        <v>0</v>
      </c>
      <c r="IP362" s="21">
        <f t="shared" ref="IP362:IW362" si="3880">IF($F$290, 0, IF($F$301, IF(AND(COLUMN($IP$362)-COLUMN($GL$359)=$Q$291,ROW($IP$362)-ROW($GL$359)=$K$291), U$290, IP362), IP362))</f>
        <v>0</v>
      </c>
      <c r="IQ362" s="21">
        <f t="shared" si="3880"/>
        <v>0</v>
      </c>
      <c r="IR362" s="21">
        <f t="shared" si="3880"/>
        <v>0</v>
      </c>
      <c r="IS362" s="21">
        <f t="shared" si="3880"/>
        <v>0</v>
      </c>
      <c r="IT362" s="21">
        <f t="shared" si="3880"/>
        <v>0</v>
      </c>
      <c r="IU362" s="21">
        <f t="shared" si="3880"/>
        <v>0</v>
      </c>
      <c r="IV362" s="21">
        <f t="shared" si="3880"/>
        <v>0</v>
      </c>
      <c r="IW362" s="21">
        <f t="shared" si="3880"/>
        <v>0</v>
      </c>
      <c r="IX362" s="21">
        <f t="shared" ref="IX362:JE362" si="3881">IF($F$290, 0, IF($G$301, IF(AND(COLUMN($IX$362)-COLUMN($IX$359)=$Q$291,ROW($IX$362)-ROW($IX$359)=$K$291), U$290, IX362), IX362))</f>
        <v>0</v>
      </c>
      <c r="IY362" s="21">
        <f t="shared" si="3881"/>
        <v>0</v>
      </c>
      <c r="IZ362" s="21">
        <f t="shared" si="3881"/>
        <v>0</v>
      </c>
      <c r="JA362" s="21">
        <f t="shared" si="3881"/>
        <v>0</v>
      </c>
      <c r="JB362" s="21">
        <f t="shared" si="3881"/>
        <v>0</v>
      </c>
      <c r="JC362" s="21">
        <f t="shared" si="3881"/>
        <v>0</v>
      </c>
      <c r="JD362" s="21">
        <f t="shared" si="3881"/>
        <v>0</v>
      </c>
      <c r="JE362" s="21">
        <f t="shared" si="3881"/>
        <v>0</v>
      </c>
      <c r="JF362" s="21">
        <f t="shared" ref="JF362:JM362" si="3882">IF($F$290, 0, IF($G$301, IF(AND(COLUMN($JF$362)-COLUMN($IX$359)=$Q$291,ROW($JF$362)-ROW($IX$359)=$K$291), U$290, JF362), JF362))</f>
        <v>0</v>
      </c>
      <c r="JG362" s="21">
        <f t="shared" si="3882"/>
        <v>0</v>
      </c>
      <c r="JH362" s="21">
        <f t="shared" si="3882"/>
        <v>0</v>
      </c>
      <c r="JI362" s="21">
        <f t="shared" si="3882"/>
        <v>0</v>
      </c>
      <c r="JJ362" s="21">
        <f t="shared" si="3882"/>
        <v>0</v>
      </c>
      <c r="JK362" s="21">
        <f t="shared" si="3882"/>
        <v>0</v>
      </c>
      <c r="JL362" s="21">
        <f t="shared" si="3882"/>
        <v>0</v>
      </c>
      <c r="JM362" s="21">
        <f t="shared" si="3882"/>
        <v>0</v>
      </c>
      <c r="JN362" s="21">
        <f t="shared" ref="JN362:JU362" si="3883">IF($F$290, 0, IF($G$301, IF(AND(COLUMN($JN$362)-COLUMN($IX$359)=$Q$291,ROW($JN$362)-ROW($IX$359)=$K$291), U$290, JN362), JN362))</f>
        <v>0</v>
      </c>
      <c r="JO362" s="21">
        <f t="shared" si="3883"/>
        <v>0</v>
      </c>
      <c r="JP362" s="21">
        <f t="shared" si="3883"/>
        <v>0</v>
      </c>
      <c r="JQ362" s="21">
        <f t="shared" si="3883"/>
        <v>0</v>
      </c>
      <c r="JR362" s="21">
        <f t="shared" si="3883"/>
        <v>0</v>
      </c>
      <c r="JS362" s="21">
        <f t="shared" si="3883"/>
        <v>0</v>
      </c>
      <c r="JT362" s="21">
        <f t="shared" si="3883"/>
        <v>0</v>
      </c>
      <c r="JU362" s="21">
        <f t="shared" si="3883"/>
        <v>0</v>
      </c>
      <c r="JV362" s="21">
        <f t="shared" ref="JV362:KC362" si="3884">IF($F$290, 0, IF($G$301, IF(AND(COLUMN($JV$362)-COLUMN($IX$359)=$Q$291,ROW($JV$362)-ROW($IX$359)=$K$291), U$290, JV362), JV362))</f>
        <v>0</v>
      </c>
      <c r="JW362" s="21">
        <f t="shared" si="3884"/>
        <v>0</v>
      </c>
      <c r="JX362" s="21">
        <f t="shared" si="3884"/>
        <v>0</v>
      </c>
      <c r="JY362" s="21">
        <f t="shared" si="3884"/>
        <v>0</v>
      </c>
      <c r="JZ362" s="21">
        <f t="shared" si="3884"/>
        <v>0</v>
      </c>
      <c r="KA362" s="21">
        <f t="shared" si="3884"/>
        <v>0</v>
      </c>
      <c r="KB362" s="21">
        <f t="shared" si="3884"/>
        <v>0</v>
      </c>
      <c r="KC362" s="21">
        <f t="shared" si="3884"/>
        <v>0</v>
      </c>
      <c r="KD362" s="21">
        <f t="shared" ref="KD362:KK362" si="3885">IF($F$290, 0, IF($G$301, IF(AND(COLUMN($KD$362)-COLUMN($IX$359)=$Q$291,ROW($KD$362)-ROW($IX$359)=$K$291), U$290, KD362), KD362))</f>
        <v>0</v>
      </c>
      <c r="KE362" s="21">
        <f t="shared" si="3885"/>
        <v>0</v>
      </c>
      <c r="KF362" s="21">
        <f t="shared" si="3885"/>
        <v>0</v>
      </c>
      <c r="KG362" s="21">
        <f t="shared" si="3885"/>
        <v>0</v>
      </c>
      <c r="KH362" s="21">
        <f t="shared" si="3885"/>
        <v>0</v>
      </c>
      <c r="KI362" s="21">
        <f t="shared" si="3885"/>
        <v>0</v>
      </c>
      <c r="KJ362" s="21">
        <f t="shared" si="3885"/>
        <v>0</v>
      </c>
      <c r="KK362" s="21">
        <f t="shared" si="3885"/>
        <v>0</v>
      </c>
      <c r="KL362" s="21">
        <f t="shared" ref="KL362:KS362" si="3886">IF($F$290, 0, IF($G$301, IF(AND(COLUMN($KL$362)-COLUMN($IX$359)=$Q$291,ROW($KL$362)-ROW($IX$359)=$K$291), U$290, KL362), KL362))</f>
        <v>0</v>
      </c>
      <c r="KM362" s="21">
        <f t="shared" si="3886"/>
        <v>0</v>
      </c>
      <c r="KN362" s="21">
        <f t="shared" si="3886"/>
        <v>0</v>
      </c>
      <c r="KO362" s="21">
        <f t="shared" si="3886"/>
        <v>0</v>
      </c>
      <c r="KP362" s="21">
        <f t="shared" si="3886"/>
        <v>0</v>
      </c>
      <c r="KQ362" s="21">
        <f t="shared" si="3886"/>
        <v>0</v>
      </c>
      <c r="KR362" s="21">
        <f t="shared" si="3886"/>
        <v>0</v>
      </c>
      <c r="KS362" s="21">
        <f t="shared" si="3886"/>
        <v>0</v>
      </c>
      <c r="KT362" s="21">
        <f t="shared" ref="KT362:LA362" si="3887">IF($F$290, 0, IF($G$301, IF(AND(COLUMN($KT$362)-COLUMN($IX$359)=$Q$291,ROW($KT$362)-ROW($IX$359)=$K$291), U$290, KT362), KT362))</f>
        <v>0</v>
      </c>
      <c r="KU362" s="21">
        <f t="shared" si="3887"/>
        <v>0</v>
      </c>
      <c r="KV362" s="21">
        <f t="shared" si="3887"/>
        <v>0</v>
      </c>
      <c r="KW362" s="21">
        <f t="shared" si="3887"/>
        <v>0</v>
      </c>
      <c r="KX362" s="21">
        <f t="shared" si="3887"/>
        <v>0</v>
      </c>
      <c r="KY362" s="21">
        <f t="shared" si="3887"/>
        <v>0</v>
      </c>
      <c r="KZ362" s="21">
        <f t="shared" si="3887"/>
        <v>0</v>
      </c>
      <c r="LA362" s="21">
        <f t="shared" si="3887"/>
        <v>0</v>
      </c>
      <c r="LB362" s="21">
        <f t="shared" ref="LB362:LI362" si="3888">IF($F$290, 0, IF($G$301, IF(AND(COLUMN($LB$362)-COLUMN($IX$359)=$Q$291,ROW($LB$362)-ROW($IX$359)=$K$291), U$290, LB362), LB362))</f>
        <v>0</v>
      </c>
      <c r="LC362" s="21">
        <f t="shared" si="3888"/>
        <v>0</v>
      </c>
      <c r="LD362" s="21">
        <f t="shared" si="3888"/>
        <v>0</v>
      </c>
      <c r="LE362" s="21">
        <f t="shared" si="3888"/>
        <v>0</v>
      </c>
      <c r="LF362" s="21">
        <f t="shared" si="3888"/>
        <v>0</v>
      </c>
      <c r="LG362" s="21">
        <f t="shared" si="3888"/>
        <v>0</v>
      </c>
      <c r="LH362" s="21">
        <f t="shared" si="3888"/>
        <v>0</v>
      </c>
      <c r="LI362" s="21">
        <f t="shared" si="3888"/>
        <v>0</v>
      </c>
      <c r="LJ362" s="21">
        <f t="shared" ref="LJ362:LQ362" si="3889">IF($F$290, 0, IF($H$301, IF(AND(COLUMN($LJ$362)-COLUMN($LJ$359)=$Q$291,ROW($LJ$362)-ROW($LJ$359)=$K$291), U$290, LJ362), LJ362))</f>
        <v>0</v>
      </c>
      <c r="LK362" s="21">
        <f t="shared" si="3889"/>
        <v>0</v>
      </c>
      <c r="LL362" s="21">
        <f t="shared" si="3889"/>
        <v>0</v>
      </c>
      <c r="LM362" s="21">
        <f t="shared" si="3889"/>
        <v>0</v>
      </c>
      <c r="LN362" s="21">
        <f t="shared" si="3889"/>
        <v>0</v>
      </c>
      <c r="LO362" s="21">
        <f t="shared" si="3889"/>
        <v>0</v>
      </c>
      <c r="LP362" s="21">
        <f t="shared" si="3889"/>
        <v>0</v>
      </c>
      <c r="LQ362" s="21">
        <f t="shared" si="3889"/>
        <v>0</v>
      </c>
      <c r="LR362" s="21">
        <f t="shared" ref="LR362:LY362" si="3890">IF($F$290, 0, IF($H$301, IF(AND(COLUMN($LR$362)-COLUMN($LJ$359)=$Q$291,ROW($LR$362)-ROW($LJ$359)=$K$291), U$290, LR362), LR362))</f>
        <v>0</v>
      </c>
      <c r="LS362" s="21">
        <f t="shared" si="3890"/>
        <v>0</v>
      </c>
      <c r="LT362" s="21">
        <f t="shared" si="3890"/>
        <v>0</v>
      </c>
      <c r="LU362" s="21">
        <f t="shared" si="3890"/>
        <v>0</v>
      </c>
      <c r="LV362" s="21">
        <f t="shared" si="3890"/>
        <v>0</v>
      </c>
      <c r="LW362" s="21">
        <f t="shared" si="3890"/>
        <v>0</v>
      </c>
      <c r="LX362" s="21">
        <f t="shared" si="3890"/>
        <v>0</v>
      </c>
      <c r="LY362" s="21">
        <f t="shared" si="3890"/>
        <v>0</v>
      </c>
      <c r="LZ362" s="21">
        <f t="shared" ref="LZ362:MG362" si="3891">IF($F$290, 0, IF($H$301, IF(AND(COLUMN($LZ$362)-COLUMN($LJ$359)=$Q$291,ROW($LZ$362)-ROW($LJ$359)=$K$291), U$290, LZ362), LZ362))</f>
        <v>0</v>
      </c>
      <c r="MA362" s="21">
        <f t="shared" si="3891"/>
        <v>0</v>
      </c>
      <c r="MB362" s="21">
        <f t="shared" si="3891"/>
        <v>0</v>
      </c>
      <c r="MC362" s="21">
        <f t="shared" si="3891"/>
        <v>0</v>
      </c>
      <c r="MD362" s="21">
        <f t="shared" si="3891"/>
        <v>0</v>
      </c>
      <c r="ME362" s="21">
        <f t="shared" si="3891"/>
        <v>0</v>
      </c>
      <c r="MF362" s="21">
        <f t="shared" si="3891"/>
        <v>0</v>
      </c>
      <c r="MG362" s="21">
        <f t="shared" si="3891"/>
        <v>0</v>
      </c>
      <c r="MH362" s="21">
        <f t="shared" ref="MH362:MO362" si="3892">IF($F$290, 0, IF($H$301, IF(AND(COLUMN($MH$362)-COLUMN($LJ$359)=$Q$291,ROW($MH$362)-ROW($LJ$359)=$K$291), U$290, MH362), MH362))</f>
        <v>0</v>
      </c>
      <c r="MI362" s="21">
        <f t="shared" si="3892"/>
        <v>0</v>
      </c>
      <c r="MJ362" s="21">
        <f t="shared" si="3892"/>
        <v>0</v>
      </c>
      <c r="MK362" s="21">
        <f t="shared" si="3892"/>
        <v>0</v>
      </c>
      <c r="ML362" s="21">
        <f t="shared" si="3892"/>
        <v>0</v>
      </c>
      <c r="MM362" s="21">
        <f t="shared" si="3892"/>
        <v>0</v>
      </c>
      <c r="MN362" s="21">
        <f t="shared" si="3892"/>
        <v>0</v>
      </c>
      <c r="MO362" s="21">
        <f t="shared" si="3892"/>
        <v>0</v>
      </c>
      <c r="MP362" s="21">
        <f t="shared" ref="MP362:MW362" si="3893">IF($F$290, 0, IF($H$301, IF(AND(COLUMN($MP$362)-COLUMN($LJ$359)=$Q$291,ROW($MP$362)-ROW($LJ$359)=$K$291), U$290, MP362), MP362))</f>
        <v>0</v>
      </c>
      <c r="MQ362" s="21">
        <f t="shared" si="3893"/>
        <v>0</v>
      </c>
      <c r="MR362" s="21">
        <f t="shared" si="3893"/>
        <v>0</v>
      </c>
      <c r="MS362" s="21">
        <f t="shared" si="3893"/>
        <v>0</v>
      </c>
      <c r="MT362" s="21">
        <f t="shared" si="3893"/>
        <v>0</v>
      </c>
      <c r="MU362" s="21">
        <f t="shared" si="3893"/>
        <v>0</v>
      </c>
      <c r="MV362" s="21">
        <f t="shared" si="3893"/>
        <v>0</v>
      </c>
      <c r="MW362" s="21">
        <f t="shared" si="3893"/>
        <v>0</v>
      </c>
      <c r="MX362" s="21">
        <f t="shared" ref="MX362:NE362" si="3894">IF($F$290, 0, IF($H$301, IF(AND(COLUMN($MX$362)-COLUMN($LJ$359)=$Q$291,ROW($MX$362)-ROW($LJ$359)=$K$291), U$290, MX362), MX362))</f>
        <v>0</v>
      </c>
      <c r="MY362" s="21">
        <f t="shared" si="3894"/>
        <v>0</v>
      </c>
      <c r="MZ362" s="21">
        <f t="shared" si="3894"/>
        <v>0</v>
      </c>
      <c r="NA362" s="21">
        <f t="shared" si="3894"/>
        <v>0</v>
      </c>
      <c r="NB362" s="21">
        <f t="shared" si="3894"/>
        <v>0</v>
      </c>
      <c r="NC362" s="21">
        <f t="shared" si="3894"/>
        <v>0</v>
      </c>
      <c r="ND362" s="21">
        <f t="shared" si="3894"/>
        <v>0</v>
      </c>
      <c r="NE362" s="21">
        <f t="shared" si="3894"/>
        <v>0</v>
      </c>
      <c r="NF362" s="21">
        <f t="shared" ref="NF362:NM362" si="3895">IF($F$290, 0, IF($H$301, IF(AND(COLUMN($NF$362)-COLUMN($LJ$359)=$Q$291,ROW($NF$362)-ROW($LJ$359)=$K$291), U$290, NF362), NF362))</f>
        <v>0</v>
      </c>
      <c r="NG362" s="21">
        <f t="shared" si="3895"/>
        <v>0</v>
      </c>
      <c r="NH362" s="21">
        <f t="shared" si="3895"/>
        <v>0</v>
      </c>
      <c r="NI362" s="21">
        <f t="shared" si="3895"/>
        <v>0</v>
      </c>
      <c r="NJ362" s="21">
        <f t="shared" si="3895"/>
        <v>0</v>
      </c>
      <c r="NK362" s="21">
        <f t="shared" si="3895"/>
        <v>0</v>
      </c>
      <c r="NL362" s="21">
        <f t="shared" si="3895"/>
        <v>0</v>
      </c>
      <c r="NM362" s="21">
        <f t="shared" si="3895"/>
        <v>0</v>
      </c>
      <c r="NN362" s="21">
        <f t="shared" ref="NN362:NU362" si="3896">IF($F$290, 0, IF($H$301, IF(AND(COLUMN($NN$362)-COLUMN($LJ$359)=$Q$291,ROW($NN$362)-ROW($LJ$359)=$K$291), U$290, NN362), NN362))</f>
        <v>0</v>
      </c>
      <c r="NO362" s="21">
        <f t="shared" si="3896"/>
        <v>0</v>
      </c>
      <c r="NP362" s="21">
        <f t="shared" si="3896"/>
        <v>0</v>
      </c>
      <c r="NQ362" s="21">
        <f t="shared" si="3896"/>
        <v>0</v>
      </c>
      <c r="NR362" s="21">
        <f t="shared" si="3896"/>
        <v>0</v>
      </c>
      <c r="NS362" s="21">
        <f t="shared" si="3896"/>
        <v>0</v>
      </c>
      <c r="NT362" s="21">
        <f t="shared" si="3896"/>
        <v>0</v>
      </c>
      <c r="NU362" s="21">
        <f t="shared" si="3896"/>
        <v>0</v>
      </c>
      <c r="NV362" s="21">
        <f t="shared" ref="NV362:OC362" si="3897">IF($F$290, 0, IF($I$301, IF(AND(COLUMN($NV$362)-COLUMN($NV$359)=$Q$291,ROW($NV$362)-ROW($NV$359)=$K$291), U$290, NV362), NV362))</f>
        <v>0</v>
      </c>
      <c r="NW362" s="21">
        <f t="shared" si="3897"/>
        <v>0</v>
      </c>
      <c r="NX362" s="21">
        <f t="shared" si="3897"/>
        <v>0</v>
      </c>
      <c r="NY362" s="21">
        <f t="shared" si="3897"/>
        <v>0</v>
      </c>
      <c r="NZ362" s="21">
        <f t="shared" si="3897"/>
        <v>0</v>
      </c>
      <c r="OA362" s="21">
        <f t="shared" si="3897"/>
        <v>0</v>
      </c>
      <c r="OB362" s="21">
        <f t="shared" si="3897"/>
        <v>0</v>
      </c>
      <c r="OC362" s="21">
        <f t="shared" si="3897"/>
        <v>0</v>
      </c>
      <c r="OD362" s="21">
        <f t="shared" ref="OD362:OK362" si="3898">IF($F$290, 0, IF($I$301, IF(AND(COLUMN($OD$362)-COLUMN($NV$359)=$Q$291,ROW($OD$362)-ROW($NV$359)=$K$291), U$290, OD362), OD362))</f>
        <v>0</v>
      </c>
      <c r="OE362" s="21">
        <f t="shared" si="3898"/>
        <v>0</v>
      </c>
      <c r="OF362" s="21">
        <f t="shared" si="3898"/>
        <v>0</v>
      </c>
      <c r="OG362" s="21">
        <f t="shared" si="3898"/>
        <v>0</v>
      </c>
      <c r="OH362" s="21">
        <f t="shared" si="3898"/>
        <v>0</v>
      </c>
      <c r="OI362" s="21">
        <f t="shared" si="3898"/>
        <v>0</v>
      </c>
      <c r="OJ362" s="21">
        <f t="shared" si="3898"/>
        <v>0</v>
      </c>
      <c r="OK362" s="21">
        <f t="shared" si="3898"/>
        <v>0</v>
      </c>
      <c r="OL362" s="21">
        <f t="shared" ref="OL362:OS362" si="3899">IF($F$290, 0, IF($I$301, IF(AND(COLUMN($OL$362)-COLUMN($NV$359)=$Q$291,ROW($OL$362)-ROW($NV$359)=$K$291), U$290, OL362), OL362))</f>
        <v>0</v>
      </c>
      <c r="OM362" s="21">
        <f t="shared" si="3899"/>
        <v>0</v>
      </c>
      <c r="ON362" s="21">
        <f t="shared" si="3899"/>
        <v>0</v>
      </c>
      <c r="OO362" s="21">
        <f t="shared" si="3899"/>
        <v>0</v>
      </c>
      <c r="OP362" s="21">
        <f t="shared" si="3899"/>
        <v>0</v>
      </c>
      <c r="OQ362" s="21">
        <f t="shared" si="3899"/>
        <v>0</v>
      </c>
      <c r="OR362" s="21">
        <f t="shared" si="3899"/>
        <v>0</v>
      </c>
      <c r="OS362" s="21">
        <f t="shared" si="3899"/>
        <v>0</v>
      </c>
      <c r="OT362" s="21">
        <f t="shared" ref="OT362:PA362" si="3900">IF($F$290, 0, IF($I$301, IF(AND(COLUMN($OT$362)-COLUMN($NV$359)=$Q$291,ROW($OT$362)-ROW($NV$359)=$K$291), U$290, OT362), OT362))</f>
        <v>0</v>
      </c>
      <c r="OU362" s="21">
        <f t="shared" si="3900"/>
        <v>0</v>
      </c>
      <c r="OV362" s="21">
        <f t="shared" si="3900"/>
        <v>0</v>
      </c>
      <c r="OW362" s="21">
        <f t="shared" si="3900"/>
        <v>0</v>
      </c>
      <c r="OX362" s="21">
        <f t="shared" si="3900"/>
        <v>0</v>
      </c>
      <c r="OY362" s="21">
        <f t="shared" si="3900"/>
        <v>0</v>
      </c>
      <c r="OZ362" s="21">
        <f t="shared" si="3900"/>
        <v>0</v>
      </c>
      <c r="PA362" s="21">
        <f t="shared" si="3900"/>
        <v>0</v>
      </c>
      <c r="PB362" s="21">
        <f t="shared" ref="PB362:PI362" si="3901">IF($F$290, 0, IF($I$301, IF(AND(COLUMN($PB$362)-COLUMN($NV$359)=$Q$291,ROW($PB$362)-ROW($NV$359)=$K$291), U$290, PB362), PB362))</f>
        <v>0</v>
      </c>
      <c r="PC362" s="21">
        <f t="shared" si="3901"/>
        <v>0</v>
      </c>
      <c r="PD362" s="21">
        <f t="shared" si="3901"/>
        <v>0</v>
      </c>
      <c r="PE362" s="21">
        <f t="shared" si="3901"/>
        <v>0</v>
      </c>
      <c r="PF362" s="21">
        <f t="shared" si="3901"/>
        <v>0</v>
      </c>
      <c r="PG362" s="21">
        <f t="shared" si="3901"/>
        <v>0</v>
      </c>
      <c r="PH362" s="21">
        <f t="shared" si="3901"/>
        <v>0</v>
      </c>
      <c r="PI362" s="21">
        <f t="shared" si="3901"/>
        <v>0</v>
      </c>
      <c r="PJ362" s="21">
        <f t="shared" ref="PJ362:PQ362" si="3902">IF($F$290, 0, IF($I$301, IF(AND(COLUMN($PJ$362)-COLUMN($NV$359)=$Q$291,ROW($PJ$362)-ROW($NV$359)=$K$291), U$290, PJ362), PJ362))</f>
        <v>0</v>
      </c>
      <c r="PK362" s="21">
        <f t="shared" si="3902"/>
        <v>0</v>
      </c>
      <c r="PL362" s="21">
        <f t="shared" si="3902"/>
        <v>0</v>
      </c>
      <c r="PM362" s="21">
        <f t="shared" si="3902"/>
        <v>0</v>
      </c>
      <c r="PN362" s="21">
        <f t="shared" si="3902"/>
        <v>0</v>
      </c>
      <c r="PO362" s="21">
        <f t="shared" si="3902"/>
        <v>0</v>
      </c>
      <c r="PP362" s="21">
        <f t="shared" si="3902"/>
        <v>0</v>
      </c>
      <c r="PQ362" s="21">
        <f t="shared" si="3902"/>
        <v>0</v>
      </c>
      <c r="PR362" s="21">
        <f t="shared" ref="PR362:PY362" si="3903">IF($F$290, 0, IF($I$301, IF(AND(COLUMN($PR$362)-COLUMN($NV$359)=$Q$291,ROW($PR$362)-ROW($NV$359)=$K$291), U$290, PR362), PR362))</f>
        <v>0</v>
      </c>
      <c r="PS362" s="21">
        <f t="shared" si="3903"/>
        <v>0</v>
      </c>
      <c r="PT362" s="21">
        <f t="shared" si="3903"/>
        <v>0</v>
      </c>
      <c r="PU362" s="21">
        <f t="shared" si="3903"/>
        <v>0</v>
      </c>
      <c r="PV362" s="21">
        <f t="shared" si="3903"/>
        <v>0</v>
      </c>
      <c r="PW362" s="21">
        <f t="shared" si="3903"/>
        <v>0</v>
      </c>
      <c r="PX362" s="21">
        <f t="shared" si="3903"/>
        <v>0</v>
      </c>
      <c r="PY362" s="21">
        <f t="shared" si="3903"/>
        <v>0</v>
      </c>
      <c r="PZ362" s="21">
        <f t="shared" ref="PZ362:QG362" si="3904">IF($F$290, 0, IF($I$301, IF(AND(COLUMN($PZ$362)-COLUMN($NV$359)=$Q$291,ROW($PZ$362)-ROW($NV$359)=$K$291), U$290, PZ362), PZ362))</f>
        <v>0</v>
      </c>
      <c r="QA362" s="21">
        <f t="shared" si="3904"/>
        <v>0</v>
      </c>
      <c r="QB362" s="21">
        <f t="shared" si="3904"/>
        <v>0</v>
      </c>
      <c r="QC362" s="21">
        <f t="shared" si="3904"/>
        <v>0</v>
      </c>
      <c r="QD362" s="21">
        <f t="shared" si="3904"/>
        <v>0</v>
      </c>
      <c r="QE362" s="21">
        <f t="shared" si="3904"/>
        <v>0</v>
      </c>
      <c r="QF362" s="21">
        <f t="shared" si="3904"/>
        <v>0</v>
      </c>
      <c r="QG362" s="21">
        <f t="shared" si="3904"/>
        <v>0</v>
      </c>
      <c r="QH362" s="21">
        <f t="shared" ref="QH362:QO362" si="3905">IF($F$290, 0, IF($J$301, IF(AND(COLUMN($QH$362)-COLUMN($QH$359)=$Q$291,ROW($QH$362)-ROW($QH$359)=$K$291), U$290, QH362), QH362))</f>
        <v>0</v>
      </c>
      <c r="QI362" s="21">
        <f t="shared" si="3905"/>
        <v>0</v>
      </c>
      <c r="QJ362" s="21">
        <f t="shared" si="3905"/>
        <v>0</v>
      </c>
      <c r="QK362" s="21">
        <f t="shared" si="3905"/>
        <v>0</v>
      </c>
      <c r="QL362" s="21">
        <f t="shared" si="3905"/>
        <v>0</v>
      </c>
      <c r="QM362" s="21">
        <f t="shared" si="3905"/>
        <v>0</v>
      </c>
      <c r="QN362" s="21">
        <f t="shared" si="3905"/>
        <v>0</v>
      </c>
      <c r="QO362" s="21">
        <f t="shared" si="3905"/>
        <v>0</v>
      </c>
      <c r="QP362" s="21">
        <f t="shared" ref="QP362:QW362" si="3906">IF($F$290, 0, IF($J$301, IF(AND(COLUMN($QP$362)-COLUMN($QH$359)=$Q$291,ROW($QP$362)-ROW($QH$359)=$K$291), U$290, QP362), QP362))</f>
        <v>0</v>
      </c>
      <c r="QQ362" s="21">
        <f t="shared" si="3906"/>
        <v>0</v>
      </c>
      <c r="QR362" s="21">
        <f t="shared" si="3906"/>
        <v>0</v>
      </c>
      <c r="QS362" s="21">
        <f t="shared" si="3906"/>
        <v>0</v>
      </c>
      <c r="QT362" s="21">
        <f t="shared" si="3906"/>
        <v>0</v>
      </c>
      <c r="QU362" s="21">
        <f t="shared" si="3906"/>
        <v>0</v>
      </c>
      <c r="QV362" s="21">
        <f t="shared" si="3906"/>
        <v>0</v>
      </c>
      <c r="QW362" s="21">
        <f t="shared" si="3906"/>
        <v>0</v>
      </c>
      <c r="QX362" s="21">
        <f t="shared" ref="QX362:RE362" si="3907">IF($F$290, 0, IF($J$301, IF(AND(COLUMN($QX$362)-COLUMN($QH$359)=$Q$291,ROW($QX$362)-ROW($QH$359)=$K$291), U$290, QX362), QX362))</f>
        <v>0</v>
      </c>
      <c r="QY362" s="21">
        <f t="shared" si="3907"/>
        <v>0</v>
      </c>
      <c r="QZ362" s="21">
        <f t="shared" si="3907"/>
        <v>0</v>
      </c>
      <c r="RA362" s="21">
        <f t="shared" si="3907"/>
        <v>0</v>
      </c>
      <c r="RB362" s="21">
        <f t="shared" si="3907"/>
        <v>0</v>
      </c>
      <c r="RC362" s="21">
        <f t="shared" si="3907"/>
        <v>0</v>
      </c>
      <c r="RD362" s="21">
        <f t="shared" si="3907"/>
        <v>0</v>
      </c>
      <c r="RE362" s="21">
        <f t="shared" si="3907"/>
        <v>0</v>
      </c>
      <c r="RF362" s="21">
        <f t="shared" ref="RF362:RM362" si="3908">IF($F$290, 0, IF($J$301, IF(AND(COLUMN($RF$362)-COLUMN($QH$359)=$Q$291,ROW($RF$362)-ROW($QH$359)=$K$291), U$290, RF362), RF362))</f>
        <v>0</v>
      </c>
      <c r="RG362" s="21">
        <f t="shared" si="3908"/>
        <v>0</v>
      </c>
      <c r="RH362" s="21">
        <f t="shared" si="3908"/>
        <v>0</v>
      </c>
      <c r="RI362" s="21">
        <f t="shared" si="3908"/>
        <v>0</v>
      </c>
      <c r="RJ362" s="21">
        <f t="shared" si="3908"/>
        <v>0</v>
      </c>
      <c r="RK362" s="21">
        <f t="shared" si="3908"/>
        <v>0</v>
      </c>
      <c r="RL362" s="21">
        <f t="shared" si="3908"/>
        <v>0</v>
      </c>
      <c r="RM362" s="21">
        <f t="shared" si="3908"/>
        <v>0</v>
      </c>
      <c r="RN362" s="21">
        <f t="shared" ref="RN362:RU362" si="3909">IF($F$290, 0, IF($J$301, IF(AND(COLUMN($RN$362)-COLUMN($QH$359)=$Q$291,ROW($RN$362)-ROW($QH$359)=$K$291), U$290, RN362), RN362))</f>
        <v>0</v>
      </c>
      <c r="RO362" s="21">
        <f t="shared" si="3909"/>
        <v>0</v>
      </c>
      <c r="RP362" s="21">
        <f t="shared" si="3909"/>
        <v>0</v>
      </c>
      <c r="RQ362" s="21">
        <f t="shared" si="3909"/>
        <v>0</v>
      </c>
      <c r="RR362" s="21">
        <f t="shared" si="3909"/>
        <v>0</v>
      </c>
      <c r="RS362" s="21">
        <f t="shared" si="3909"/>
        <v>0</v>
      </c>
      <c r="RT362" s="21">
        <f t="shared" si="3909"/>
        <v>0</v>
      </c>
      <c r="RU362" s="21">
        <f t="shared" si="3909"/>
        <v>0</v>
      </c>
      <c r="RV362" s="21">
        <f t="shared" ref="RV362:SC362" si="3910">IF($F$290, 0, IF($J$301, IF(AND(COLUMN($RV$362)-COLUMN($QH$359)=$Q$291,ROW($RV$362)-ROW($QH$359)=$K$291), U$290, RV362), RV362))</f>
        <v>0</v>
      </c>
      <c r="RW362" s="21">
        <f t="shared" si="3910"/>
        <v>0</v>
      </c>
      <c r="RX362" s="21">
        <f t="shared" si="3910"/>
        <v>0</v>
      </c>
      <c r="RY362" s="21">
        <f t="shared" si="3910"/>
        <v>0</v>
      </c>
      <c r="RZ362" s="21">
        <f t="shared" si="3910"/>
        <v>0</v>
      </c>
      <c r="SA362" s="21">
        <f t="shared" si="3910"/>
        <v>0</v>
      </c>
      <c r="SB362" s="21">
        <f t="shared" si="3910"/>
        <v>0</v>
      </c>
      <c r="SC362" s="21">
        <f t="shared" si="3910"/>
        <v>0</v>
      </c>
      <c r="SD362" s="21">
        <f t="shared" ref="SD362:SK362" si="3911">IF($F$290, 0, IF($J$301, IF(AND(COLUMN($SD$362)-COLUMN($QH$359)=$Q$291,ROW($SD$362)-ROW($QH$359)=$K$291), U$290, SD362), SD362))</f>
        <v>0</v>
      </c>
      <c r="SE362" s="21">
        <f t="shared" si="3911"/>
        <v>0</v>
      </c>
      <c r="SF362" s="21">
        <f t="shared" si="3911"/>
        <v>0</v>
      </c>
      <c r="SG362" s="21">
        <f t="shared" si="3911"/>
        <v>0</v>
      </c>
      <c r="SH362" s="21">
        <f t="shared" si="3911"/>
        <v>0</v>
      </c>
      <c r="SI362" s="21">
        <f t="shared" si="3911"/>
        <v>0</v>
      </c>
      <c r="SJ362" s="21">
        <f t="shared" si="3911"/>
        <v>0</v>
      </c>
      <c r="SK362" s="21">
        <f t="shared" si="3911"/>
        <v>0</v>
      </c>
      <c r="SL362" s="21">
        <f t="shared" ref="SL362:SS362" si="3912">IF($F$290, 0, IF($J$301, IF(AND(COLUMN($SL$362)-COLUMN($QH$359)=$Q$291,ROW($SL$362)-ROW($QH$359)=$K$291), U$290, SL362), SL362))</f>
        <v>0</v>
      </c>
      <c r="SM362" s="21">
        <f t="shared" si="3912"/>
        <v>0</v>
      </c>
      <c r="SN362" s="21">
        <f t="shared" si="3912"/>
        <v>0</v>
      </c>
      <c r="SO362" s="21">
        <f t="shared" si="3912"/>
        <v>0</v>
      </c>
      <c r="SP362" s="21">
        <f t="shared" si="3912"/>
        <v>0</v>
      </c>
      <c r="SQ362" s="21">
        <f t="shared" si="3912"/>
        <v>0</v>
      </c>
      <c r="SR362" s="21">
        <f t="shared" si="3912"/>
        <v>0</v>
      </c>
      <c r="SS362" s="21">
        <f t="shared" si="3912"/>
        <v>0</v>
      </c>
    </row>
    <row r="363" spans="2:513" ht="15" customHeight="1" x14ac:dyDescent="0.25">
      <c r="B363" s="21">
        <f t="shared" ref="B363:I363" si="3913">IF($F$290, 0, IF($C$301, IF(AND(COLUMN($B$363)-COLUMN($B$359)=$Q$291,ROW($B$363)-ROW($B$359)=$K$291), U$290, B363), B363))</f>
        <v>0</v>
      </c>
      <c r="C363" s="21">
        <f t="shared" si="3913"/>
        <v>0</v>
      </c>
      <c r="D363" s="21">
        <f t="shared" si="3913"/>
        <v>0</v>
      </c>
      <c r="E363" s="21">
        <f t="shared" si="3913"/>
        <v>0</v>
      </c>
      <c r="F363" s="21">
        <f t="shared" si="3913"/>
        <v>0</v>
      </c>
      <c r="G363" s="21">
        <f t="shared" si="3913"/>
        <v>0</v>
      </c>
      <c r="H363" s="21">
        <f t="shared" si="3913"/>
        <v>0</v>
      </c>
      <c r="I363" s="21">
        <f t="shared" si="3913"/>
        <v>0</v>
      </c>
      <c r="J363" s="21">
        <f t="shared" ref="J363:Q363" si="3914">IF($F$290, 0, IF($C$301, IF(AND(COLUMN($J$363)-COLUMN($B$359)=$Q$291,ROW($J$363)-ROW($B$359)=$K$291), U$290, J363), J363))</f>
        <v>0</v>
      </c>
      <c r="K363" s="21">
        <f t="shared" si="3914"/>
        <v>0</v>
      </c>
      <c r="L363" s="21">
        <f t="shared" si="3914"/>
        <v>0</v>
      </c>
      <c r="M363" s="21">
        <f t="shared" si="3914"/>
        <v>0</v>
      </c>
      <c r="N363" s="21">
        <f t="shared" si="3914"/>
        <v>0</v>
      </c>
      <c r="O363" s="21">
        <f t="shared" si="3914"/>
        <v>0</v>
      </c>
      <c r="P363" s="21">
        <f t="shared" si="3914"/>
        <v>0</v>
      </c>
      <c r="Q363" s="21">
        <f t="shared" si="3914"/>
        <v>0</v>
      </c>
      <c r="R363" s="21">
        <f>IF($F$290, 0, IF($C$301, IF(AND(COLUMN($R$363)-COLUMN($B$359)=$Q$291,ROW($R$363)-ROW($B$359)=$K$291), U$290, R363), R363))</f>
        <v>0</v>
      </c>
      <c r="S363" s="21">
        <f t="shared" ref="S363:Y363" si="3915">IF($F$290, 0, IF($C$301, IF(AND(COLUMN($R$363)-COLUMN($B$359)=$Q$291,ROW($R$363)-ROW($B$359)=$K$291), V$290, S363), S363))</f>
        <v>0</v>
      </c>
      <c r="T363" s="21">
        <f t="shared" si="3915"/>
        <v>0</v>
      </c>
      <c r="U363" s="21">
        <f t="shared" si="3915"/>
        <v>0</v>
      </c>
      <c r="V363" s="21">
        <f t="shared" si="3915"/>
        <v>0</v>
      </c>
      <c r="W363" s="21">
        <f t="shared" si="3915"/>
        <v>0</v>
      </c>
      <c r="X363" s="21">
        <f t="shared" si="3915"/>
        <v>0</v>
      </c>
      <c r="Y363" s="21">
        <f t="shared" si="3915"/>
        <v>0</v>
      </c>
      <c r="Z363" s="21">
        <f t="shared" ref="Z363:AG363" si="3916">IF($F$290, 0, IF($C$301, IF(AND(COLUMN($Z$363)-COLUMN($B$359)=$Q$291,ROW($Z$363)-ROW($B$359)=$K$291), U$290, Z363), Z363))</f>
        <v>0</v>
      </c>
      <c r="AA363" s="21">
        <f t="shared" si="3916"/>
        <v>0</v>
      </c>
      <c r="AB363" s="21">
        <f t="shared" si="3916"/>
        <v>0</v>
      </c>
      <c r="AC363" s="21">
        <f t="shared" si="3916"/>
        <v>0</v>
      </c>
      <c r="AD363" s="21">
        <f t="shared" si="3916"/>
        <v>0</v>
      </c>
      <c r="AE363" s="21">
        <f t="shared" si="3916"/>
        <v>0</v>
      </c>
      <c r="AF363" s="21">
        <f t="shared" si="3916"/>
        <v>0</v>
      </c>
      <c r="AG363" s="21">
        <f t="shared" si="3916"/>
        <v>0</v>
      </c>
      <c r="AH363" s="21">
        <f t="shared" ref="AH363:AO363" si="3917">IF($F$290, 0, IF($C$301, IF(AND(COLUMN($AH$363)-COLUMN($B$359)=$Q$291,ROW($AH$363)-ROW($B$359)=$K$291), U$290, AH363), AH363))</f>
        <v>0</v>
      </c>
      <c r="AI363" s="21">
        <f t="shared" si="3917"/>
        <v>0</v>
      </c>
      <c r="AJ363" s="21">
        <f t="shared" si="3917"/>
        <v>0</v>
      </c>
      <c r="AK363" s="21">
        <f t="shared" si="3917"/>
        <v>0</v>
      </c>
      <c r="AL363" s="21">
        <f t="shared" si="3917"/>
        <v>0</v>
      </c>
      <c r="AM363" s="21">
        <f t="shared" si="3917"/>
        <v>0</v>
      </c>
      <c r="AN363" s="21">
        <f t="shared" si="3917"/>
        <v>0</v>
      </c>
      <c r="AO363" s="21">
        <f t="shared" si="3917"/>
        <v>0</v>
      </c>
      <c r="AP363" s="21">
        <f t="shared" ref="AP363:AW363" si="3918">IF($F$290, 0, IF($C$301, IF(AND(COLUMN($AP$363)-COLUMN($B$359)=$Q$291,ROW($AP$363)-ROW($B$359)=$K$291), U$290, AP363), AP363))</f>
        <v>0</v>
      </c>
      <c r="AQ363" s="21">
        <f t="shared" si="3918"/>
        <v>0</v>
      </c>
      <c r="AR363" s="21">
        <f t="shared" si="3918"/>
        <v>0</v>
      </c>
      <c r="AS363" s="21">
        <f t="shared" si="3918"/>
        <v>0</v>
      </c>
      <c r="AT363" s="21">
        <f t="shared" si="3918"/>
        <v>0</v>
      </c>
      <c r="AU363" s="21">
        <f t="shared" si="3918"/>
        <v>0</v>
      </c>
      <c r="AV363" s="21">
        <f t="shared" si="3918"/>
        <v>0</v>
      </c>
      <c r="AW363" s="21">
        <f t="shared" si="3918"/>
        <v>0</v>
      </c>
      <c r="AX363" s="21">
        <f t="shared" ref="AX363:BE363" si="3919">IF($F$290, 0, IF($C$301, IF(AND(COLUMN($AX$363)-COLUMN($B$359)=$Q$291,ROW($AX$363)-ROW($B$359)=$K$291), U$290, AX363), AX363))</f>
        <v>0</v>
      </c>
      <c r="AY363" s="21">
        <f t="shared" si="3919"/>
        <v>0</v>
      </c>
      <c r="AZ363" s="21">
        <f t="shared" si="3919"/>
        <v>0</v>
      </c>
      <c r="BA363" s="21">
        <f t="shared" si="3919"/>
        <v>0</v>
      </c>
      <c r="BB363" s="21">
        <f t="shared" si="3919"/>
        <v>0</v>
      </c>
      <c r="BC363" s="21">
        <f t="shared" si="3919"/>
        <v>0</v>
      </c>
      <c r="BD363" s="21">
        <f t="shared" si="3919"/>
        <v>0</v>
      </c>
      <c r="BE363" s="21">
        <f t="shared" si="3919"/>
        <v>0</v>
      </c>
      <c r="BF363" s="21">
        <f t="shared" ref="BF363:BM363" si="3920">IF($F$290, 0, IF($C$301, IF(AND(COLUMN($BF$363)-COLUMN($B$359)=$Q$291,ROW($BF$363)-ROW($B$359)=$K$291), U$290, BF363), BF363))</f>
        <v>0</v>
      </c>
      <c r="BG363" s="21">
        <f t="shared" si="3920"/>
        <v>0</v>
      </c>
      <c r="BH363" s="21">
        <f t="shared" si="3920"/>
        <v>0</v>
      </c>
      <c r="BI363" s="21">
        <f t="shared" si="3920"/>
        <v>0</v>
      </c>
      <c r="BJ363" s="21">
        <f t="shared" si="3920"/>
        <v>0</v>
      </c>
      <c r="BK363" s="21">
        <f t="shared" si="3920"/>
        <v>0</v>
      </c>
      <c r="BL363" s="21">
        <f t="shared" si="3920"/>
        <v>0</v>
      </c>
      <c r="BM363" s="21">
        <f t="shared" si="3920"/>
        <v>0</v>
      </c>
      <c r="BN363" s="21">
        <f t="shared" ref="BN363:BU363" si="3921">IF($F$290, 0, IF($D$301, IF(AND(COLUMN($BN$363)-COLUMN($BN$359)=$Q$291,ROW($BN$363)-ROW($BN$359)=$K$291), U$290, BN363), BN363))</f>
        <v>0</v>
      </c>
      <c r="BO363" s="21">
        <f t="shared" si="3921"/>
        <v>0</v>
      </c>
      <c r="BP363" s="21">
        <f t="shared" si="3921"/>
        <v>0</v>
      </c>
      <c r="BQ363" s="21">
        <f t="shared" si="3921"/>
        <v>0</v>
      </c>
      <c r="BR363" s="21">
        <f t="shared" si="3921"/>
        <v>0</v>
      </c>
      <c r="BS363" s="21">
        <f t="shared" si="3921"/>
        <v>0</v>
      </c>
      <c r="BT363" s="21">
        <f t="shared" si="3921"/>
        <v>0</v>
      </c>
      <c r="BU363" s="21">
        <f t="shared" si="3921"/>
        <v>0</v>
      </c>
      <c r="BV363" s="21">
        <f t="shared" ref="BV363:CC363" si="3922">IF($F$290, 0, IF($D$301, IF(AND(COLUMN($BV$363)-COLUMN($BN$359)=$Q$291,ROW($BV$363)-ROW($BN$359)=$K$291), U$290, BV363), BV363))</f>
        <v>0</v>
      </c>
      <c r="BW363" s="21">
        <f t="shared" si="3922"/>
        <v>0</v>
      </c>
      <c r="BX363" s="21">
        <f t="shared" si="3922"/>
        <v>0</v>
      </c>
      <c r="BY363" s="21">
        <f t="shared" si="3922"/>
        <v>0</v>
      </c>
      <c r="BZ363" s="21">
        <f t="shared" si="3922"/>
        <v>0</v>
      </c>
      <c r="CA363" s="21">
        <f t="shared" si="3922"/>
        <v>0</v>
      </c>
      <c r="CB363" s="21">
        <f t="shared" si="3922"/>
        <v>0</v>
      </c>
      <c r="CC363" s="21">
        <f t="shared" si="3922"/>
        <v>0</v>
      </c>
      <c r="CD363" s="21">
        <f t="shared" ref="CD363:CK363" si="3923">IF($F$290, 0, IF($D$301, IF(AND(COLUMN($CD$363)-COLUMN($BN$359)=$Q$291,ROW($CD$363)-ROW($BN$359)=$K$291), U$290, CD363), CD363))</f>
        <v>0</v>
      </c>
      <c r="CE363" s="21">
        <f t="shared" si="3923"/>
        <v>0</v>
      </c>
      <c r="CF363" s="21">
        <f t="shared" si="3923"/>
        <v>0</v>
      </c>
      <c r="CG363" s="21">
        <f t="shared" si="3923"/>
        <v>0</v>
      </c>
      <c r="CH363" s="21">
        <f t="shared" si="3923"/>
        <v>0</v>
      </c>
      <c r="CI363" s="21">
        <f t="shared" si="3923"/>
        <v>0</v>
      </c>
      <c r="CJ363" s="21">
        <f t="shared" si="3923"/>
        <v>0</v>
      </c>
      <c r="CK363" s="21">
        <f t="shared" si="3923"/>
        <v>0</v>
      </c>
      <c r="CL363" s="21">
        <f t="shared" ref="CL363:CS363" si="3924">IF($F$290, 0, IF($D$301, IF(AND(COLUMN($CL$363)-COLUMN($BN$359)=$Q$291,ROW($CL$363)-ROW($BN$359)=$K$291), U$290, CL363), CL363))</f>
        <v>0</v>
      </c>
      <c r="CM363" s="21">
        <f t="shared" si="3924"/>
        <v>0</v>
      </c>
      <c r="CN363" s="21">
        <f t="shared" si="3924"/>
        <v>0</v>
      </c>
      <c r="CO363" s="21">
        <f t="shared" si="3924"/>
        <v>0</v>
      </c>
      <c r="CP363" s="21">
        <f t="shared" si="3924"/>
        <v>0</v>
      </c>
      <c r="CQ363" s="21">
        <f t="shared" si="3924"/>
        <v>0</v>
      </c>
      <c r="CR363" s="21">
        <f t="shared" si="3924"/>
        <v>0</v>
      </c>
      <c r="CS363" s="21">
        <f t="shared" si="3924"/>
        <v>0</v>
      </c>
      <c r="CT363" s="21">
        <f t="shared" ref="CT363:DA363" si="3925">IF($F$290, 0, IF($D$301, IF(AND(COLUMN($CT$363)-COLUMN($BN$359)=$Q$291,ROW($CT$363)-ROW($BN$359)=$K$291), U$290, CT363), CT363))</f>
        <v>0</v>
      </c>
      <c r="CU363" s="21">
        <f t="shared" si="3925"/>
        <v>0</v>
      </c>
      <c r="CV363" s="21">
        <f t="shared" si="3925"/>
        <v>0</v>
      </c>
      <c r="CW363" s="21">
        <f t="shared" si="3925"/>
        <v>0</v>
      </c>
      <c r="CX363" s="21">
        <f t="shared" si="3925"/>
        <v>0</v>
      </c>
      <c r="CY363" s="21">
        <f t="shared" si="3925"/>
        <v>0</v>
      </c>
      <c r="CZ363" s="21">
        <f t="shared" si="3925"/>
        <v>0</v>
      </c>
      <c r="DA363" s="21">
        <f t="shared" si="3925"/>
        <v>0</v>
      </c>
      <c r="DB363" s="21">
        <f t="shared" ref="DB363:DI363" si="3926">IF($F$290, 0, IF($D$301, IF(AND(COLUMN($DB$363)-COLUMN($BN$359)=$Q$291,ROW($DB$363)-ROW($BN$359)=$K$291), U$290, DB363), DB363))</f>
        <v>0</v>
      </c>
      <c r="DC363" s="21">
        <f t="shared" si="3926"/>
        <v>0</v>
      </c>
      <c r="DD363" s="21">
        <f t="shared" si="3926"/>
        <v>0</v>
      </c>
      <c r="DE363" s="21">
        <f t="shared" si="3926"/>
        <v>0</v>
      </c>
      <c r="DF363" s="21">
        <f t="shared" si="3926"/>
        <v>0</v>
      </c>
      <c r="DG363" s="21">
        <f t="shared" si="3926"/>
        <v>0</v>
      </c>
      <c r="DH363" s="21">
        <f t="shared" si="3926"/>
        <v>0</v>
      </c>
      <c r="DI363" s="21">
        <f t="shared" si="3926"/>
        <v>0</v>
      </c>
      <c r="DJ363" s="21">
        <f t="shared" ref="DJ363:DQ363" si="3927">IF($F$290, 0, IF($D$301, IF(AND(COLUMN($DJ$363)-COLUMN($BN$359)=$Q$291,ROW($DJ$363)-ROW($BN$359)=$K$291), U$290, DJ363), DJ363))</f>
        <v>0</v>
      </c>
      <c r="DK363" s="21">
        <f t="shared" si="3927"/>
        <v>0</v>
      </c>
      <c r="DL363" s="21">
        <f t="shared" si="3927"/>
        <v>0</v>
      </c>
      <c r="DM363" s="21">
        <f t="shared" si="3927"/>
        <v>0</v>
      </c>
      <c r="DN363" s="21">
        <f t="shared" si="3927"/>
        <v>0</v>
      </c>
      <c r="DO363" s="21">
        <f t="shared" si="3927"/>
        <v>0</v>
      </c>
      <c r="DP363" s="21">
        <f t="shared" si="3927"/>
        <v>0</v>
      </c>
      <c r="DQ363" s="21">
        <f t="shared" si="3927"/>
        <v>0</v>
      </c>
      <c r="DR363" s="21">
        <f t="shared" ref="DR363:DY363" si="3928">IF($F$290, 0, IF($D$301, IF(AND(COLUMN($DR$363)-COLUMN($BN$359)=$Q$291,ROW($DR$363)-ROW($BN$359)=$K$291), U$290, DR363), DR363))</f>
        <v>0</v>
      </c>
      <c r="DS363" s="21">
        <f t="shared" si="3928"/>
        <v>0</v>
      </c>
      <c r="DT363" s="21">
        <f t="shared" si="3928"/>
        <v>0</v>
      </c>
      <c r="DU363" s="21">
        <f t="shared" si="3928"/>
        <v>0</v>
      </c>
      <c r="DV363" s="21">
        <f t="shared" si="3928"/>
        <v>0</v>
      </c>
      <c r="DW363" s="21">
        <f t="shared" si="3928"/>
        <v>0</v>
      </c>
      <c r="DX363" s="21">
        <f t="shared" si="3928"/>
        <v>0</v>
      </c>
      <c r="DY363" s="21">
        <f t="shared" si="3928"/>
        <v>0</v>
      </c>
      <c r="DZ363" s="21">
        <f t="shared" ref="DZ363:EG363" si="3929">IF($F$290, 0, IF($E$301, IF(AND(COLUMN($DZ$363)-COLUMN($DZ$359)=$Q$291,ROW($DZ$363)-ROW($DZ$359)=$K$291), U$290, DZ363), DZ363))</f>
        <v>0</v>
      </c>
      <c r="EA363" s="21">
        <f t="shared" si="3929"/>
        <v>0</v>
      </c>
      <c r="EB363" s="21">
        <f t="shared" si="3929"/>
        <v>0</v>
      </c>
      <c r="EC363" s="21">
        <f t="shared" si="3929"/>
        <v>0</v>
      </c>
      <c r="ED363" s="21">
        <f t="shared" si="3929"/>
        <v>0</v>
      </c>
      <c r="EE363" s="21">
        <f t="shared" si="3929"/>
        <v>0</v>
      </c>
      <c r="EF363" s="21">
        <f t="shared" si="3929"/>
        <v>0</v>
      </c>
      <c r="EG363" s="21">
        <f t="shared" si="3929"/>
        <v>0</v>
      </c>
      <c r="EH363" s="21">
        <f t="shared" ref="EH363:EO363" si="3930">IF($F$290, 0, IF($E$301, IF(AND(COLUMN($EH$363)-COLUMN($DZ$359)=$Q$291,ROW($EH$363)-ROW($DZ$359)=$K$291), U$290, EH363), EH363))</f>
        <v>0</v>
      </c>
      <c r="EI363" s="21">
        <f t="shared" si="3930"/>
        <v>0</v>
      </c>
      <c r="EJ363" s="21">
        <f t="shared" si="3930"/>
        <v>0</v>
      </c>
      <c r="EK363" s="21">
        <f t="shared" si="3930"/>
        <v>0</v>
      </c>
      <c r="EL363" s="21">
        <f t="shared" si="3930"/>
        <v>0</v>
      </c>
      <c r="EM363" s="21">
        <f t="shared" si="3930"/>
        <v>0</v>
      </c>
      <c r="EN363" s="21">
        <f t="shared" si="3930"/>
        <v>0</v>
      </c>
      <c r="EO363" s="21">
        <f t="shared" si="3930"/>
        <v>0</v>
      </c>
      <c r="EP363" s="21">
        <f t="shared" ref="EP363:EW363" si="3931">IF($F$290, 0, IF($E$301, IF(AND(COLUMN($EP$363)-COLUMN($DZ$359)=$Q$291,ROW($EP$363)-ROW($DZ$359)=$K$291), U$290, EP363), EP363))</f>
        <v>0</v>
      </c>
      <c r="EQ363" s="21">
        <f t="shared" si="3931"/>
        <v>0</v>
      </c>
      <c r="ER363" s="21">
        <f t="shared" si="3931"/>
        <v>0</v>
      </c>
      <c r="ES363" s="21">
        <f t="shared" si="3931"/>
        <v>0</v>
      </c>
      <c r="ET363" s="21">
        <f t="shared" si="3931"/>
        <v>0</v>
      </c>
      <c r="EU363" s="21">
        <f t="shared" si="3931"/>
        <v>0</v>
      </c>
      <c r="EV363" s="21">
        <f t="shared" si="3931"/>
        <v>0</v>
      </c>
      <c r="EW363" s="21">
        <f t="shared" si="3931"/>
        <v>0</v>
      </c>
      <c r="EX363" s="21">
        <f t="shared" ref="EX363:FE363" si="3932">IF($F$290, 0, IF($E$301, IF(AND(COLUMN($EX$363)-COLUMN($DZ$359)=$Q$291,ROW($EX$363)-ROW($DZ$359)=$K$291), U$290, EX363), EX363))</f>
        <v>0</v>
      </c>
      <c r="EY363" s="21">
        <f t="shared" si="3932"/>
        <v>0</v>
      </c>
      <c r="EZ363" s="21">
        <f t="shared" si="3932"/>
        <v>0</v>
      </c>
      <c r="FA363" s="21">
        <f t="shared" si="3932"/>
        <v>0</v>
      </c>
      <c r="FB363" s="21">
        <f t="shared" si="3932"/>
        <v>0</v>
      </c>
      <c r="FC363" s="21">
        <f t="shared" si="3932"/>
        <v>0</v>
      </c>
      <c r="FD363" s="21">
        <f t="shared" si="3932"/>
        <v>0</v>
      </c>
      <c r="FE363" s="21">
        <f t="shared" si="3932"/>
        <v>0</v>
      </c>
      <c r="FF363" s="21">
        <f t="shared" ref="FF363:FM363" si="3933">IF($F$290, 0, IF($E$301, IF(AND(COLUMN($FF$363)-COLUMN($DZ$359)=$Q$291,ROW($FF$363)-ROW($DZ$359)=$K$291), U$290, FF363), FF363))</f>
        <v>0</v>
      </c>
      <c r="FG363" s="21">
        <f t="shared" si="3933"/>
        <v>0</v>
      </c>
      <c r="FH363" s="21">
        <f t="shared" si="3933"/>
        <v>0</v>
      </c>
      <c r="FI363" s="21">
        <f t="shared" si="3933"/>
        <v>0</v>
      </c>
      <c r="FJ363" s="21">
        <f t="shared" si="3933"/>
        <v>0</v>
      </c>
      <c r="FK363" s="21">
        <f t="shared" si="3933"/>
        <v>0</v>
      </c>
      <c r="FL363" s="21">
        <f t="shared" si="3933"/>
        <v>0</v>
      </c>
      <c r="FM363" s="21">
        <f t="shared" si="3933"/>
        <v>0</v>
      </c>
      <c r="FN363" s="21">
        <f t="shared" ref="FN363:FU363" si="3934">IF($F$290, 0, IF($E$301, IF(AND(COLUMN($FN$363)-COLUMN($DZ$359)=$Q$291,ROW($FN$363)-ROW($DZ$359)=$K$291), U$290, FN363), FN363))</f>
        <v>0</v>
      </c>
      <c r="FO363" s="21">
        <f t="shared" si="3934"/>
        <v>0</v>
      </c>
      <c r="FP363" s="21">
        <f t="shared" si="3934"/>
        <v>0</v>
      </c>
      <c r="FQ363" s="21">
        <f t="shared" si="3934"/>
        <v>0</v>
      </c>
      <c r="FR363" s="21">
        <f t="shared" si="3934"/>
        <v>0</v>
      </c>
      <c r="FS363" s="21">
        <f t="shared" si="3934"/>
        <v>0</v>
      </c>
      <c r="FT363" s="21">
        <f t="shared" si="3934"/>
        <v>0</v>
      </c>
      <c r="FU363" s="21">
        <f t="shared" si="3934"/>
        <v>0</v>
      </c>
      <c r="FV363" s="21">
        <f t="shared" ref="FV363:GC363" si="3935">IF($F$290, 0, IF($E$301, IF(AND(COLUMN($FV$363)-COLUMN($DZ$359)=$Q$291,ROW($FV$363)-ROW($DZ$359)=$K$291), U$290, FV363), FV363))</f>
        <v>0</v>
      </c>
      <c r="FW363" s="21">
        <f t="shared" si="3935"/>
        <v>0</v>
      </c>
      <c r="FX363" s="21">
        <f t="shared" si="3935"/>
        <v>0</v>
      </c>
      <c r="FY363" s="21">
        <f t="shared" si="3935"/>
        <v>0</v>
      </c>
      <c r="FZ363" s="21">
        <f t="shared" si="3935"/>
        <v>0</v>
      </c>
      <c r="GA363" s="21">
        <f t="shared" si="3935"/>
        <v>0</v>
      </c>
      <c r="GB363" s="21">
        <f t="shared" si="3935"/>
        <v>0</v>
      </c>
      <c r="GC363" s="21">
        <f t="shared" si="3935"/>
        <v>0</v>
      </c>
      <c r="GD363" s="21">
        <f t="shared" ref="GD363:GK363" si="3936">IF($F$290, 0, IF($E$301, IF(AND(COLUMN($GD$363)-COLUMN($DZ$359)=$Q$291,ROW($GD$363)-ROW($DZ$359)=$K$291), U$290, GD363), GD363))</f>
        <v>0</v>
      </c>
      <c r="GE363" s="21">
        <f t="shared" si="3936"/>
        <v>0</v>
      </c>
      <c r="GF363" s="21">
        <f t="shared" si="3936"/>
        <v>0</v>
      </c>
      <c r="GG363" s="21">
        <f t="shared" si="3936"/>
        <v>0</v>
      </c>
      <c r="GH363" s="21">
        <f t="shared" si="3936"/>
        <v>0</v>
      </c>
      <c r="GI363" s="21">
        <f t="shared" si="3936"/>
        <v>0</v>
      </c>
      <c r="GJ363" s="21">
        <f t="shared" si="3936"/>
        <v>0</v>
      </c>
      <c r="GK363" s="21">
        <f t="shared" si="3936"/>
        <v>0</v>
      </c>
      <c r="GL363" s="21">
        <f t="shared" ref="GL363:GS363" si="3937">IF($F$290, 0, IF($F$301, IF(AND(COLUMN($GL$363)-COLUMN($GL$359)=$Q$291,ROW($GL$363)-ROW($GL$359)=$K$291), U$290, GL363), GL363))</f>
        <v>0</v>
      </c>
      <c r="GM363" s="21">
        <f t="shared" si="3937"/>
        <v>0</v>
      </c>
      <c r="GN363" s="21">
        <f t="shared" si="3937"/>
        <v>0</v>
      </c>
      <c r="GO363" s="21">
        <f t="shared" si="3937"/>
        <v>0</v>
      </c>
      <c r="GP363" s="21">
        <f t="shared" si="3937"/>
        <v>0</v>
      </c>
      <c r="GQ363" s="21">
        <f t="shared" si="3937"/>
        <v>0</v>
      </c>
      <c r="GR363" s="21">
        <f t="shared" si="3937"/>
        <v>0</v>
      </c>
      <c r="GS363" s="21">
        <f t="shared" si="3937"/>
        <v>0</v>
      </c>
      <c r="GT363" s="21">
        <f t="shared" ref="GT363:HA363" si="3938">IF($F$290, 0, IF($F$301, IF(AND(COLUMN($GT$363)-COLUMN($GL$359)=$Q$291,ROW($GT$363)-ROW($GL$359)=$K$291), U$290, GT363), GT363))</f>
        <v>0</v>
      </c>
      <c r="GU363" s="21">
        <f t="shared" si="3938"/>
        <v>0</v>
      </c>
      <c r="GV363" s="21">
        <f t="shared" si="3938"/>
        <v>0</v>
      </c>
      <c r="GW363" s="21">
        <f t="shared" si="3938"/>
        <v>0</v>
      </c>
      <c r="GX363" s="21">
        <f t="shared" si="3938"/>
        <v>0</v>
      </c>
      <c r="GY363" s="21">
        <f t="shared" si="3938"/>
        <v>0</v>
      </c>
      <c r="GZ363" s="21">
        <f t="shared" si="3938"/>
        <v>0</v>
      </c>
      <c r="HA363" s="21">
        <f t="shared" si="3938"/>
        <v>0</v>
      </c>
      <c r="HB363" s="21">
        <f t="shared" ref="HB363:HI363" si="3939">IF($F$290, 0, IF($F$301, IF(AND(COLUMN($HB$363)-COLUMN($GL$359)=$Q$291,ROW($HB$363)-ROW($GL$359)=$K$291), U$290, HB363), HB363))</f>
        <v>0</v>
      </c>
      <c r="HC363" s="21">
        <f t="shared" si="3939"/>
        <v>0</v>
      </c>
      <c r="HD363" s="21">
        <f t="shared" si="3939"/>
        <v>0</v>
      </c>
      <c r="HE363" s="21">
        <f t="shared" si="3939"/>
        <v>0</v>
      </c>
      <c r="HF363" s="21">
        <f t="shared" si="3939"/>
        <v>0</v>
      </c>
      <c r="HG363" s="21">
        <f t="shared" si="3939"/>
        <v>0</v>
      </c>
      <c r="HH363" s="21">
        <f t="shared" si="3939"/>
        <v>0</v>
      </c>
      <c r="HI363" s="21">
        <f t="shared" si="3939"/>
        <v>0</v>
      </c>
      <c r="HJ363" s="21">
        <f t="shared" ref="HJ363:HQ363" si="3940">IF($F$290, 0, IF($F$301, IF(AND(COLUMN($HJ$363)-COLUMN($GL$359)=$Q$291,ROW($HJ$363)-ROW($GL$359)=$K$291), U$290, HJ363), HJ363))</f>
        <v>0</v>
      </c>
      <c r="HK363" s="21">
        <f t="shared" si="3940"/>
        <v>0</v>
      </c>
      <c r="HL363" s="21">
        <f t="shared" si="3940"/>
        <v>0</v>
      </c>
      <c r="HM363" s="21">
        <f t="shared" si="3940"/>
        <v>0</v>
      </c>
      <c r="HN363" s="21">
        <f t="shared" si="3940"/>
        <v>0</v>
      </c>
      <c r="HO363" s="21">
        <f t="shared" si="3940"/>
        <v>0</v>
      </c>
      <c r="HP363" s="21">
        <f t="shared" si="3940"/>
        <v>0</v>
      </c>
      <c r="HQ363" s="21">
        <f t="shared" si="3940"/>
        <v>0</v>
      </c>
      <c r="HR363" s="21">
        <f t="shared" ref="HR363:HY363" si="3941">IF($F$290, 0, IF($F$301, IF(AND(COLUMN($HR$363)-COLUMN($GL$359)=$Q$291,ROW($HR$363)-ROW($GL$359)=$K$291), U$290, HR363), HR363))</f>
        <v>0</v>
      </c>
      <c r="HS363" s="21">
        <f t="shared" si="3941"/>
        <v>0</v>
      </c>
      <c r="HT363" s="21">
        <f t="shared" si="3941"/>
        <v>0</v>
      </c>
      <c r="HU363" s="21">
        <f t="shared" si="3941"/>
        <v>0</v>
      </c>
      <c r="HV363" s="21">
        <f t="shared" si="3941"/>
        <v>0</v>
      </c>
      <c r="HW363" s="21">
        <f t="shared" si="3941"/>
        <v>0</v>
      </c>
      <c r="HX363" s="21">
        <f t="shared" si="3941"/>
        <v>0</v>
      </c>
      <c r="HY363" s="21">
        <f t="shared" si="3941"/>
        <v>0</v>
      </c>
      <c r="HZ363" s="21">
        <f t="shared" ref="HZ363:IG363" si="3942">IF($F$290, 0, IF($F$301, IF(AND(COLUMN($HZ$363)-COLUMN($GL$359)=$Q$291,ROW($HZ$363)-ROW($GL$359)=$K$291), U$290, HZ363), HZ363))</f>
        <v>0</v>
      </c>
      <c r="IA363" s="21">
        <f t="shared" si="3942"/>
        <v>0</v>
      </c>
      <c r="IB363" s="21">
        <f t="shared" si="3942"/>
        <v>0</v>
      </c>
      <c r="IC363" s="21">
        <f t="shared" si="3942"/>
        <v>0</v>
      </c>
      <c r="ID363" s="21">
        <f t="shared" si="3942"/>
        <v>0</v>
      </c>
      <c r="IE363" s="21">
        <f t="shared" si="3942"/>
        <v>0</v>
      </c>
      <c r="IF363" s="21">
        <f t="shared" si="3942"/>
        <v>0</v>
      </c>
      <c r="IG363" s="21">
        <f t="shared" si="3942"/>
        <v>0</v>
      </c>
      <c r="IH363" s="21">
        <f t="shared" ref="IH363:IO363" si="3943">IF($F$290, 0, IF($F$301, IF(AND(COLUMN($IH$363)-COLUMN($GL$359)=$Q$291,ROW($IH$363)-ROW($GL$359)=$K$291), U$290, IH363), IH363))</f>
        <v>0</v>
      </c>
      <c r="II363" s="21">
        <f t="shared" si="3943"/>
        <v>0</v>
      </c>
      <c r="IJ363" s="21">
        <f t="shared" si="3943"/>
        <v>0</v>
      </c>
      <c r="IK363" s="21">
        <f t="shared" si="3943"/>
        <v>0</v>
      </c>
      <c r="IL363" s="21">
        <f t="shared" si="3943"/>
        <v>0</v>
      </c>
      <c r="IM363" s="21">
        <f t="shared" si="3943"/>
        <v>0</v>
      </c>
      <c r="IN363" s="21">
        <f t="shared" si="3943"/>
        <v>0</v>
      </c>
      <c r="IO363" s="21">
        <f t="shared" si="3943"/>
        <v>0</v>
      </c>
      <c r="IP363" s="21">
        <f t="shared" ref="IP363:IW363" si="3944">IF($F$290, 0, IF($F$301, IF(AND(COLUMN($IP$363)-COLUMN($GL$359)=$Q$291,ROW($IP$363)-ROW($GL$359)=$K$291), U$290, IP363), IP363))</f>
        <v>0</v>
      </c>
      <c r="IQ363" s="21">
        <f t="shared" si="3944"/>
        <v>0</v>
      </c>
      <c r="IR363" s="21">
        <f t="shared" si="3944"/>
        <v>0</v>
      </c>
      <c r="IS363" s="21">
        <f t="shared" si="3944"/>
        <v>0</v>
      </c>
      <c r="IT363" s="21">
        <f t="shared" si="3944"/>
        <v>0</v>
      </c>
      <c r="IU363" s="21">
        <f t="shared" si="3944"/>
        <v>0</v>
      </c>
      <c r="IV363" s="21">
        <f t="shared" si="3944"/>
        <v>0</v>
      </c>
      <c r="IW363" s="21">
        <f t="shared" si="3944"/>
        <v>0</v>
      </c>
      <c r="IX363" s="21">
        <f t="shared" ref="IX363:JE363" si="3945">IF($F$290, 0, IF($G$301, IF(AND(COLUMN($IX$363)-COLUMN($IX$359)=$Q$291,ROW($IX$363)-ROW($IX$359)=$K$291), U$290, IX363), IX363))</f>
        <v>0</v>
      </c>
      <c r="IY363" s="21">
        <f t="shared" si="3945"/>
        <v>0</v>
      </c>
      <c r="IZ363" s="21">
        <f t="shared" si="3945"/>
        <v>0</v>
      </c>
      <c r="JA363" s="21">
        <f t="shared" si="3945"/>
        <v>0</v>
      </c>
      <c r="JB363" s="21">
        <f t="shared" si="3945"/>
        <v>0</v>
      </c>
      <c r="JC363" s="21">
        <f t="shared" si="3945"/>
        <v>0</v>
      </c>
      <c r="JD363" s="21">
        <f t="shared" si="3945"/>
        <v>0</v>
      </c>
      <c r="JE363" s="21">
        <f t="shared" si="3945"/>
        <v>0</v>
      </c>
      <c r="JF363" s="21">
        <f t="shared" ref="JF363:JM363" si="3946">IF($F$290, 0, IF($G$301, IF(AND(COLUMN($JF$363)-COLUMN($IX$359)=$Q$291,ROW($JF$363)-ROW($IX$359)=$K$291), U$290, JF363), JF363))</f>
        <v>0</v>
      </c>
      <c r="JG363" s="21">
        <f t="shared" si="3946"/>
        <v>0</v>
      </c>
      <c r="JH363" s="21">
        <f t="shared" si="3946"/>
        <v>0</v>
      </c>
      <c r="JI363" s="21">
        <f t="shared" si="3946"/>
        <v>0</v>
      </c>
      <c r="JJ363" s="21">
        <f t="shared" si="3946"/>
        <v>0</v>
      </c>
      <c r="JK363" s="21">
        <f t="shared" si="3946"/>
        <v>0</v>
      </c>
      <c r="JL363" s="21">
        <f t="shared" si="3946"/>
        <v>0</v>
      </c>
      <c r="JM363" s="21">
        <f t="shared" si="3946"/>
        <v>0</v>
      </c>
      <c r="JN363" s="21">
        <f t="shared" ref="JN363:JU363" si="3947">IF($F$290, 0, IF($G$301, IF(AND(COLUMN($JN$363)-COLUMN($IX$359)=$Q$291,ROW($JN$363)-ROW($IX$359)=$K$291), U$290, JN363), JN363))</f>
        <v>0</v>
      </c>
      <c r="JO363" s="21">
        <f t="shared" si="3947"/>
        <v>0</v>
      </c>
      <c r="JP363" s="21">
        <f t="shared" si="3947"/>
        <v>0</v>
      </c>
      <c r="JQ363" s="21">
        <f t="shared" si="3947"/>
        <v>0</v>
      </c>
      <c r="JR363" s="21">
        <f t="shared" si="3947"/>
        <v>0</v>
      </c>
      <c r="JS363" s="21">
        <f t="shared" si="3947"/>
        <v>0</v>
      </c>
      <c r="JT363" s="21">
        <f t="shared" si="3947"/>
        <v>0</v>
      </c>
      <c r="JU363" s="21">
        <f t="shared" si="3947"/>
        <v>0</v>
      </c>
      <c r="JV363" s="21">
        <f t="shared" ref="JV363:KC363" si="3948">IF($F$290, 0, IF($G$301, IF(AND(COLUMN($JV$363)-COLUMN($IX$359)=$Q$291,ROW($JV$363)-ROW($IX$359)=$K$291), U$290, JV363), JV363))</f>
        <v>0</v>
      </c>
      <c r="JW363" s="21">
        <f t="shared" si="3948"/>
        <v>0</v>
      </c>
      <c r="JX363" s="21">
        <f t="shared" si="3948"/>
        <v>0</v>
      </c>
      <c r="JY363" s="21">
        <f t="shared" si="3948"/>
        <v>0</v>
      </c>
      <c r="JZ363" s="21">
        <f t="shared" si="3948"/>
        <v>0</v>
      </c>
      <c r="KA363" s="21">
        <f t="shared" si="3948"/>
        <v>0</v>
      </c>
      <c r="KB363" s="21">
        <f t="shared" si="3948"/>
        <v>0</v>
      </c>
      <c r="KC363" s="21">
        <f t="shared" si="3948"/>
        <v>0</v>
      </c>
      <c r="KD363" s="21">
        <f t="shared" ref="KD363:KK363" si="3949">IF($F$290, 0, IF($G$301, IF(AND(COLUMN($KD$363)-COLUMN($IX$359)=$Q$291,ROW($KD$363)-ROW($IX$359)=$K$291), U$290, KD363), KD363))</f>
        <v>0</v>
      </c>
      <c r="KE363" s="21">
        <f t="shared" si="3949"/>
        <v>0</v>
      </c>
      <c r="KF363" s="21">
        <f t="shared" si="3949"/>
        <v>0</v>
      </c>
      <c r="KG363" s="21">
        <f t="shared" si="3949"/>
        <v>0</v>
      </c>
      <c r="KH363" s="21">
        <f t="shared" si="3949"/>
        <v>0</v>
      </c>
      <c r="KI363" s="21">
        <f t="shared" si="3949"/>
        <v>0</v>
      </c>
      <c r="KJ363" s="21">
        <f t="shared" si="3949"/>
        <v>0</v>
      </c>
      <c r="KK363" s="21">
        <f t="shared" si="3949"/>
        <v>0</v>
      </c>
      <c r="KL363" s="21">
        <f t="shared" ref="KL363:KS363" si="3950">IF($F$290, 0, IF($G$301, IF(AND(COLUMN($KL$363)-COLUMN($IX$359)=$Q$291,ROW($KL$363)-ROW($IX$359)=$K$291), U$290, KL363), KL363))</f>
        <v>0</v>
      </c>
      <c r="KM363" s="21">
        <f t="shared" si="3950"/>
        <v>0</v>
      </c>
      <c r="KN363" s="21">
        <f t="shared" si="3950"/>
        <v>0</v>
      </c>
      <c r="KO363" s="21">
        <f t="shared" si="3950"/>
        <v>0</v>
      </c>
      <c r="KP363" s="21">
        <f t="shared" si="3950"/>
        <v>0</v>
      </c>
      <c r="KQ363" s="21">
        <f t="shared" si="3950"/>
        <v>0</v>
      </c>
      <c r="KR363" s="21">
        <f t="shared" si="3950"/>
        <v>0</v>
      </c>
      <c r="KS363" s="21">
        <f t="shared" si="3950"/>
        <v>0</v>
      </c>
      <c r="KT363" s="21">
        <f t="shared" ref="KT363:LA363" si="3951">IF($F$290, 0, IF($G$301, IF(AND(COLUMN($KT$363)-COLUMN($IX$359)=$Q$291,ROW($KT$363)-ROW($IX$359)=$K$291), U$290, KT363), KT363))</f>
        <v>0</v>
      </c>
      <c r="KU363" s="21">
        <f t="shared" si="3951"/>
        <v>0</v>
      </c>
      <c r="KV363" s="21">
        <f t="shared" si="3951"/>
        <v>0</v>
      </c>
      <c r="KW363" s="21">
        <f t="shared" si="3951"/>
        <v>0</v>
      </c>
      <c r="KX363" s="21">
        <f t="shared" si="3951"/>
        <v>0</v>
      </c>
      <c r="KY363" s="21">
        <f t="shared" si="3951"/>
        <v>0</v>
      </c>
      <c r="KZ363" s="21">
        <f t="shared" si="3951"/>
        <v>0</v>
      </c>
      <c r="LA363" s="21">
        <f t="shared" si="3951"/>
        <v>0</v>
      </c>
      <c r="LB363" s="21">
        <f t="shared" ref="LB363:LI363" si="3952">IF($F$290, 0, IF($G$301, IF(AND(COLUMN($LB$363)-COLUMN($IX$359)=$Q$291,ROW($LB$363)-ROW($IX$359)=$K$291), U$290, LB363), LB363))</f>
        <v>0</v>
      </c>
      <c r="LC363" s="21">
        <f t="shared" si="3952"/>
        <v>0</v>
      </c>
      <c r="LD363" s="21">
        <f t="shared" si="3952"/>
        <v>0</v>
      </c>
      <c r="LE363" s="21">
        <f t="shared" si="3952"/>
        <v>0</v>
      </c>
      <c r="LF363" s="21">
        <f t="shared" si="3952"/>
        <v>0</v>
      </c>
      <c r="LG363" s="21">
        <f t="shared" si="3952"/>
        <v>0</v>
      </c>
      <c r="LH363" s="21">
        <f t="shared" si="3952"/>
        <v>0</v>
      </c>
      <c r="LI363" s="21">
        <f t="shared" si="3952"/>
        <v>0</v>
      </c>
      <c r="LJ363" s="21">
        <f t="shared" ref="LJ363:LQ363" si="3953">IF($F$290, 0, IF($H$301, IF(AND(COLUMN($LJ$363)-COLUMN($LJ$359)=$Q$291,ROW($LJ$363)-ROW($LJ$359)=$K$291), U$290, LJ363), LJ363))</f>
        <v>0</v>
      </c>
      <c r="LK363" s="21">
        <f t="shared" si="3953"/>
        <v>0</v>
      </c>
      <c r="LL363" s="21">
        <f t="shared" si="3953"/>
        <v>0</v>
      </c>
      <c r="LM363" s="21">
        <f t="shared" si="3953"/>
        <v>0</v>
      </c>
      <c r="LN363" s="21">
        <f t="shared" si="3953"/>
        <v>0</v>
      </c>
      <c r="LO363" s="21">
        <f t="shared" si="3953"/>
        <v>0</v>
      </c>
      <c r="LP363" s="21">
        <f t="shared" si="3953"/>
        <v>0</v>
      </c>
      <c r="LQ363" s="21">
        <f t="shared" si="3953"/>
        <v>0</v>
      </c>
      <c r="LR363" s="21">
        <f t="shared" ref="LR363:LY363" si="3954">IF($F$290, 0, IF($H$301, IF(AND(COLUMN($LR$363)-COLUMN($LJ$359)=$Q$291,ROW($LR$363)-ROW($LJ$359)=$K$291), U$290, LR363), LR363))</f>
        <v>0</v>
      </c>
      <c r="LS363" s="21">
        <f t="shared" si="3954"/>
        <v>0</v>
      </c>
      <c r="LT363" s="21">
        <f t="shared" si="3954"/>
        <v>0</v>
      </c>
      <c r="LU363" s="21">
        <f t="shared" si="3954"/>
        <v>0</v>
      </c>
      <c r="LV363" s="21">
        <f t="shared" si="3954"/>
        <v>0</v>
      </c>
      <c r="LW363" s="21">
        <f t="shared" si="3954"/>
        <v>0</v>
      </c>
      <c r="LX363" s="21">
        <f t="shared" si="3954"/>
        <v>0</v>
      </c>
      <c r="LY363" s="21">
        <f t="shared" si="3954"/>
        <v>0</v>
      </c>
      <c r="LZ363" s="21">
        <f t="shared" ref="LZ363:MG363" si="3955">IF($F$290, 0, IF($H$301, IF(AND(COLUMN($LZ$363)-COLUMN($LJ$359)=$Q$291,ROW($LZ$363)-ROW($LJ$359)=$K$291), U$290, LZ363), LZ363))</f>
        <v>0</v>
      </c>
      <c r="MA363" s="21">
        <f t="shared" si="3955"/>
        <v>0</v>
      </c>
      <c r="MB363" s="21">
        <f t="shared" si="3955"/>
        <v>0</v>
      </c>
      <c r="MC363" s="21">
        <f t="shared" si="3955"/>
        <v>0</v>
      </c>
      <c r="MD363" s="21">
        <f t="shared" si="3955"/>
        <v>0</v>
      </c>
      <c r="ME363" s="21">
        <f t="shared" si="3955"/>
        <v>0</v>
      </c>
      <c r="MF363" s="21">
        <f t="shared" si="3955"/>
        <v>0</v>
      </c>
      <c r="MG363" s="21">
        <f t="shared" si="3955"/>
        <v>0</v>
      </c>
      <c r="MH363" s="21">
        <f t="shared" ref="MH363:MO363" si="3956">IF($F$290, 0, IF($H$301, IF(AND(COLUMN($MH$363)-COLUMN($LJ$359)=$Q$291,ROW($MH$363)-ROW($LJ$359)=$K$291), U$290, MH363), MH363))</f>
        <v>0</v>
      </c>
      <c r="MI363" s="21">
        <f t="shared" si="3956"/>
        <v>0</v>
      </c>
      <c r="MJ363" s="21">
        <f t="shared" si="3956"/>
        <v>0</v>
      </c>
      <c r="MK363" s="21">
        <f t="shared" si="3956"/>
        <v>0</v>
      </c>
      <c r="ML363" s="21">
        <f t="shared" si="3956"/>
        <v>0</v>
      </c>
      <c r="MM363" s="21">
        <f t="shared" si="3956"/>
        <v>0</v>
      </c>
      <c r="MN363" s="21">
        <f t="shared" si="3956"/>
        <v>0</v>
      </c>
      <c r="MO363" s="21">
        <f t="shared" si="3956"/>
        <v>0</v>
      </c>
      <c r="MP363" s="21">
        <f t="shared" ref="MP363:MW363" si="3957">IF($F$290, 0, IF($H$301, IF(AND(COLUMN($MP$363)-COLUMN($LJ$359)=$Q$291,ROW($MP$363)-ROW($LJ$359)=$K$291), U$290, MP363), MP363))</f>
        <v>0</v>
      </c>
      <c r="MQ363" s="21">
        <f t="shared" si="3957"/>
        <v>0</v>
      </c>
      <c r="MR363" s="21">
        <f t="shared" si="3957"/>
        <v>0</v>
      </c>
      <c r="MS363" s="21">
        <f t="shared" si="3957"/>
        <v>0</v>
      </c>
      <c r="MT363" s="21">
        <f t="shared" si="3957"/>
        <v>0</v>
      </c>
      <c r="MU363" s="21">
        <f t="shared" si="3957"/>
        <v>0</v>
      </c>
      <c r="MV363" s="21">
        <f t="shared" si="3957"/>
        <v>0</v>
      </c>
      <c r="MW363" s="21">
        <f t="shared" si="3957"/>
        <v>0</v>
      </c>
      <c r="MX363" s="21">
        <f t="shared" ref="MX363:NE363" si="3958">IF($F$290, 0, IF($H$301, IF(AND(COLUMN($MX$363)-COLUMN($LJ$359)=$Q$291,ROW($MX$363)-ROW($LJ$359)=$K$291), U$290, MX363), MX363))</f>
        <v>0</v>
      </c>
      <c r="MY363" s="21">
        <f t="shared" si="3958"/>
        <v>0</v>
      </c>
      <c r="MZ363" s="21">
        <f t="shared" si="3958"/>
        <v>0</v>
      </c>
      <c r="NA363" s="21">
        <f t="shared" si="3958"/>
        <v>0</v>
      </c>
      <c r="NB363" s="21">
        <f t="shared" si="3958"/>
        <v>0</v>
      </c>
      <c r="NC363" s="21">
        <f t="shared" si="3958"/>
        <v>0</v>
      </c>
      <c r="ND363" s="21">
        <f t="shared" si="3958"/>
        <v>0</v>
      </c>
      <c r="NE363" s="21">
        <f t="shared" si="3958"/>
        <v>0</v>
      </c>
      <c r="NF363" s="21">
        <f t="shared" ref="NF363:NM363" si="3959">IF($F$290, 0, IF($H$301, IF(AND(COLUMN($NF$363)-COLUMN($LJ$359)=$Q$291,ROW($NF$363)-ROW($LJ$359)=$K$291), U$290, NF363), NF363))</f>
        <v>0</v>
      </c>
      <c r="NG363" s="21">
        <f t="shared" si="3959"/>
        <v>0</v>
      </c>
      <c r="NH363" s="21">
        <f t="shared" si="3959"/>
        <v>0</v>
      </c>
      <c r="NI363" s="21">
        <f t="shared" si="3959"/>
        <v>0</v>
      </c>
      <c r="NJ363" s="21">
        <f t="shared" si="3959"/>
        <v>0</v>
      </c>
      <c r="NK363" s="21">
        <f t="shared" si="3959"/>
        <v>0</v>
      </c>
      <c r="NL363" s="21">
        <f t="shared" si="3959"/>
        <v>0</v>
      </c>
      <c r="NM363" s="21">
        <f t="shared" si="3959"/>
        <v>0</v>
      </c>
      <c r="NN363" s="21">
        <f t="shared" ref="NN363:NU363" si="3960">IF($F$290, 0, IF($H$301, IF(AND(COLUMN($NN$363)-COLUMN($LJ$359)=$Q$291,ROW($NN$363)-ROW($LJ$359)=$K$291), U$290, NN363), NN363))</f>
        <v>0</v>
      </c>
      <c r="NO363" s="21">
        <f t="shared" si="3960"/>
        <v>0</v>
      </c>
      <c r="NP363" s="21">
        <f t="shared" si="3960"/>
        <v>0</v>
      </c>
      <c r="NQ363" s="21">
        <f t="shared" si="3960"/>
        <v>0</v>
      </c>
      <c r="NR363" s="21">
        <f t="shared" si="3960"/>
        <v>0</v>
      </c>
      <c r="NS363" s="21">
        <f t="shared" si="3960"/>
        <v>0</v>
      </c>
      <c r="NT363" s="21">
        <f t="shared" si="3960"/>
        <v>0</v>
      </c>
      <c r="NU363" s="21">
        <f t="shared" si="3960"/>
        <v>0</v>
      </c>
      <c r="NV363" s="21">
        <f t="shared" ref="NV363:OC363" si="3961">IF($F$290, 0, IF($I$301, IF(AND(COLUMN($NV$363)-COLUMN($NV$359)=$Q$291,ROW($NV$363)-ROW($NV$359)=$K$291), U$290, NV363), NV363))</f>
        <v>0</v>
      </c>
      <c r="NW363" s="21">
        <f t="shared" si="3961"/>
        <v>0</v>
      </c>
      <c r="NX363" s="21">
        <f t="shared" si="3961"/>
        <v>0</v>
      </c>
      <c r="NY363" s="21">
        <f t="shared" si="3961"/>
        <v>0</v>
      </c>
      <c r="NZ363" s="21">
        <f t="shared" si="3961"/>
        <v>0</v>
      </c>
      <c r="OA363" s="21">
        <f t="shared" si="3961"/>
        <v>0</v>
      </c>
      <c r="OB363" s="21">
        <f t="shared" si="3961"/>
        <v>0</v>
      </c>
      <c r="OC363" s="21">
        <f t="shared" si="3961"/>
        <v>0</v>
      </c>
      <c r="OD363" s="21">
        <f t="shared" ref="OD363:OK363" si="3962">IF($F$290, 0, IF($I$301, IF(AND(COLUMN($OD$363)-COLUMN($NV$359)=$Q$291,ROW($OD$363)-ROW($NV$359)=$K$291), U$290, OD363), OD363))</f>
        <v>0</v>
      </c>
      <c r="OE363" s="21">
        <f t="shared" si="3962"/>
        <v>0</v>
      </c>
      <c r="OF363" s="21">
        <f t="shared" si="3962"/>
        <v>0</v>
      </c>
      <c r="OG363" s="21">
        <f t="shared" si="3962"/>
        <v>0</v>
      </c>
      <c r="OH363" s="21">
        <f t="shared" si="3962"/>
        <v>0</v>
      </c>
      <c r="OI363" s="21">
        <f t="shared" si="3962"/>
        <v>0</v>
      </c>
      <c r="OJ363" s="21">
        <f t="shared" si="3962"/>
        <v>0</v>
      </c>
      <c r="OK363" s="21">
        <f t="shared" si="3962"/>
        <v>0</v>
      </c>
      <c r="OL363" s="21">
        <f t="shared" ref="OL363:OS363" si="3963">IF($F$290, 0, IF($I$301, IF(AND(COLUMN($OL$363)-COLUMN($NV$359)=$Q$291,ROW($OL$363)-ROW($NV$359)=$K$291), U$290, OL363), OL363))</f>
        <v>0</v>
      </c>
      <c r="OM363" s="21">
        <f t="shared" si="3963"/>
        <v>0</v>
      </c>
      <c r="ON363" s="21">
        <f t="shared" si="3963"/>
        <v>0</v>
      </c>
      <c r="OO363" s="21">
        <f t="shared" si="3963"/>
        <v>0</v>
      </c>
      <c r="OP363" s="21">
        <f t="shared" si="3963"/>
        <v>0</v>
      </c>
      <c r="OQ363" s="21">
        <f t="shared" si="3963"/>
        <v>0</v>
      </c>
      <c r="OR363" s="21">
        <f t="shared" si="3963"/>
        <v>0</v>
      </c>
      <c r="OS363" s="21">
        <f t="shared" si="3963"/>
        <v>0</v>
      </c>
      <c r="OT363" s="21">
        <f t="shared" ref="OT363:PA363" si="3964">IF($F$290, 0, IF($I$301, IF(AND(COLUMN($OT$363)-COLUMN($NV$359)=$Q$291,ROW($OT$363)-ROW($NV$359)=$K$291), U$290, OT363), OT363))</f>
        <v>0</v>
      </c>
      <c r="OU363" s="21">
        <f t="shared" si="3964"/>
        <v>0</v>
      </c>
      <c r="OV363" s="21">
        <f t="shared" si="3964"/>
        <v>0</v>
      </c>
      <c r="OW363" s="21">
        <f t="shared" si="3964"/>
        <v>0</v>
      </c>
      <c r="OX363" s="21">
        <f t="shared" si="3964"/>
        <v>0</v>
      </c>
      <c r="OY363" s="21">
        <f t="shared" si="3964"/>
        <v>0</v>
      </c>
      <c r="OZ363" s="21">
        <f t="shared" si="3964"/>
        <v>0</v>
      </c>
      <c r="PA363" s="21">
        <f t="shared" si="3964"/>
        <v>0</v>
      </c>
      <c r="PB363" s="21">
        <f t="shared" ref="PB363:PI363" si="3965">IF($F$290, 0, IF($I$301, IF(AND(COLUMN($PB$363)-COLUMN($NV$359)=$Q$291,ROW($PB$363)-ROW($NV$359)=$K$291), U$290, PB363), PB363))</f>
        <v>0</v>
      </c>
      <c r="PC363" s="21">
        <f t="shared" si="3965"/>
        <v>0</v>
      </c>
      <c r="PD363" s="21">
        <f t="shared" si="3965"/>
        <v>0</v>
      </c>
      <c r="PE363" s="21">
        <f t="shared" si="3965"/>
        <v>0</v>
      </c>
      <c r="PF363" s="21">
        <f t="shared" si="3965"/>
        <v>0</v>
      </c>
      <c r="PG363" s="21">
        <f t="shared" si="3965"/>
        <v>0</v>
      </c>
      <c r="PH363" s="21">
        <f t="shared" si="3965"/>
        <v>0</v>
      </c>
      <c r="PI363" s="21">
        <f t="shared" si="3965"/>
        <v>0</v>
      </c>
      <c r="PJ363" s="21">
        <f t="shared" ref="PJ363:PQ363" si="3966">IF($F$290, 0, IF($I$301, IF(AND(COLUMN($PJ$363)-COLUMN($NV$359)=$Q$291,ROW($PJ$363)-ROW($NV$359)=$K$291), U$290, PJ363), PJ363))</f>
        <v>0</v>
      </c>
      <c r="PK363" s="21">
        <f t="shared" si="3966"/>
        <v>0</v>
      </c>
      <c r="PL363" s="21">
        <f t="shared" si="3966"/>
        <v>0</v>
      </c>
      <c r="PM363" s="21">
        <f t="shared" si="3966"/>
        <v>0</v>
      </c>
      <c r="PN363" s="21">
        <f t="shared" si="3966"/>
        <v>0</v>
      </c>
      <c r="PO363" s="21">
        <f t="shared" si="3966"/>
        <v>0</v>
      </c>
      <c r="PP363" s="21">
        <f t="shared" si="3966"/>
        <v>0</v>
      </c>
      <c r="PQ363" s="21">
        <f t="shared" si="3966"/>
        <v>0</v>
      </c>
      <c r="PR363" s="21">
        <f t="shared" ref="PR363:PY363" si="3967">IF($F$290, 0, IF($I$301, IF(AND(COLUMN($PR$363)-COLUMN($NV$359)=$Q$291,ROW($PR$363)-ROW($NV$359)=$K$291), U$290, PR363), PR363))</f>
        <v>0</v>
      </c>
      <c r="PS363" s="21">
        <f t="shared" si="3967"/>
        <v>0</v>
      </c>
      <c r="PT363" s="21">
        <f t="shared" si="3967"/>
        <v>0</v>
      </c>
      <c r="PU363" s="21">
        <f t="shared" si="3967"/>
        <v>0</v>
      </c>
      <c r="PV363" s="21">
        <f t="shared" si="3967"/>
        <v>0</v>
      </c>
      <c r="PW363" s="21">
        <f t="shared" si="3967"/>
        <v>0</v>
      </c>
      <c r="PX363" s="21">
        <f t="shared" si="3967"/>
        <v>0</v>
      </c>
      <c r="PY363" s="21">
        <f t="shared" si="3967"/>
        <v>0</v>
      </c>
      <c r="PZ363" s="21">
        <f t="shared" ref="PZ363:QG363" si="3968">IF($F$290, 0, IF($I$301, IF(AND(COLUMN($PZ$363)-COLUMN($NV$359)=$Q$291,ROW($PZ$363)-ROW($NV$359)=$K$291), U$290, PZ363), PZ363))</f>
        <v>0</v>
      </c>
      <c r="QA363" s="21">
        <f t="shared" si="3968"/>
        <v>0</v>
      </c>
      <c r="QB363" s="21">
        <f t="shared" si="3968"/>
        <v>0</v>
      </c>
      <c r="QC363" s="21">
        <f t="shared" si="3968"/>
        <v>0</v>
      </c>
      <c r="QD363" s="21">
        <f t="shared" si="3968"/>
        <v>0</v>
      </c>
      <c r="QE363" s="21">
        <f t="shared" si="3968"/>
        <v>0</v>
      </c>
      <c r="QF363" s="21">
        <f t="shared" si="3968"/>
        <v>0</v>
      </c>
      <c r="QG363" s="21">
        <f t="shared" si="3968"/>
        <v>0</v>
      </c>
      <c r="QH363" s="21">
        <f t="shared" ref="QH363:QO363" si="3969">IF($F$290, 0, IF($J$301, IF(AND(COLUMN($QH$363)-COLUMN($QH$359)=$Q$291,ROW($QH$363)-ROW($QH$359)=$K$291), U$290, QH363), QH363))</f>
        <v>0</v>
      </c>
      <c r="QI363" s="21">
        <f t="shared" si="3969"/>
        <v>0</v>
      </c>
      <c r="QJ363" s="21">
        <f t="shared" si="3969"/>
        <v>0</v>
      </c>
      <c r="QK363" s="21">
        <f t="shared" si="3969"/>
        <v>0</v>
      </c>
      <c r="QL363" s="21">
        <f t="shared" si="3969"/>
        <v>0</v>
      </c>
      <c r="QM363" s="21">
        <f t="shared" si="3969"/>
        <v>0</v>
      </c>
      <c r="QN363" s="21">
        <f t="shared" si="3969"/>
        <v>0</v>
      </c>
      <c r="QO363" s="21">
        <f t="shared" si="3969"/>
        <v>0</v>
      </c>
      <c r="QP363" s="21">
        <f t="shared" ref="QP363:QW363" si="3970">IF($F$290, 0, IF($J$301, IF(AND(COLUMN($QP$363)-COLUMN($QH$359)=$Q$291,ROW($QP$363)-ROW($QH$359)=$K$291), U$290, QP363), QP363))</f>
        <v>0</v>
      </c>
      <c r="QQ363" s="21">
        <f t="shared" si="3970"/>
        <v>0</v>
      </c>
      <c r="QR363" s="21">
        <f t="shared" si="3970"/>
        <v>0</v>
      </c>
      <c r="QS363" s="21">
        <f t="shared" si="3970"/>
        <v>0</v>
      </c>
      <c r="QT363" s="21">
        <f t="shared" si="3970"/>
        <v>0</v>
      </c>
      <c r="QU363" s="21">
        <f t="shared" si="3970"/>
        <v>0</v>
      </c>
      <c r="QV363" s="21">
        <f t="shared" si="3970"/>
        <v>0</v>
      </c>
      <c r="QW363" s="21">
        <f t="shared" si="3970"/>
        <v>0</v>
      </c>
      <c r="QX363" s="21">
        <f t="shared" ref="QX363:RE363" si="3971">IF($F$290, 0, IF($J$301, IF(AND(COLUMN($QX$363)-COLUMN($QH$359)=$Q$291,ROW($QX$363)-ROW($QH$359)=$K$291), U$290, QX363), QX363))</f>
        <v>0</v>
      </c>
      <c r="QY363" s="21">
        <f t="shared" si="3971"/>
        <v>0</v>
      </c>
      <c r="QZ363" s="21">
        <f t="shared" si="3971"/>
        <v>0</v>
      </c>
      <c r="RA363" s="21">
        <f t="shared" si="3971"/>
        <v>0</v>
      </c>
      <c r="RB363" s="21">
        <f t="shared" si="3971"/>
        <v>0</v>
      </c>
      <c r="RC363" s="21">
        <f t="shared" si="3971"/>
        <v>0</v>
      </c>
      <c r="RD363" s="21">
        <f t="shared" si="3971"/>
        <v>0</v>
      </c>
      <c r="RE363" s="21">
        <f t="shared" si="3971"/>
        <v>0</v>
      </c>
      <c r="RF363" s="21">
        <f t="shared" ref="RF363:RM363" si="3972">IF($F$290, 0, IF($J$301, IF(AND(COLUMN($RF$363)-COLUMN($QH$359)=$Q$291,ROW($RF$363)-ROW($QH$359)=$K$291), U$290, RF363), RF363))</f>
        <v>0</v>
      </c>
      <c r="RG363" s="21">
        <f t="shared" si="3972"/>
        <v>0</v>
      </c>
      <c r="RH363" s="21">
        <f t="shared" si="3972"/>
        <v>0</v>
      </c>
      <c r="RI363" s="21">
        <f t="shared" si="3972"/>
        <v>0</v>
      </c>
      <c r="RJ363" s="21">
        <f t="shared" si="3972"/>
        <v>0</v>
      </c>
      <c r="RK363" s="21">
        <f t="shared" si="3972"/>
        <v>0</v>
      </c>
      <c r="RL363" s="21">
        <f t="shared" si="3972"/>
        <v>0</v>
      </c>
      <c r="RM363" s="21">
        <f t="shared" si="3972"/>
        <v>0</v>
      </c>
      <c r="RN363" s="21">
        <f t="shared" ref="RN363:RU363" si="3973">IF($F$290, 0, IF($J$301, IF(AND(COLUMN($RN$363)-COLUMN($QH$359)=$Q$291,ROW($RN$363)-ROW($QH$359)=$K$291), U$290, RN363), RN363))</f>
        <v>0</v>
      </c>
      <c r="RO363" s="21">
        <f t="shared" si="3973"/>
        <v>0</v>
      </c>
      <c r="RP363" s="21">
        <f t="shared" si="3973"/>
        <v>0</v>
      </c>
      <c r="RQ363" s="21">
        <f t="shared" si="3973"/>
        <v>0</v>
      </c>
      <c r="RR363" s="21">
        <f t="shared" si="3973"/>
        <v>0</v>
      </c>
      <c r="RS363" s="21">
        <f t="shared" si="3973"/>
        <v>0</v>
      </c>
      <c r="RT363" s="21">
        <f t="shared" si="3973"/>
        <v>0</v>
      </c>
      <c r="RU363" s="21">
        <f t="shared" si="3973"/>
        <v>0</v>
      </c>
      <c r="RV363" s="21">
        <f t="shared" ref="RV363:SC363" si="3974">IF($F$290, 0, IF($J$301, IF(AND(COLUMN($RV$363)-COLUMN($QH$359)=$Q$291,ROW($RV$363)-ROW($QH$359)=$K$291), U$290, RV363), RV363))</f>
        <v>0</v>
      </c>
      <c r="RW363" s="21">
        <f t="shared" si="3974"/>
        <v>0</v>
      </c>
      <c r="RX363" s="21">
        <f t="shared" si="3974"/>
        <v>0</v>
      </c>
      <c r="RY363" s="21">
        <f t="shared" si="3974"/>
        <v>0</v>
      </c>
      <c r="RZ363" s="21">
        <f t="shared" si="3974"/>
        <v>0</v>
      </c>
      <c r="SA363" s="21">
        <f t="shared" si="3974"/>
        <v>0</v>
      </c>
      <c r="SB363" s="21">
        <f t="shared" si="3974"/>
        <v>0</v>
      </c>
      <c r="SC363" s="21">
        <f t="shared" si="3974"/>
        <v>0</v>
      </c>
      <c r="SD363" s="21">
        <f t="shared" ref="SD363:SK363" si="3975">IF($F$290, 0, IF($J$301, IF(AND(COLUMN($SD$363)-COLUMN($QH$359)=$Q$291,ROW($SD$363)-ROW($QH$359)=$K$291), U$290, SD363), SD363))</f>
        <v>0</v>
      </c>
      <c r="SE363" s="21">
        <f t="shared" si="3975"/>
        <v>0</v>
      </c>
      <c r="SF363" s="21">
        <f t="shared" si="3975"/>
        <v>0</v>
      </c>
      <c r="SG363" s="21">
        <f t="shared" si="3975"/>
        <v>0</v>
      </c>
      <c r="SH363" s="21">
        <f t="shared" si="3975"/>
        <v>0</v>
      </c>
      <c r="SI363" s="21">
        <f t="shared" si="3975"/>
        <v>0</v>
      </c>
      <c r="SJ363" s="21">
        <f t="shared" si="3975"/>
        <v>0</v>
      </c>
      <c r="SK363" s="21">
        <f t="shared" si="3975"/>
        <v>0</v>
      </c>
      <c r="SL363" s="21">
        <f t="shared" ref="SL363:SS363" si="3976">IF($F$290, 0, IF($J$301, IF(AND(COLUMN($SL$363)-COLUMN($QH$359)=$Q$291,ROW($SL$363)-ROW($QH$359)=$K$291), U$290, SL363), SL363))</f>
        <v>0</v>
      </c>
      <c r="SM363" s="21">
        <f t="shared" si="3976"/>
        <v>0</v>
      </c>
      <c r="SN363" s="21">
        <f t="shared" si="3976"/>
        <v>0</v>
      </c>
      <c r="SO363" s="21">
        <f t="shared" si="3976"/>
        <v>0</v>
      </c>
      <c r="SP363" s="21">
        <f t="shared" si="3976"/>
        <v>0</v>
      </c>
      <c r="SQ363" s="21">
        <f t="shared" si="3976"/>
        <v>0</v>
      </c>
      <c r="SR363" s="21">
        <f t="shared" si="3976"/>
        <v>0</v>
      </c>
      <c r="SS363" s="21">
        <f t="shared" si="3976"/>
        <v>0</v>
      </c>
    </row>
    <row r="364" spans="2:513" ht="15" customHeight="1" x14ac:dyDescent="0.25">
      <c r="B364" s="21">
        <f t="shared" ref="B364:I364" si="3977">IF($F$290, 0, IF($C$301, IF(AND(COLUMN($B$364)-COLUMN($B$359)=$Q$291,ROW($B$364)-ROW($B$359)=$K$291), U$290, B364), B364))</f>
        <v>0</v>
      </c>
      <c r="C364" s="21">
        <f t="shared" si="3977"/>
        <v>0</v>
      </c>
      <c r="D364" s="21">
        <f t="shared" si="3977"/>
        <v>0</v>
      </c>
      <c r="E364" s="21">
        <f t="shared" si="3977"/>
        <v>0</v>
      </c>
      <c r="F364" s="21">
        <f t="shared" si="3977"/>
        <v>0</v>
      </c>
      <c r="G364" s="21">
        <f t="shared" si="3977"/>
        <v>0</v>
      </c>
      <c r="H364" s="21">
        <f t="shared" si="3977"/>
        <v>0</v>
      </c>
      <c r="I364" s="21">
        <f t="shared" si="3977"/>
        <v>0</v>
      </c>
      <c r="J364" s="21">
        <f t="shared" ref="J364:Q364" si="3978">IF($F$290, 0, IF($C$301, IF(AND(COLUMN($J$364)-COLUMN($B$359)=$Q$291,ROW($J$364)-ROW($B$359)=$K$291), U$290, J364), J364))</f>
        <v>0</v>
      </c>
      <c r="K364" s="21">
        <f t="shared" si="3978"/>
        <v>0</v>
      </c>
      <c r="L364" s="21">
        <f t="shared" si="3978"/>
        <v>0</v>
      </c>
      <c r="M364" s="21">
        <f t="shared" si="3978"/>
        <v>0</v>
      </c>
      <c r="N364" s="21">
        <f t="shared" si="3978"/>
        <v>0</v>
      </c>
      <c r="O364" s="21">
        <f t="shared" si="3978"/>
        <v>0</v>
      </c>
      <c r="P364" s="21">
        <f t="shared" si="3978"/>
        <v>0</v>
      </c>
      <c r="Q364" s="21">
        <f t="shared" si="3978"/>
        <v>0</v>
      </c>
      <c r="R364" s="21">
        <f>IF($F$290, 0, IF($C$301, IF(AND(COLUMN($R$364)-COLUMN($B$359)=$Q$291,ROW($R$364)-ROW($B$359)=$K$291), U$290, R364), R364))</f>
        <v>0</v>
      </c>
      <c r="S364" s="21">
        <f t="shared" ref="S364:Y364" si="3979">IF($F$290, 0, IF($C$301, IF(AND(COLUMN($R$364)-COLUMN($B$359)=$Q$291,ROW($R$364)-ROW($B$359)=$K$291), V$290, S364), S364))</f>
        <v>0</v>
      </c>
      <c r="T364" s="21">
        <f t="shared" si="3979"/>
        <v>0</v>
      </c>
      <c r="U364" s="21">
        <f t="shared" si="3979"/>
        <v>0</v>
      </c>
      <c r="V364" s="21">
        <f t="shared" si="3979"/>
        <v>0</v>
      </c>
      <c r="W364" s="21">
        <f t="shared" si="3979"/>
        <v>0</v>
      </c>
      <c r="X364" s="21">
        <f t="shared" si="3979"/>
        <v>0</v>
      </c>
      <c r="Y364" s="21">
        <f t="shared" si="3979"/>
        <v>0</v>
      </c>
      <c r="Z364" s="21">
        <f t="shared" ref="Z364:AG364" si="3980">IF($F$290, 0, IF($C$301, IF(AND(COLUMN($Z$364)-COLUMN($B$359)=$Q$291,ROW($Z$364)-ROW($B$359)=$K$291), U$290, Z364), Z364))</f>
        <v>0</v>
      </c>
      <c r="AA364" s="21">
        <f t="shared" si="3980"/>
        <v>0</v>
      </c>
      <c r="AB364" s="21">
        <f t="shared" si="3980"/>
        <v>0</v>
      </c>
      <c r="AC364" s="21">
        <f t="shared" si="3980"/>
        <v>0</v>
      </c>
      <c r="AD364" s="21">
        <f t="shared" si="3980"/>
        <v>0</v>
      </c>
      <c r="AE364" s="21">
        <f t="shared" si="3980"/>
        <v>0</v>
      </c>
      <c r="AF364" s="21">
        <f t="shared" si="3980"/>
        <v>0</v>
      </c>
      <c r="AG364" s="21">
        <f t="shared" si="3980"/>
        <v>0</v>
      </c>
      <c r="AH364" s="21">
        <f t="shared" ref="AH364:AO364" si="3981">IF($F$290, 0, IF($C$301, IF(AND(COLUMN($AH$364)-COLUMN($B$359)=$Q$291,ROW($AH$364)-ROW($B$359)=$K$291), U$290, AH364), AH364))</f>
        <v>0</v>
      </c>
      <c r="AI364" s="21">
        <f t="shared" si="3981"/>
        <v>0</v>
      </c>
      <c r="AJ364" s="21">
        <f t="shared" si="3981"/>
        <v>0</v>
      </c>
      <c r="AK364" s="21">
        <f t="shared" si="3981"/>
        <v>0</v>
      </c>
      <c r="AL364" s="21">
        <f t="shared" si="3981"/>
        <v>0</v>
      </c>
      <c r="AM364" s="21">
        <f t="shared" si="3981"/>
        <v>0</v>
      </c>
      <c r="AN364" s="21">
        <f t="shared" si="3981"/>
        <v>0</v>
      </c>
      <c r="AO364" s="21">
        <f t="shared" si="3981"/>
        <v>0</v>
      </c>
      <c r="AP364" s="21">
        <f t="shared" ref="AP364:AW364" si="3982">IF($F$290, 0, IF($C$301, IF(AND(COLUMN($AP$364)-COLUMN($B$359)=$Q$291,ROW($AP$364)-ROW($B$359)=$K$291), U$290, AP364), AP364))</f>
        <v>0</v>
      </c>
      <c r="AQ364" s="21">
        <f t="shared" si="3982"/>
        <v>0</v>
      </c>
      <c r="AR364" s="21">
        <f t="shared" si="3982"/>
        <v>0</v>
      </c>
      <c r="AS364" s="21">
        <f t="shared" si="3982"/>
        <v>0</v>
      </c>
      <c r="AT364" s="21">
        <f t="shared" si="3982"/>
        <v>0</v>
      </c>
      <c r="AU364" s="21">
        <f t="shared" si="3982"/>
        <v>0</v>
      </c>
      <c r="AV364" s="21">
        <f t="shared" si="3982"/>
        <v>0</v>
      </c>
      <c r="AW364" s="21">
        <f t="shared" si="3982"/>
        <v>0</v>
      </c>
      <c r="AX364" s="21">
        <f t="shared" ref="AX364:BE364" si="3983">IF($F$290, 0, IF($C$301, IF(AND(COLUMN($AX$364)-COLUMN($B$359)=$Q$291,ROW($AX$364)-ROW($B$359)=$K$291), U$290, AX364), AX364))</f>
        <v>0</v>
      </c>
      <c r="AY364" s="21">
        <f t="shared" si="3983"/>
        <v>0</v>
      </c>
      <c r="AZ364" s="21">
        <f t="shared" si="3983"/>
        <v>0</v>
      </c>
      <c r="BA364" s="21">
        <f t="shared" si="3983"/>
        <v>0</v>
      </c>
      <c r="BB364" s="21">
        <f t="shared" si="3983"/>
        <v>0</v>
      </c>
      <c r="BC364" s="21">
        <f t="shared" si="3983"/>
        <v>0</v>
      </c>
      <c r="BD364" s="21">
        <f t="shared" si="3983"/>
        <v>0</v>
      </c>
      <c r="BE364" s="21">
        <f t="shared" si="3983"/>
        <v>0</v>
      </c>
      <c r="BF364" s="21">
        <f t="shared" ref="BF364:BM364" si="3984">IF($F$290, 0, IF($C$301, IF(AND(COLUMN($BF$364)-COLUMN($B$359)=$Q$291,ROW($BF$364)-ROW($B$359)=$K$291), U$290, BF364), BF364))</f>
        <v>0</v>
      </c>
      <c r="BG364" s="21">
        <f t="shared" si="3984"/>
        <v>0</v>
      </c>
      <c r="BH364" s="21">
        <f t="shared" si="3984"/>
        <v>0</v>
      </c>
      <c r="BI364" s="21">
        <f t="shared" si="3984"/>
        <v>0</v>
      </c>
      <c r="BJ364" s="21">
        <f t="shared" si="3984"/>
        <v>0</v>
      </c>
      <c r="BK364" s="21">
        <f t="shared" si="3984"/>
        <v>0</v>
      </c>
      <c r="BL364" s="21">
        <f t="shared" si="3984"/>
        <v>0</v>
      </c>
      <c r="BM364" s="21">
        <f t="shared" si="3984"/>
        <v>0</v>
      </c>
      <c r="BN364" s="21">
        <f t="shared" ref="BN364:BU364" si="3985">IF($F$290, 0, IF($D$301, IF(AND(COLUMN($BN$364)-COLUMN($BN$359)=$Q$291,ROW($BN$364)-ROW($BN$359)=$K$291), U$290, BN364), BN364))</f>
        <v>0</v>
      </c>
      <c r="BO364" s="21">
        <f t="shared" si="3985"/>
        <v>0</v>
      </c>
      <c r="BP364" s="21">
        <f t="shared" si="3985"/>
        <v>0</v>
      </c>
      <c r="BQ364" s="21">
        <f t="shared" si="3985"/>
        <v>0</v>
      </c>
      <c r="BR364" s="21">
        <f t="shared" si="3985"/>
        <v>0</v>
      </c>
      <c r="BS364" s="21">
        <f t="shared" si="3985"/>
        <v>0</v>
      </c>
      <c r="BT364" s="21">
        <f t="shared" si="3985"/>
        <v>0</v>
      </c>
      <c r="BU364" s="21">
        <f t="shared" si="3985"/>
        <v>0</v>
      </c>
      <c r="BV364" s="21">
        <f t="shared" ref="BV364:CC364" si="3986">IF($F$290, 0, IF($D$301, IF(AND(COLUMN($BV$364)-COLUMN($BN$359)=$Q$291,ROW($BV$364)-ROW($BN$359)=$K$291), U$290, BV364), BV364))</f>
        <v>0</v>
      </c>
      <c r="BW364" s="21">
        <f t="shared" si="3986"/>
        <v>0</v>
      </c>
      <c r="BX364" s="21">
        <f t="shared" si="3986"/>
        <v>0</v>
      </c>
      <c r="BY364" s="21">
        <f t="shared" si="3986"/>
        <v>0</v>
      </c>
      <c r="BZ364" s="21">
        <f t="shared" si="3986"/>
        <v>0</v>
      </c>
      <c r="CA364" s="21">
        <f t="shared" si="3986"/>
        <v>0</v>
      </c>
      <c r="CB364" s="21">
        <f t="shared" si="3986"/>
        <v>0</v>
      </c>
      <c r="CC364" s="21">
        <f t="shared" si="3986"/>
        <v>0</v>
      </c>
      <c r="CD364" s="21">
        <f t="shared" ref="CD364:CK364" si="3987">IF($F$290, 0, IF($D$301, IF(AND(COLUMN($CD$364)-COLUMN($BN$359)=$Q$291,ROW($CD$364)-ROW($BN$359)=$K$291), U$290, CD364), CD364))</f>
        <v>0</v>
      </c>
      <c r="CE364" s="21">
        <f t="shared" si="3987"/>
        <v>0</v>
      </c>
      <c r="CF364" s="21">
        <f t="shared" si="3987"/>
        <v>0</v>
      </c>
      <c r="CG364" s="21">
        <f t="shared" si="3987"/>
        <v>0</v>
      </c>
      <c r="CH364" s="21">
        <f t="shared" si="3987"/>
        <v>0</v>
      </c>
      <c r="CI364" s="21">
        <f t="shared" si="3987"/>
        <v>0</v>
      </c>
      <c r="CJ364" s="21">
        <f t="shared" si="3987"/>
        <v>0</v>
      </c>
      <c r="CK364" s="21">
        <f t="shared" si="3987"/>
        <v>0</v>
      </c>
      <c r="CL364" s="21">
        <f t="shared" ref="CL364:CS364" si="3988">IF($F$290, 0, IF($D$301, IF(AND(COLUMN($CL$364)-COLUMN($BN$359)=$Q$291,ROW($CL$364)-ROW($BN$359)=$K$291), U$290, CL364), CL364))</f>
        <v>0</v>
      </c>
      <c r="CM364" s="21">
        <f t="shared" si="3988"/>
        <v>0</v>
      </c>
      <c r="CN364" s="21">
        <f t="shared" si="3988"/>
        <v>0</v>
      </c>
      <c r="CO364" s="21">
        <f t="shared" si="3988"/>
        <v>0</v>
      </c>
      <c r="CP364" s="21">
        <f t="shared" si="3988"/>
        <v>0</v>
      </c>
      <c r="CQ364" s="21">
        <f t="shared" si="3988"/>
        <v>0</v>
      </c>
      <c r="CR364" s="21">
        <f t="shared" si="3988"/>
        <v>0</v>
      </c>
      <c r="CS364" s="21">
        <f t="shared" si="3988"/>
        <v>0</v>
      </c>
      <c r="CT364" s="21">
        <f t="shared" ref="CT364:DA364" si="3989">IF($F$290, 0, IF($D$301, IF(AND(COLUMN($CT$364)-COLUMN($BN$359)=$Q$291,ROW($CT$364)-ROW($BN$359)=$K$291), U$290, CT364), CT364))</f>
        <v>0</v>
      </c>
      <c r="CU364" s="21">
        <f t="shared" si="3989"/>
        <v>0</v>
      </c>
      <c r="CV364" s="21">
        <f t="shared" si="3989"/>
        <v>0</v>
      </c>
      <c r="CW364" s="21">
        <f t="shared" si="3989"/>
        <v>0</v>
      </c>
      <c r="CX364" s="21">
        <f t="shared" si="3989"/>
        <v>0</v>
      </c>
      <c r="CY364" s="21">
        <f t="shared" si="3989"/>
        <v>0</v>
      </c>
      <c r="CZ364" s="21">
        <f t="shared" si="3989"/>
        <v>0</v>
      </c>
      <c r="DA364" s="21">
        <f t="shared" si="3989"/>
        <v>0</v>
      </c>
      <c r="DB364" s="21">
        <f t="shared" ref="DB364:DI364" si="3990">IF($F$290, 0, IF($D$301, IF(AND(COLUMN($DB$364)-COLUMN($BN$359)=$Q$291,ROW($DB$364)-ROW($BN$359)=$K$291), U$290, DB364), DB364))</f>
        <v>0</v>
      </c>
      <c r="DC364" s="21">
        <f t="shared" si="3990"/>
        <v>0</v>
      </c>
      <c r="DD364" s="21">
        <f t="shared" si="3990"/>
        <v>0</v>
      </c>
      <c r="DE364" s="21">
        <f t="shared" si="3990"/>
        <v>0</v>
      </c>
      <c r="DF364" s="21">
        <f t="shared" si="3990"/>
        <v>0</v>
      </c>
      <c r="DG364" s="21">
        <f t="shared" si="3990"/>
        <v>0</v>
      </c>
      <c r="DH364" s="21">
        <f t="shared" si="3990"/>
        <v>0</v>
      </c>
      <c r="DI364" s="21">
        <f t="shared" si="3990"/>
        <v>0</v>
      </c>
      <c r="DJ364" s="21">
        <f t="shared" ref="DJ364:DQ364" si="3991">IF($F$290, 0, IF($D$301, IF(AND(COLUMN($DJ$364)-COLUMN($BN$359)=$Q$291,ROW($DJ$364)-ROW($BN$359)=$K$291), U$290, DJ364), DJ364))</f>
        <v>0</v>
      </c>
      <c r="DK364" s="21">
        <f t="shared" si="3991"/>
        <v>0</v>
      </c>
      <c r="DL364" s="21">
        <f t="shared" si="3991"/>
        <v>0</v>
      </c>
      <c r="DM364" s="21">
        <f t="shared" si="3991"/>
        <v>0</v>
      </c>
      <c r="DN364" s="21">
        <f t="shared" si="3991"/>
        <v>0</v>
      </c>
      <c r="DO364" s="21">
        <f t="shared" si="3991"/>
        <v>0</v>
      </c>
      <c r="DP364" s="21">
        <f t="shared" si="3991"/>
        <v>0</v>
      </c>
      <c r="DQ364" s="21">
        <f t="shared" si="3991"/>
        <v>0</v>
      </c>
      <c r="DR364" s="21">
        <f t="shared" ref="DR364:DY364" si="3992">IF($F$290, 0, IF($D$301, IF(AND(COLUMN($DR$364)-COLUMN($BN$359)=$Q$291,ROW($DR$364)-ROW($BN$359)=$K$291), U$290, DR364), DR364))</f>
        <v>0</v>
      </c>
      <c r="DS364" s="21">
        <f t="shared" si="3992"/>
        <v>0</v>
      </c>
      <c r="DT364" s="21">
        <f t="shared" si="3992"/>
        <v>0</v>
      </c>
      <c r="DU364" s="21">
        <f t="shared" si="3992"/>
        <v>0</v>
      </c>
      <c r="DV364" s="21">
        <f t="shared" si="3992"/>
        <v>0</v>
      </c>
      <c r="DW364" s="21">
        <f t="shared" si="3992"/>
        <v>0</v>
      </c>
      <c r="DX364" s="21">
        <f t="shared" si="3992"/>
        <v>0</v>
      </c>
      <c r="DY364" s="21">
        <f t="shared" si="3992"/>
        <v>0</v>
      </c>
      <c r="DZ364" s="21">
        <f t="shared" ref="DZ364:EG364" si="3993">IF($F$290, 0, IF($E$301, IF(AND(COLUMN($DZ$364)-COLUMN($DZ$359)=$Q$291,ROW($DZ$364)-ROW($DZ$359)=$K$291), U$290, DZ364), DZ364))</f>
        <v>0</v>
      </c>
      <c r="EA364" s="21">
        <f t="shared" si="3993"/>
        <v>0</v>
      </c>
      <c r="EB364" s="21">
        <f t="shared" si="3993"/>
        <v>0</v>
      </c>
      <c r="EC364" s="21">
        <f t="shared" si="3993"/>
        <v>0</v>
      </c>
      <c r="ED364" s="21">
        <f t="shared" si="3993"/>
        <v>0</v>
      </c>
      <c r="EE364" s="21">
        <f t="shared" si="3993"/>
        <v>0</v>
      </c>
      <c r="EF364" s="21">
        <f t="shared" si="3993"/>
        <v>0</v>
      </c>
      <c r="EG364" s="21">
        <f t="shared" si="3993"/>
        <v>0</v>
      </c>
      <c r="EH364" s="21">
        <f t="shared" ref="EH364:EO364" si="3994">IF($F$290, 0, IF($E$301, IF(AND(COLUMN($EH$364)-COLUMN($DZ$359)=$Q$291,ROW($EH$364)-ROW($DZ$359)=$K$291), U$290, EH364), EH364))</f>
        <v>0</v>
      </c>
      <c r="EI364" s="21">
        <f t="shared" si="3994"/>
        <v>0</v>
      </c>
      <c r="EJ364" s="21">
        <f t="shared" si="3994"/>
        <v>0</v>
      </c>
      <c r="EK364" s="21">
        <f t="shared" si="3994"/>
        <v>0</v>
      </c>
      <c r="EL364" s="21">
        <f t="shared" si="3994"/>
        <v>0</v>
      </c>
      <c r="EM364" s="21">
        <f t="shared" si="3994"/>
        <v>0</v>
      </c>
      <c r="EN364" s="21">
        <f t="shared" si="3994"/>
        <v>0</v>
      </c>
      <c r="EO364" s="21">
        <f t="shared" si="3994"/>
        <v>0</v>
      </c>
      <c r="EP364" s="21">
        <f t="shared" ref="EP364:EW364" si="3995">IF($F$290, 0, IF($E$301, IF(AND(COLUMN($EP$364)-COLUMN($DZ$359)=$Q$291,ROW($EP$364)-ROW($DZ$359)=$K$291), U$290, EP364), EP364))</f>
        <v>0</v>
      </c>
      <c r="EQ364" s="21">
        <f t="shared" si="3995"/>
        <v>0</v>
      </c>
      <c r="ER364" s="21">
        <f t="shared" si="3995"/>
        <v>0</v>
      </c>
      <c r="ES364" s="21">
        <f t="shared" si="3995"/>
        <v>0</v>
      </c>
      <c r="ET364" s="21">
        <f t="shared" si="3995"/>
        <v>0</v>
      </c>
      <c r="EU364" s="21">
        <f t="shared" si="3995"/>
        <v>0</v>
      </c>
      <c r="EV364" s="21">
        <f t="shared" si="3995"/>
        <v>0</v>
      </c>
      <c r="EW364" s="21">
        <f t="shared" si="3995"/>
        <v>0</v>
      </c>
      <c r="EX364" s="21">
        <f t="shared" ref="EX364:FE364" si="3996">IF($F$290, 0, IF($E$301, IF(AND(COLUMN($EX$364)-COLUMN($DZ$359)=$Q$291,ROW($EX$364)-ROW($DZ$359)=$K$291), U$290, EX364), EX364))</f>
        <v>0</v>
      </c>
      <c r="EY364" s="21">
        <f t="shared" si="3996"/>
        <v>0</v>
      </c>
      <c r="EZ364" s="21">
        <f t="shared" si="3996"/>
        <v>0</v>
      </c>
      <c r="FA364" s="21">
        <f t="shared" si="3996"/>
        <v>0</v>
      </c>
      <c r="FB364" s="21">
        <f t="shared" si="3996"/>
        <v>0</v>
      </c>
      <c r="FC364" s="21">
        <f t="shared" si="3996"/>
        <v>0</v>
      </c>
      <c r="FD364" s="21">
        <f t="shared" si="3996"/>
        <v>0</v>
      </c>
      <c r="FE364" s="21">
        <f t="shared" si="3996"/>
        <v>0</v>
      </c>
      <c r="FF364" s="21">
        <f t="shared" ref="FF364:FM364" si="3997">IF($F$290, 0, IF($E$301, IF(AND(COLUMN($FF$364)-COLUMN($DZ$359)=$Q$291,ROW($FF$364)-ROW($DZ$359)=$K$291), U$290, FF364), FF364))</f>
        <v>0</v>
      </c>
      <c r="FG364" s="21">
        <f t="shared" si="3997"/>
        <v>0</v>
      </c>
      <c r="FH364" s="21">
        <f t="shared" si="3997"/>
        <v>0</v>
      </c>
      <c r="FI364" s="21">
        <f t="shared" si="3997"/>
        <v>0</v>
      </c>
      <c r="FJ364" s="21">
        <f t="shared" si="3997"/>
        <v>0</v>
      </c>
      <c r="FK364" s="21">
        <f t="shared" si="3997"/>
        <v>0</v>
      </c>
      <c r="FL364" s="21">
        <f t="shared" si="3997"/>
        <v>0</v>
      </c>
      <c r="FM364" s="21">
        <f t="shared" si="3997"/>
        <v>0</v>
      </c>
      <c r="FN364" s="21">
        <f t="shared" ref="FN364:FU364" si="3998">IF($F$290, 0, IF($E$301, IF(AND(COLUMN($FN$364)-COLUMN($DZ$359)=$Q$291,ROW($FN$364)-ROW($DZ$359)=$K$291), U$290, FN364), FN364))</f>
        <v>0</v>
      </c>
      <c r="FO364" s="21">
        <f t="shared" si="3998"/>
        <v>0</v>
      </c>
      <c r="FP364" s="21">
        <f t="shared" si="3998"/>
        <v>0</v>
      </c>
      <c r="FQ364" s="21">
        <f t="shared" si="3998"/>
        <v>0</v>
      </c>
      <c r="FR364" s="21">
        <f t="shared" si="3998"/>
        <v>0</v>
      </c>
      <c r="FS364" s="21">
        <f t="shared" si="3998"/>
        <v>0</v>
      </c>
      <c r="FT364" s="21">
        <f t="shared" si="3998"/>
        <v>0</v>
      </c>
      <c r="FU364" s="21">
        <f t="shared" si="3998"/>
        <v>0</v>
      </c>
      <c r="FV364" s="21">
        <f t="shared" ref="FV364:GC364" si="3999">IF($F$290, 0, IF($E$301, IF(AND(COLUMN($FV$364)-COLUMN($DZ$359)=$Q$291,ROW($FV$364)-ROW($DZ$359)=$K$291), U$290, FV364), FV364))</f>
        <v>0</v>
      </c>
      <c r="FW364" s="21">
        <f t="shared" si="3999"/>
        <v>0</v>
      </c>
      <c r="FX364" s="21">
        <f t="shared" si="3999"/>
        <v>0</v>
      </c>
      <c r="FY364" s="21">
        <f t="shared" si="3999"/>
        <v>0</v>
      </c>
      <c r="FZ364" s="21">
        <f t="shared" si="3999"/>
        <v>0</v>
      </c>
      <c r="GA364" s="21">
        <f t="shared" si="3999"/>
        <v>0</v>
      </c>
      <c r="GB364" s="21">
        <f t="shared" si="3999"/>
        <v>0</v>
      </c>
      <c r="GC364" s="21">
        <f t="shared" si="3999"/>
        <v>0</v>
      </c>
      <c r="GD364" s="21">
        <f t="shared" ref="GD364:GK364" si="4000">IF($F$290, 0, IF($E$301, IF(AND(COLUMN($GD$364)-COLUMN($DZ$359)=$Q$291,ROW($GD$364)-ROW($DZ$359)=$K$291), U$290, GD364), GD364))</f>
        <v>0</v>
      </c>
      <c r="GE364" s="21">
        <f t="shared" si="4000"/>
        <v>0</v>
      </c>
      <c r="GF364" s="21">
        <f t="shared" si="4000"/>
        <v>0</v>
      </c>
      <c r="GG364" s="21">
        <f t="shared" si="4000"/>
        <v>0</v>
      </c>
      <c r="GH364" s="21">
        <f t="shared" si="4000"/>
        <v>0</v>
      </c>
      <c r="GI364" s="21">
        <f t="shared" si="4000"/>
        <v>0</v>
      </c>
      <c r="GJ364" s="21">
        <f t="shared" si="4000"/>
        <v>0</v>
      </c>
      <c r="GK364" s="21">
        <f t="shared" si="4000"/>
        <v>0</v>
      </c>
      <c r="GL364" s="21">
        <f t="shared" ref="GL364:GS364" si="4001">IF($F$290, 0, IF($F$301, IF(AND(COLUMN($GL$364)-COLUMN($GL$359)=$Q$291,ROW($GL$364)-ROW($GL$359)=$K$291), U$290, GL364), GL364))</f>
        <v>0</v>
      </c>
      <c r="GM364" s="21">
        <f t="shared" si="4001"/>
        <v>0</v>
      </c>
      <c r="GN364" s="21">
        <f t="shared" si="4001"/>
        <v>0</v>
      </c>
      <c r="GO364" s="21">
        <f t="shared" si="4001"/>
        <v>0</v>
      </c>
      <c r="GP364" s="21">
        <f t="shared" si="4001"/>
        <v>0</v>
      </c>
      <c r="GQ364" s="21">
        <f t="shared" si="4001"/>
        <v>0</v>
      </c>
      <c r="GR364" s="21">
        <f t="shared" si="4001"/>
        <v>0</v>
      </c>
      <c r="GS364" s="21">
        <f t="shared" si="4001"/>
        <v>0</v>
      </c>
      <c r="GT364" s="21">
        <f t="shared" ref="GT364:HA364" si="4002">IF($F$290, 0, IF($F$301, IF(AND(COLUMN($GT$364)-COLUMN($GL$359)=$Q$291,ROW($GT$364)-ROW($GL$359)=$K$291), U$290, GT364), GT364))</f>
        <v>0</v>
      </c>
      <c r="GU364" s="21">
        <f t="shared" si="4002"/>
        <v>0</v>
      </c>
      <c r="GV364" s="21">
        <f t="shared" si="4002"/>
        <v>0</v>
      </c>
      <c r="GW364" s="21">
        <f t="shared" si="4002"/>
        <v>0</v>
      </c>
      <c r="GX364" s="21">
        <f t="shared" si="4002"/>
        <v>0</v>
      </c>
      <c r="GY364" s="21">
        <f t="shared" si="4002"/>
        <v>0</v>
      </c>
      <c r="GZ364" s="21">
        <f t="shared" si="4002"/>
        <v>0</v>
      </c>
      <c r="HA364" s="21">
        <f t="shared" si="4002"/>
        <v>0</v>
      </c>
      <c r="HB364" s="21">
        <f t="shared" ref="HB364:HI364" si="4003">IF($F$290, 0, IF($F$301, IF(AND(COLUMN($HB$364)-COLUMN($GL$359)=$Q$291,ROW($HB$364)-ROW($GL$359)=$K$291), U$290, HB364), HB364))</f>
        <v>0</v>
      </c>
      <c r="HC364" s="21">
        <f t="shared" si="4003"/>
        <v>0</v>
      </c>
      <c r="HD364" s="21">
        <f t="shared" si="4003"/>
        <v>0</v>
      </c>
      <c r="HE364" s="21">
        <f t="shared" si="4003"/>
        <v>0</v>
      </c>
      <c r="HF364" s="21">
        <f t="shared" si="4003"/>
        <v>0</v>
      </c>
      <c r="HG364" s="21">
        <f t="shared" si="4003"/>
        <v>0</v>
      </c>
      <c r="HH364" s="21">
        <f t="shared" si="4003"/>
        <v>0</v>
      </c>
      <c r="HI364" s="21">
        <f t="shared" si="4003"/>
        <v>0</v>
      </c>
      <c r="HJ364" s="21">
        <f t="shared" ref="HJ364:HQ364" si="4004">IF($F$290, 0, IF($F$301, IF(AND(COLUMN($HJ$364)-COLUMN($GL$359)=$Q$291,ROW($HJ$364)-ROW($GL$359)=$K$291), U$290, HJ364), HJ364))</f>
        <v>0</v>
      </c>
      <c r="HK364" s="21">
        <f t="shared" si="4004"/>
        <v>0</v>
      </c>
      <c r="HL364" s="21">
        <f t="shared" si="4004"/>
        <v>0</v>
      </c>
      <c r="HM364" s="21">
        <f t="shared" si="4004"/>
        <v>0</v>
      </c>
      <c r="HN364" s="21">
        <f t="shared" si="4004"/>
        <v>0</v>
      </c>
      <c r="HO364" s="21">
        <f t="shared" si="4004"/>
        <v>0</v>
      </c>
      <c r="HP364" s="21">
        <f t="shared" si="4004"/>
        <v>0</v>
      </c>
      <c r="HQ364" s="21">
        <f t="shared" si="4004"/>
        <v>0</v>
      </c>
      <c r="HR364" s="21">
        <f t="shared" ref="HR364:HY364" si="4005">IF($F$290, 0, IF($F$301, IF(AND(COLUMN($HR$364)-COLUMN($GL$359)=$Q$291,ROW($HR$364)-ROW($GL$359)=$K$291), U$290, HR364), HR364))</f>
        <v>0</v>
      </c>
      <c r="HS364" s="21">
        <f t="shared" si="4005"/>
        <v>0</v>
      </c>
      <c r="HT364" s="21">
        <f t="shared" si="4005"/>
        <v>0</v>
      </c>
      <c r="HU364" s="21">
        <f t="shared" si="4005"/>
        <v>0</v>
      </c>
      <c r="HV364" s="21">
        <f t="shared" si="4005"/>
        <v>0</v>
      </c>
      <c r="HW364" s="21">
        <f t="shared" si="4005"/>
        <v>0</v>
      </c>
      <c r="HX364" s="21">
        <f t="shared" si="4005"/>
        <v>0</v>
      </c>
      <c r="HY364" s="21">
        <f t="shared" si="4005"/>
        <v>0</v>
      </c>
      <c r="HZ364" s="21">
        <f t="shared" ref="HZ364:IG364" si="4006">IF($F$290, 0, IF($F$301, IF(AND(COLUMN($HZ$364)-COLUMN($GL$359)=$Q$291,ROW($HZ$364)-ROW($GL$359)=$K$291), U$290, HZ364), HZ364))</f>
        <v>0</v>
      </c>
      <c r="IA364" s="21">
        <f t="shared" si="4006"/>
        <v>0</v>
      </c>
      <c r="IB364" s="21">
        <f t="shared" si="4006"/>
        <v>0</v>
      </c>
      <c r="IC364" s="21">
        <f t="shared" si="4006"/>
        <v>0</v>
      </c>
      <c r="ID364" s="21">
        <f t="shared" si="4006"/>
        <v>0</v>
      </c>
      <c r="IE364" s="21">
        <f t="shared" si="4006"/>
        <v>0</v>
      </c>
      <c r="IF364" s="21">
        <f t="shared" si="4006"/>
        <v>0</v>
      </c>
      <c r="IG364" s="21">
        <f t="shared" si="4006"/>
        <v>0</v>
      </c>
      <c r="IH364" s="21">
        <f t="shared" ref="IH364:IO364" si="4007">IF($F$290, 0, IF($F$301, IF(AND(COLUMN($IH$364)-COLUMN($GL$359)=$Q$291,ROW($IH$364)-ROW($GL$359)=$K$291), U$290, IH364), IH364))</f>
        <v>0</v>
      </c>
      <c r="II364" s="21">
        <f t="shared" si="4007"/>
        <v>0</v>
      </c>
      <c r="IJ364" s="21">
        <f t="shared" si="4007"/>
        <v>0</v>
      </c>
      <c r="IK364" s="21">
        <f t="shared" si="4007"/>
        <v>0</v>
      </c>
      <c r="IL364" s="21">
        <f t="shared" si="4007"/>
        <v>0</v>
      </c>
      <c r="IM364" s="21">
        <f t="shared" si="4007"/>
        <v>0</v>
      </c>
      <c r="IN364" s="21">
        <f t="shared" si="4007"/>
        <v>0</v>
      </c>
      <c r="IO364" s="21">
        <f t="shared" si="4007"/>
        <v>0</v>
      </c>
      <c r="IP364" s="21">
        <f t="shared" ref="IP364:IW364" si="4008">IF($F$290, 0, IF($F$301, IF(AND(COLUMN($IP$364)-COLUMN($GL$359)=$Q$291,ROW($IP$364)-ROW($GL$359)=$K$291), U$290, IP364), IP364))</f>
        <v>0</v>
      </c>
      <c r="IQ364" s="21">
        <f t="shared" si="4008"/>
        <v>0</v>
      </c>
      <c r="IR364" s="21">
        <f t="shared" si="4008"/>
        <v>0</v>
      </c>
      <c r="IS364" s="21">
        <f t="shared" si="4008"/>
        <v>0</v>
      </c>
      <c r="IT364" s="21">
        <f t="shared" si="4008"/>
        <v>0</v>
      </c>
      <c r="IU364" s="21">
        <f t="shared" si="4008"/>
        <v>0</v>
      </c>
      <c r="IV364" s="21">
        <f t="shared" si="4008"/>
        <v>0</v>
      </c>
      <c r="IW364" s="21">
        <f t="shared" si="4008"/>
        <v>0</v>
      </c>
      <c r="IX364" s="21">
        <f t="shared" ref="IX364:JE364" si="4009">IF($F$290, 0, IF($G$301, IF(AND(COLUMN($IX$364)-COLUMN($IX$359)=$Q$291,ROW($IX$364)-ROW($IX$359)=$K$291), U$290, IX364), IX364))</f>
        <v>0</v>
      </c>
      <c r="IY364" s="21">
        <f t="shared" si="4009"/>
        <v>0</v>
      </c>
      <c r="IZ364" s="21">
        <f t="shared" si="4009"/>
        <v>0</v>
      </c>
      <c r="JA364" s="21">
        <f t="shared" si="4009"/>
        <v>0</v>
      </c>
      <c r="JB364" s="21">
        <f t="shared" si="4009"/>
        <v>0</v>
      </c>
      <c r="JC364" s="21">
        <f t="shared" si="4009"/>
        <v>0</v>
      </c>
      <c r="JD364" s="21">
        <f t="shared" si="4009"/>
        <v>0</v>
      </c>
      <c r="JE364" s="21">
        <f t="shared" si="4009"/>
        <v>0</v>
      </c>
      <c r="JF364" s="21">
        <f t="shared" ref="JF364:JM364" si="4010">IF($F$290, 0, IF($G$301, IF(AND(COLUMN($JF$364)-COLUMN($IX$359)=$Q$291,ROW($JF$364)-ROW($IX$359)=$K$291), U$290, JF364), JF364))</f>
        <v>0</v>
      </c>
      <c r="JG364" s="21">
        <f t="shared" si="4010"/>
        <v>0</v>
      </c>
      <c r="JH364" s="21">
        <f t="shared" si="4010"/>
        <v>0</v>
      </c>
      <c r="JI364" s="21">
        <f t="shared" si="4010"/>
        <v>0</v>
      </c>
      <c r="JJ364" s="21">
        <f t="shared" si="4010"/>
        <v>0</v>
      </c>
      <c r="JK364" s="21">
        <f t="shared" si="4010"/>
        <v>0</v>
      </c>
      <c r="JL364" s="21">
        <f t="shared" si="4010"/>
        <v>0</v>
      </c>
      <c r="JM364" s="21">
        <f t="shared" si="4010"/>
        <v>0</v>
      </c>
      <c r="JN364" s="21">
        <f t="shared" ref="JN364:JU364" si="4011">IF($F$290, 0, IF($G$301, IF(AND(COLUMN($JN$364)-COLUMN($IX$359)=$Q$291,ROW($JN$364)-ROW($IX$359)=$K$291), U$290, JN364), JN364))</f>
        <v>0</v>
      </c>
      <c r="JO364" s="21">
        <f t="shared" si="4011"/>
        <v>0</v>
      </c>
      <c r="JP364" s="21">
        <f t="shared" si="4011"/>
        <v>0</v>
      </c>
      <c r="JQ364" s="21">
        <f t="shared" si="4011"/>
        <v>0</v>
      </c>
      <c r="JR364" s="21">
        <f t="shared" si="4011"/>
        <v>0</v>
      </c>
      <c r="JS364" s="21">
        <f t="shared" si="4011"/>
        <v>0</v>
      </c>
      <c r="JT364" s="21">
        <f t="shared" si="4011"/>
        <v>0</v>
      </c>
      <c r="JU364" s="21">
        <f t="shared" si="4011"/>
        <v>0</v>
      </c>
      <c r="JV364" s="21">
        <f t="shared" ref="JV364:KC364" si="4012">IF($F$290, 0, IF($G$301, IF(AND(COLUMN($JV$364)-COLUMN($IX$359)=$Q$291,ROW($JV$364)-ROW($IX$359)=$K$291), U$290, JV364), JV364))</f>
        <v>0</v>
      </c>
      <c r="JW364" s="21">
        <f t="shared" si="4012"/>
        <v>0</v>
      </c>
      <c r="JX364" s="21">
        <f t="shared" si="4012"/>
        <v>0</v>
      </c>
      <c r="JY364" s="21">
        <f t="shared" si="4012"/>
        <v>0</v>
      </c>
      <c r="JZ364" s="21">
        <f t="shared" si="4012"/>
        <v>0</v>
      </c>
      <c r="KA364" s="21">
        <f t="shared" si="4012"/>
        <v>0</v>
      </c>
      <c r="KB364" s="21">
        <f t="shared" si="4012"/>
        <v>0</v>
      </c>
      <c r="KC364" s="21">
        <f t="shared" si="4012"/>
        <v>0</v>
      </c>
      <c r="KD364" s="21">
        <f t="shared" ref="KD364:KK364" si="4013">IF($F$290, 0, IF($G$301, IF(AND(COLUMN($KD$364)-COLUMN($IX$359)=$Q$291,ROW($KD$364)-ROW($IX$359)=$K$291), U$290, KD364), KD364))</f>
        <v>0</v>
      </c>
      <c r="KE364" s="21">
        <f t="shared" si="4013"/>
        <v>0</v>
      </c>
      <c r="KF364" s="21">
        <f t="shared" si="4013"/>
        <v>0</v>
      </c>
      <c r="KG364" s="21">
        <f t="shared" si="4013"/>
        <v>0</v>
      </c>
      <c r="KH364" s="21">
        <f t="shared" si="4013"/>
        <v>0</v>
      </c>
      <c r="KI364" s="21">
        <f t="shared" si="4013"/>
        <v>0</v>
      </c>
      <c r="KJ364" s="21">
        <f t="shared" si="4013"/>
        <v>0</v>
      </c>
      <c r="KK364" s="21">
        <f t="shared" si="4013"/>
        <v>0</v>
      </c>
      <c r="KL364" s="21">
        <f t="shared" ref="KL364:KS364" si="4014">IF($F$290, 0, IF($G$301, IF(AND(COLUMN($KL$364)-COLUMN($IX$359)=$Q$291,ROW($KL$364)-ROW($IX$359)=$K$291), U$290, KL364), KL364))</f>
        <v>0</v>
      </c>
      <c r="KM364" s="21">
        <f t="shared" si="4014"/>
        <v>0</v>
      </c>
      <c r="KN364" s="21">
        <f t="shared" si="4014"/>
        <v>0</v>
      </c>
      <c r="KO364" s="21">
        <f t="shared" si="4014"/>
        <v>0</v>
      </c>
      <c r="KP364" s="21">
        <f t="shared" si="4014"/>
        <v>0</v>
      </c>
      <c r="KQ364" s="21">
        <f t="shared" si="4014"/>
        <v>0</v>
      </c>
      <c r="KR364" s="21">
        <f t="shared" si="4014"/>
        <v>0</v>
      </c>
      <c r="KS364" s="21">
        <f t="shared" si="4014"/>
        <v>0</v>
      </c>
      <c r="KT364" s="21">
        <f t="shared" ref="KT364:LA364" si="4015">IF($F$290, 0, IF($G$301, IF(AND(COLUMN($KT$364)-COLUMN($IX$359)=$Q$291,ROW($KT$364)-ROW($IX$359)=$K$291), U$290, KT364), KT364))</f>
        <v>0</v>
      </c>
      <c r="KU364" s="21">
        <f t="shared" si="4015"/>
        <v>0</v>
      </c>
      <c r="KV364" s="21">
        <f t="shared" si="4015"/>
        <v>0</v>
      </c>
      <c r="KW364" s="21">
        <f t="shared" si="4015"/>
        <v>0</v>
      </c>
      <c r="KX364" s="21">
        <f t="shared" si="4015"/>
        <v>0</v>
      </c>
      <c r="KY364" s="21">
        <f t="shared" si="4015"/>
        <v>0</v>
      </c>
      <c r="KZ364" s="21">
        <f t="shared" si="4015"/>
        <v>0</v>
      </c>
      <c r="LA364" s="21">
        <f t="shared" si="4015"/>
        <v>0</v>
      </c>
      <c r="LB364" s="21">
        <f t="shared" ref="LB364:LI364" si="4016">IF($F$290, 0, IF($G$301, IF(AND(COLUMN($LB$364)-COLUMN($IX$359)=$Q$291,ROW($LB$364)-ROW($IX$359)=$K$291), U$290, LB364), LB364))</f>
        <v>0</v>
      </c>
      <c r="LC364" s="21">
        <f t="shared" si="4016"/>
        <v>0</v>
      </c>
      <c r="LD364" s="21">
        <f t="shared" si="4016"/>
        <v>0</v>
      </c>
      <c r="LE364" s="21">
        <f t="shared" si="4016"/>
        <v>0</v>
      </c>
      <c r="LF364" s="21">
        <f t="shared" si="4016"/>
        <v>0</v>
      </c>
      <c r="LG364" s="21">
        <f t="shared" si="4016"/>
        <v>0</v>
      </c>
      <c r="LH364" s="21">
        <f t="shared" si="4016"/>
        <v>0</v>
      </c>
      <c r="LI364" s="21">
        <f t="shared" si="4016"/>
        <v>0</v>
      </c>
      <c r="LJ364" s="21">
        <f t="shared" ref="LJ364:LQ364" si="4017">IF($F$290, 0, IF($H$301, IF(AND(COLUMN($LJ$364)-COLUMN($LJ$359)=$Q$291,ROW($LJ$364)-ROW($LJ$359)=$K$291), U$290, LJ364), LJ364))</f>
        <v>0</v>
      </c>
      <c r="LK364" s="21">
        <f t="shared" si="4017"/>
        <v>0</v>
      </c>
      <c r="LL364" s="21">
        <f t="shared" si="4017"/>
        <v>0</v>
      </c>
      <c r="LM364" s="21">
        <f t="shared" si="4017"/>
        <v>0</v>
      </c>
      <c r="LN364" s="21">
        <f t="shared" si="4017"/>
        <v>0</v>
      </c>
      <c r="LO364" s="21">
        <f t="shared" si="4017"/>
        <v>0</v>
      </c>
      <c r="LP364" s="21">
        <f t="shared" si="4017"/>
        <v>0</v>
      </c>
      <c r="LQ364" s="21">
        <f t="shared" si="4017"/>
        <v>0</v>
      </c>
      <c r="LR364" s="21">
        <f t="shared" ref="LR364:LY364" si="4018">IF($F$290, 0, IF($H$301, IF(AND(COLUMN($LR$364)-COLUMN($LJ$359)=$Q$291,ROW($LR$364)-ROW($LJ$359)=$K$291), U$290, LR364), LR364))</f>
        <v>0</v>
      </c>
      <c r="LS364" s="21">
        <f t="shared" si="4018"/>
        <v>0</v>
      </c>
      <c r="LT364" s="21">
        <f t="shared" si="4018"/>
        <v>0</v>
      </c>
      <c r="LU364" s="21">
        <f t="shared" si="4018"/>
        <v>0</v>
      </c>
      <c r="LV364" s="21">
        <f t="shared" si="4018"/>
        <v>0</v>
      </c>
      <c r="LW364" s="21">
        <f t="shared" si="4018"/>
        <v>0</v>
      </c>
      <c r="LX364" s="21">
        <f t="shared" si="4018"/>
        <v>0</v>
      </c>
      <c r="LY364" s="21">
        <f t="shared" si="4018"/>
        <v>0</v>
      </c>
      <c r="LZ364" s="21">
        <f t="shared" ref="LZ364:MG364" si="4019">IF($F$290, 0, IF($H$301, IF(AND(COLUMN($LZ$364)-COLUMN($LJ$359)=$Q$291,ROW($LZ$364)-ROW($LJ$359)=$K$291), U$290, LZ364), LZ364))</f>
        <v>0</v>
      </c>
      <c r="MA364" s="21">
        <f t="shared" si="4019"/>
        <v>0</v>
      </c>
      <c r="MB364" s="21">
        <f t="shared" si="4019"/>
        <v>0</v>
      </c>
      <c r="MC364" s="21">
        <f t="shared" si="4019"/>
        <v>0</v>
      </c>
      <c r="MD364" s="21">
        <f t="shared" si="4019"/>
        <v>0</v>
      </c>
      <c r="ME364" s="21">
        <f t="shared" si="4019"/>
        <v>0</v>
      </c>
      <c r="MF364" s="21">
        <f t="shared" si="4019"/>
        <v>0</v>
      </c>
      <c r="MG364" s="21">
        <f t="shared" si="4019"/>
        <v>0</v>
      </c>
      <c r="MH364" s="21">
        <f t="shared" ref="MH364:MO364" si="4020">IF($F$290, 0, IF($H$301, IF(AND(COLUMN($MH$364)-COLUMN($LJ$359)=$Q$291,ROW($MH$364)-ROW($LJ$359)=$K$291), U$290, MH364), MH364))</f>
        <v>0</v>
      </c>
      <c r="MI364" s="21">
        <f t="shared" si="4020"/>
        <v>0</v>
      </c>
      <c r="MJ364" s="21">
        <f t="shared" si="4020"/>
        <v>0</v>
      </c>
      <c r="MK364" s="21">
        <f t="shared" si="4020"/>
        <v>0</v>
      </c>
      <c r="ML364" s="21">
        <f t="shared" si="4020"/>
        <v>0</v>
      </c>
      <c r="MM364" s="21">
        <f t="shared" si="4020"/>
        <v>0</v>
      </c>
      <c r="MN364" s="21">
        <f t="shared" si="4020"/>
        <v>0</v>
      </c>
      <c r="MO364" s="21">
        <f t="shared" si="4020"/>
        <v>0</v>
      </c>
      <c r="MP364" s="21">
        <f t="shared" ref="MP364:MW364" si="4021">IF($F$290, 0, IF($H$301, IF(AND(COLUMN($MP$364)-COLUMN($LJ$359)=$Q$291,ROW($MP$364)-ROW($LJ$359)=$K$291), U$290, MP364), MP364))</f>
        <v>0</v>
      </c>
      <c r="MQ364" s="21">
        <f t="shared" si="4021"/>
        <v>0</v>
      </c>
      <c r="MR364" s="21">
        <f t="shared" si="4021"/>
        <v>0</v>
      </c>
      <c r="MS364" s="21">
        <f t="shared" si="4021"/>
        <v>0</v>
      </c>
      <c r="MT364" s="21">
        <f t="shared" si="4021"/>
        <v>0</v>
      </c>
      <c r="MU364" s="21">
        <f t="shared" si="4021"/>
        <v>0</v>
      </c>
      <c r="MV364" s="21">
        <f t="shared" si="4021"/>
        <v>0</v>
      </c>
      <c r="MW364" s="21">
        <f t="shared" si="4021"/>
        <v>0</v>
      </c>
      <c r="MX364" s="21">
        <f t="shared" ref="MX364:NE364" si="4022">IF($F$290, 0, IF($H$301, IF(AND(COLUMN($MX$364)-COLUMN($LJ$359)=$Q$291,ROW($MX$364)-ROW($LJ$359)=$K$291), U$290, MX364), MX364))</f>
        <v>0</v>
      </c>
      <c r="MY364" s="21">
        <f t="shared" si="4022"/>
        <v>0</v>
      </c>
      <c r="MZ364" s="21">
        <f t="shared" si="4022"/>
        <v>0</v>
      </c>
      <c r="NA364" s="21">
        <f t="shared" si="4022"/>
        <v>0</v>
      </c>
      <c r="NB364" s="21">
        <f t="shared" si="4022"/>
        <v>0</v>
      </c>
      <c r="NC364" s="21">
        <f t="shared" si="4022"/>
        <v>0</v>
      </c>
      <c r="ND364" s="21">
        <f t="shared" si="4022"/>
        <v>0</v>
      </c>
      <c r="NE364" s="21">
        <f t="shared" si="4022"/>
        <v>0</v>
      </c>
      <c r="NF364" s="21">
        <f t="shared" ref="NF364:NM364" si="4023">IF($F$290, 0, IF($H$301, IF(AND(COLUMN($NF$364)-COLUMN($LJ$359)=$Q$291,ROW($NF$364)-ROW($LJ$359)=$K$291), U$290, NF364), NF364))</f>
        <v>0</v>
      </c>
      <c r="NG364" s="21">
        <f t="shared" si="4023"/>
        <v>0</v>
      </c>
      <c r="NH364" s="21">
        <f t="shared" si="4023"/>
        <v>0</v>
      </c>
      <c r="NI364" s="21">
        <f t="shared" si="4023"/>
        <v>0</v>
      </c>
      <c r="NJ364" s="21">
        <f t="shared" si="4023"/>
        <v>0</v>
      </c>
      <c r="NK364" s="21">
        <f t="shared" si="4023"/>
        <v>0</v>
      </c>
      <c r="NL364" s="21">
        <f t="shared" si="4023"/>
        <v>0</v>
      </c>
      <c r="NM364" s="21">
        <f t="shared" si="4023"/>
        <v>0</v>
      </c>
      <c r="NN364" s="21">
        <f t="shared" ref="NN364:NU364" si="4024">IF($F$290, 0, IF($H$301, IF(AND(COLUMN($NN$364)-COLUMN($LJ$359)=$Q$291,ROW($NN$364)-ROW($LJ$359)=$K$291), U$290, NN364), NN364))</f>
        <v>0</v>
      </c>
      <c r="NO364" s="21">
        <f t="shared" si="4024"/>
        <v>0</v>
      </c>
      <c r="NP364" s="21">
        <f t="shared" si="4024"/>
        <v>0</v>
      </c>
      <c r="NQ364" s="21">
        <f t="shared" si="4024"/>
        <v>0</v>
      </c>
      <c r="NR364" s="21">
        <f t="shared" si="4024"/>
        <v>0</v>
      </c>
      <c r="NS364" s="21">
        <f t="shared" si="4024"/>
        <v>0</v>
      </c>
      <c r="NT364" s="21">
        <f t="shared" si="4024"/>
        <v>0</v>
      </c>
      <c r="NU364" s="21">
        <f t="shared" si="4024"/>
        <v>0</v>
      </c>
      <c r="NV364" s="21">
        <f t="shared" ref="NV364:OC364" si="4025">IF($F$290, 0, IF($I$301, IF(AND(COLUMN($NV$364)-COLUMN($NV$359)=$Q$291,ROW($NV$364)-ROW($NV$359)=$K$291), U$290, NV364), NV364))</f>
        <v>0</v>
      </c>
      <c r="NW364" s="21">
        <f t="shared" si="4025"/>
        <v>0</v>
      </c>
      <c r="NX364" s="21">
        <f t="shared" si="4025"/>
        <v>0</v>
      </c>
      <c r="NY364" s="21">
        <f t="shared" si="4025"/>
        <v>0</v>
      </c>
      <c r="NZ364" s="21">
        <f t="shared" si="4025"/>
        <v>0</v>
      </c>
      <c r="OA364" s="21">
        <f t="shared" si="4025"/>
        <v>0</v>
      </c>
      <c r="OB364" s="21">
        <f t="shared" si="4025"/>
        <v>0</v>
      </c>
      <c r="OC364" s="21">
        <f t="shared" si="4025"/>
        <v>0</v>
      </c>
      <c r="OD364" s="21">
        <f t="shared" ref="OD364:OK364" si="4026">IF($F$290, 0, IF($I$301, IF(AND(COLUMN($OD$364)-COLUMN($NV$359)=$Q$291,ROW($OD$364)-ROW($NV$359)=$K$291), U$290, OD364), OD364))</f>
        <v>0</v>
      </c>
      <c r="OE364" s="21">
        <f t="shared" si="4026"/>
        <v>0</v>
      </c>
      <c r="OF364" s="21">
        <f t="shared" si="4026"/>
        <v>0</v>
      </c>
      <c r="OG364" s="21">
        <f t="shared" si="4026"/>
        <v>0</v>
      </c>
      <c r="OH364" s="21">
        <f t="shared" si="4026"/>
        <v>0</v>
      </c>
      <c r="OI364" s="21">
        <f t="shared" si="4026"/>
        <v>0</v>
      </c>
      <c r="OJ364" s="21">
        <f t="shared" si="4026"/>
        <v>0</v>
      </c>
      <c r="OK364" s="21">
        <f t="shared" si="4026"/>
        <v>0</v>
      </c>
      <c r="OL364" s="21">
        <f t="shared" ref="OL364:OS364" si="4027">IF($F$290, 0, IF($I$301, IF(AND(COLUMN($OL$364)-COLUMN($NV$359)=$Q$291,ROW($OL$364)-ROW($NV$359)=$K$291), U$290, OL364), OL364))</f>
        <v>0</v>
      </c>
      <c r="OM364" s="21">
        <f t="shared" si="4027"/>
        <v>0</v>
      </c>
      <c r="ON364" s="21">
        <f t="shared" si="4027"/>
        <v>0</v>
      </c>
      <c r="OO364" s="21">
        <f t="shared" si="4027"/>
        <v>0</v>
      </c>
      <c r="OP364" s="21">
        <f t="shared" si="4027"/>
        <v>0</v>
      </c>
      <c r="OQ364" s="21">
        <f t="shared" si="4027"/>
        <v>0</v>
      </c>
      <c r="OR364" s="21">
        <f t="shared" si="4027"/>
        <v>0</v>
      </c>
      <c r="OS364" s="21">
        <f t="shared" si="4027"/>
        <v>0</v>
      </c>
      <c r="OT364" s="21">
        <f t="shared" ref="OT364:PA364" si="4028">IF($F$290, 0, IF($I$301, IF(AND(COLUMN($OT$364)-COLUMN($NV$359)=$Q$291,ROW($OT$364)-ROW($NV$359)=$K$291), U$290, OT364), OT364))</f>
        <v>0</v>
      </c>
      <c r="OU364" s="21">
        <f t="shared" si="4028"/>
        <v>0</v>
      </c>
      <c r="OV364" s="21">
        <f t="shared" si="4028"/>
        <v>0</v>
      </c>
      <c r="OW364" s="21">
        <f t="shared" si="4028"/>
        <v>0</v>
      </c>
      <c r="OX364" s="21">
        <f t="shared" si="4028"/>
        <v>0</v>
      </c>
      <c r="OY364" s="21">
        <f t="shared" si="4028"/>
        <v>0</v>
      </c>
      <c r="OZ364" s="21">
        <f t="shared" si="4028"/>
        <v>0</v>
      </c>
      <c r="PA364" s="21">
        <f t="shared" si="4028"/>
        <v>0</v>
      </c>
      <c r="PB364" s="21">
        <f t="shared" ref="PB364:PI364" si="4029">IF($F$290, 0, IF($I$301, IF(AND(COLUMN($PB$364)-COLUMN($NV$359)=$Q$291,ROW($PB$364)-ROW($NV$359)=$K$291), U$290, PB364), PB364))</f>
        <v>0</v>
      </c>
      <c r="PC364" s="21">
        <f t="shared" si="4029"/>
        <v>0</v>
      </c>
      <c r="PD364" s="21">
        <f t="shared" si="4029"/>
        <v>0</v>
      </c>
      <c r="PE364" s="21">
        <f t="shared" si="4029"/>
        <v>0</v>
      </c>
      <c r="PF364" s="21">
        <f t="shared" si="4029"/>
        <v>0</v>
      </c>
      <c r="PG364" s="21">
        <f t="shared" si="4029"/>
        <v>0</v>
      </c>
      <c r="PH364" s="21">
        <f t="shared" si="4029"/>
        <v>0</v>
      </c>
      <c r="PI364" s="21">
        <f t="shared" si="4029"/>
        <v>0</v>
      </c>
      <c r="PJ364" s="21">
        <f t="shared" ref="PJ364:PQ364" si="4030">IF($F$290, 0, IF($I$301, IF(AND(COLUMN($PJ$364)-COLUMN($NV$359)=$Q$291,ROW($PJ$364)-ROW($NV$359)=$K$291), U$290, PJ364), PJ364))</f>
        <v>0</v>
      </c>
      <c r="PK364" s="21">
        <f t="shared" si="4030"/>
        <v>0</v>
      </c>
      <c r="PL364" s="21">
        <f t="shared" si="4030"/>
        <v>0</v>
      </c>
      <c r="PM364" s="21">
        <f t="shared" si="4030"/>
        <v>0</v>
      </c>
      <c r="PN364" s="21">
        <f t="shared" si="4030"/>
        <v>0</v>
      </c>
      <c r="PO364" s="21">
        <f t="shared" si="4030"/>
        <v>0</v>
      </c>
      <c r="PP364" s="21">
        <f t="shared" si="4030"/>
        <v>0</v>
      </c>
      <c r="PQ364" s="21">
        <f t="shared" si="4030"/>
        <v>0</v>
      </c>
      <c r="PR364" s="21">
        <f t="shared" ref="PR364:PY364" si="4031">IF($F$290, 0, IF($I$301, IF(AND(COLUMN($PR$364)-COLUMN($NV$359)=$Q$291,ROW($PR$364)-ROW($NV$359)=$K$291), U$290, PR364), PR364))</f>
        <v>0</v>
      </c>
      <c r="PS364" s="21">
        <f t="shared" si="4031"/>
        <v>0</v>
      </c>
      <c r="PT364" s="21">
        <f t="shared" si="4031"/>
        <v>0</v>
      </c>
      <c r="PU364" s="21">
        <f t="shared" si="4031"/>
        <v>0</v>
      </c>
      <c r="PV364" s="21">
        <f t="shared" si="4031"/>
        <v>0</v>
      </c>
      <c r="PW364" s="21">
        <f t="shared" si="4031"/>
        <v>0</v>
      </c>
      <c r="PX364" s="21">
        <f t="shared" si="4031"/>
        <v>0</v>
      </c>
      <c r="PY364" s="21">
        <f t="shared" si="4031"/>
        <v>0</v>
      </c>
      <c r="PZ364" s="21">
        <f t="shared" ref="PZ364:QG364" si="4032">IF($F$290, 0, IF($I$301, IF(AND(COLUMN($PZ$364)-COLUMN($NV$359)=$Q$291,ROW($PZ$364)-ROW($NV$359)=$K$291), U$290, PZ364), PZ364))</f>
        <v>0</v>
      </c>
      <c r="QA364" s="21">
        <f t="shared" si="4032"/>
        <v>0</v>
      </c>
      <c r="QB364" s="21">
        <f t="shared" si="4032"/>
        <v>0</v>
      </c>
      <c r="QC364" s="21">
        <f t="shared" si="4032"/>
        <v>0</v>
      </c>
      <c r="QD364" s="21">
        <f t="shared" si="4032"/>
        <v>0</v>
      </c>
      <c r="QE364" s="21">
        <f t="shared" si="4032"/>
        <v>0</v>
      </c>
      <c r="QF364" s="21">
        <f t="shared" si="4032"/>
        <v>0</v>
      </c>
      <c r="QG364" s="21">
        <f t="shared" si="4032"/>
        <v>0</v>
      </c>
      <c r="QH364" s="21">
        <f t="shared" ref="QH364:QO364" si="4033">IF($F$290, 0, IF($J$301, IF(AND(COLUMN($QH$364)-COLUMN($QH$359)=$Q$291,ROW($QH$364)-ROW($QH$359)=$K$291), U$290, QH364), QH364))</f>
        <v>0</v>
      </c>
      <c r="QI364" s="21">
        <f t="shared" si="4033"/>
        <v>0</v>
      </c>
      <c r="QJ364" s="21">
        <f t="shared" si="4033"/>
        <v>0</v>
      </c>
      <c r="QK364" s="21">
        <f t="shared" si="4033"/>
        <v>0</v>
      </c>
      <c r="QL364" s="21">
        <f t="shared" si="4033"/>
        <v>0</v>
      </c>
      <c r="QM364" s="21">
        <f t="shared" si="4033"/>
        <v>0</v>
      </c>
      <c r="QN364" s="21">
        <f t="shared" si="4033"/>
        <v>0</v>
      </c>
      <c r="QO364" s="21">
        <f t="shared" si="4033"/>
        <v>0</v>
      </c>
      <c r="QP364" s="21">
        <f t="shared" ref="QP364:QW364" si="4034">IF($F$290, 0, IF($J$301, IF(AND(COLUMN($QP$364)-COLUMN($QH$359)=$Q$291,ROW($QP$364)-ROW($QH$359)=$K$291), U$290, QP364), QP364))</f>
        <v>0</v>
      </c>
      <c r="QQ364" s="21">
        <f t="shared" si="4034"/>
        <v>0</v>
      </c>
      <c r="QR364" s="21">
        <f t="shared" si="4034"/>
        <v>0</v>
      </c>
      <c r="QS364" s="21">
        <f t="shared" si="4034"/>
        <v>0</v>
      </c>
      <c r="QT364" s="21">
        <f t="shared" si="4034"/>
        <v>0</v>
      </c>
      <c r="QU364" s="21">
        <f t="shared" si="4034"/>
        <v>0</v>
      </c>
      <c r="QV364" s="21">
        <f t="shared" si="4034"/>
        <v>0</v>
      </c>
      <c r="QW364" s="21">
        <f t="shared" si="4034"/>
        <v>0</v>
      </c>
      <c r="QX364" s="21">
        <f t="shared" ref="QX364:RE364" si="4035">IF($F$290, 0, IF($J$301, IF(AND(COLUMN($QX$364)-COLUMN($QH$359)=$Q$291,ROW($QX$364)-ROW($QH$359)=$K$291), U$290, QX364), QX364))</f>
        <v>0</v>
      </c>
      <c r="QY364" s="21">
        <f t="shared" si="4035"/>
        <v>0</v>
      </c>
      <c r="QZ364" s="21">
        <f t="shared" si="4035"/>
        <v>0</v>
      </c>
      <c r="RA364" s="21">
        <f t="shared" si="4035"/>
        <v>0</v>
      </c>
      <c r="RB364" s="21">
        <f t="shared" si="4035"/>
        <v>0</v>
      </c>
      <c r="RC364" s="21">
        <f t="shared" si="4035"/>
        <v>0</v>
      </c>
      <c r="RD364" s="21">
        <f t="shared" si="4035"/>
        <v>0</v>
      </c>
      <c r="RE364" s="21">
        <f t="shared" si="4035"/>
        <v>0</v>
      </c>
      <c r="RF364" s="21">
        <f t="shared" ref="RF364:RM364" si="4036">IF($F$290, 0, IF($J$301, IF(AND(COLUMN($RF$364)-COLUMN($QH$359)=$Q$291,ROW($RF$364)-ROW($QH$359)=$K$291), U$290, RF364), RF364))</f>
        <v>0</v>
      </c>
      <c r="RG364" s="21">
        <f t="shared" si="4036"/>
        <v>0</v>
      </c>
      <c r="RH364" s="21">
        <f t="shared" si="4036"/>
        <v>0</v>
      </c>
      <c r="RI364" s="21">
        <f t="shared" si="4036"/>
        <v>0</v>
      </c>
      <c r="RJ364" s="21">
        <f t="shared" si="4036"/>
        <v>0</v>
      </c>
      <c r="RK364" s="21">
        <f t="shared" si="4036"/>
        <v>0</v>
      </c>
      <c r="RL364" s="21">
        <f t="shared" si="4036"/>
        <v>0</v>
      </c>
      <c r="RM364" s="21">
        <f t="shared" si="4036"/>
        <v>0</v>
      </c>
      <c r="RN364" s="21">
        <f t="shared" ref="RN364:RU364" si="4037">IF($F$290, 0, IF($J$301, IF(AND(COLUMN($RN$364)-COLUMN($QH$359)=$Q$291,ROW($RN$364)-ROW($QH$359)=$K$291), U$290, RN364), RN364))</f>
        <v>0</v>
      </c>
      <c r="RO364" s="21">
        <f t="shared" si="4037"/>
        <v>0</v>
      </c>
      <c r="RP364" s="21">
        <f t="shared" si="4037"/>
        <v>0</v>
      </c>
      <c r="RQ364" s="21">
        <f t="shared" si="4037"/>
        <v>0</v>
      </c>
      <c r="RR364" s="21">
        <f t="shared" si="4037"/>
        <v>0</v>
      </c>
      <c r="RS364" s="21">
        <f t="shared" si="4037"/>
        <v>0</v>
      </c>
      <c r="RT364" s="21">
        <f t="shared" si="4037"/>
        <v>0</v>
      </c>
      <c r="RU364" s="21">
        <f t="shared" si="4037"/>
        <v>0</v>
      </c>
      <c r="RV364" s="21">
        <f t="shared" ref="RV364:SC364" si="4038">IF($F$290, 0, IF($J$301, IF(AND(COLUMN($RV$364)-COLUMN($QH$359)=$Q$291,ROW($RV$364)-ROW($QH$359)=$K$291), U$290, RV364), RV364))</f>
        <v>0</v>
      </c>
      <c r="RW364" s="21">
        <f t="shared" si="4038"/>
        <v>0</v>
      </c>
      <c r="RX364" s="21">
        <f t="shared" si="4038"/>
        <v>0</v>
      </c>
      <c r="RY364" s="21">
        <f t="shared" si="4038"/>
        <v>0</v>
      </c>
      <c r="RZ364" s="21">
        <f t="shared" si="4038"/>
        <v>0</v>
      </c>
      <c r="SA364" s="21">
        <f t="shared" si="4038"/>
        <v>0</v>
      </c>
      <c r="SB364" s="21">
        <f t="shared" si="4038"/>
        <v>0</v>
      </c>
      <c r="SC364" s="21">
        <f t="shared" si="4038"/>
        <v>0</v>
      </c>
      <c r="SD364" s="21">
        <f t="shared" ref="SD364:SK364" si="4039">IF($F$290, 0, IF($J$301, IF(AND(COLUMN($SD$364)-COLUMN($QH$359)=$Q$291,ROW($SD$364)-ROW($QH$359)=$K$291), U$290, SD364), SD364))</f>
        <v>0</v>
      </c>
      <c r="SE364" s="21">
        <f t="shared" si="4039"/>
        <v>0</v>
      </c>
      <c r="SF364" s="21">
        <f t="shared" si="4039"/>
        <v>0</v>
      </c>
      <c r="SG364" s="21">
        <f t="shared" si="4039"/>
        <v>0</v>
      </c>
      <c r="SH364" s="21">
        <f t="shared" si="4039"/>
        <v>0</v>
      </c>
      <c r="SI364" s="21">
        <f t="shared" si="4039"/>
        <v>0</v>
      </c>
      <c r="SJ364" s="21">
        <f t="shared" si="4039"/>
        <v>0</v>
      </c>
      <c r="SK364" s="21">
        <f t="shared" si="4039"/>
        <v>0</v>
      </c>
      <c r="SL364" s="21">
        <f t="shared" ref="SL364:SS364" si="4040">IF($F$290, 0, IF($J$301, IF(AND(COLUMN($SL$364)-COLUMN($QH$359)=$Q$291,ROW($SL$364)-ROW($QH$359)=$K$291), U$290, SL364), SL364))</f>
        <v>0</v>
      </c>
      <c r="SM364" s="21">
        <f t="shared" si="4040"/>
        <v>0</v>
      </c>
      <c r="SN364" s="21">
        <f t="shared" si="4040"/>
        <v>0</v>
      </c>
      <c r="SO364" s="21">
        <f t="shared" si="4040"/>
        <v>0</v>
      </c>
      <c r="SP364" s="21">
        <f t="shared" si="4040"/>
        <v>0</v>
      </c>
      <c r="SQ364" s="21">
        <f t="shared" si="4040"/>
        <v>0</v>
      </c>
      <c r="SR364" s="21">
        <f t="shared" si="4040"/>
        <v>0</v>
      </c>
      <c r="SS364" s="21">
        <f t="shared" si="4040"/>
        <v>0</v>
      </c>
    </row>
    <row r="365" spans="2:513" ht="15" customHeight="1" x14ac:dyDescent="0.25">
      <c r="B365" s="21">
        <f t="shared" ref="B365:I365" si="4041">IF($F$290, 0, IF($C$301, IF(AND(COLUMN($B$365)-COLUMN($B$359)=$Q$291,ROW($B$365)-ROW($B$359)=$K$291), U$290, B365), B365))</f>
        <v>0</v>
      </c>
      <c r="C365" s="21">
        <f t="shared" si="4041"/>
        <v>0</v>
      </c>
      <c r="D365" s="21">
        <f t="shared" si="4041"/>
        <v>0</v>
      </c>
      <c r="E365" s="21">
        <f t="shared" si="4041"/>
        <v>0</v>
      </c>
      <c r="F365" s="21">
        <f t="shared" si="4041"/>
        <v>0</v>
      </c>
      <c r="G365" s="21">
        <f t="shared" si="4041"/>
        <v>0</v>
      </c>
      <c r="H365" s="21">
        <f t="shared" si="4041"/>
        <v>0</v>
      </c>
      <c r="I365" s="21">
        <f t="shared" si="4041"/>
        <v>0</v>
      </c>
      <c r="J365" s="21">
        <f t="shared" ref="J365:Q365" si="4042">IF($F$290, 0, IF($C$301, IF(AND(COLUMN($J$365)-COLUMN($B$359)=$Q$291,ROW($J$365)-ROW($B$359)=$K$291), U$290, J365), J365))</f>
        <v>0</v>
      </c>
      <c r="K365" s="21">
        <f t="shared" si="4042"/>
        <v>0</v>
      </c>
      <c r="L365" s="21">
        <f t="shared" si="4042"/>
        <v>0</v>
      </c>
      <c r="M365" s="21">
        <f t="shared" si="4042"/>
        <v>0</v>
      </c>
      <c r="N365" s="21">
        <f t="shared" si="4042"/>
        <v>0</v>
      </c>
      <c r="O365" s="21">
        <f t="shared" si="4042"/>
        <v>0</v>
      </c>
      <c r="P365" s="21">
        <f t="shared" si="4042"/>
        <v>0</v>
      </c>
      <c r="Q365" s="21">
        <f t="shared" si="4042"/>
        <v>0</v>
      </c>
      <c r="R365" s="21">
        <f>IF($F$290, 0, IF($C$301, IF(AND(COLUMN($R$365)-COLUMN($B$359)=$Q$291,ROW($R$365)-ROW($B$359)=$K$291), U$290, R365), R365))</f>
        <v>0</v>
      </c>
      <c r="S365" s="21">
        <f t="shared" ref="S365:Y365" si="4043">IF($F$290, 0, IF($C$301, IF(AND(COLUMN($R$365)-COLUMN($B$359)=$Q$291,ROW($R$365)-ROW($B$359)=$K$291), V$290, S365), S365))</f>
        <v>0</v>
      </c>
      <c r="T365" s="21">
        <f t="shared" si="4043"/>
        <v>0</v>
      </c>
      <c r="U365" s="21">
        <f t="shared" si="4043"/>
        <v>0</v>
      </c>
      <c r="V365" s="21">
        <f t="shared" si="4043"/>
        <v>0</v>
      </c>
      <c r="W365" s="21">
        <f t="shared" si="4043"/>
        <v>0</v>
      </c>
      <c r="X365" s="21">
        <f t="shared" si="4043"/>
        <v>0</v>
      </c>
      <c r="Y365" s="21">
        <f t="shared" si="4043"/>
        <v>0</v>
      </c>
      <c r="Z365" s="21">
        <f t="shared" ref="Z365:AG365" si="4044">IF($F$290, 0, IF($C$301, IF(AND(COLUMN($Z$365)-COLUMN($B$359)=$Q$291,ROW($Z$365)-ROW($B$359)=$K$291), U$290, Z365), Z365))</f>
        <v>0</v>
      </c>
      <c r="AA365" s="21">
        <f t="shared" si="4044"/>
        <v>0</v>
      </c>
      <c r="AB365" s="21">
        <f t="shared" si="4044"/>
        <v>0</v>
      </c>
      <c r="AC365" s="21">
        <f t="shared" si="4044"/>
        <v>0</v>
      </c>
      <c r="AD365" s="21">
        <f t="shared" si="4044"/>
        <v>0</v>
      </c>
      <c r="AE365" s="21">
        <f t="shared" si="4044"/>
        <v>0</v>
      </c>
      <c r="AF365" s="21">
        <f t="shared" si="4044"/>
        <v>0</v>
      </c>
      <c r="AG365" s="21">
        <f t="shared" si="4044"/>
        <v>0</v>
      </c>
      <c r="AH365" s="21">
        <f t="shared" ref="AH365:AO365" si="4045">IF($F$290, 0, IF($C$301, IF(AND(COLUMN($AH$365)-COLUMN($B$359)=$Q$291,ROW($AH$365)-ROW($B$359)=$K$291), U$290, AH365), AH365))</f>
        <v>0</v>
      </c>
      <c r="AI365" s="21">
        <f t="shared" si="4045"/>
        <v>0</v>
      </c>
      <c r="AJ365" s="21">
        <f t="shared" si="4045"/>
        <v>0</v>
      </c>
      <c r="AK365" s="21">
        <f t="shared" si="4045"/>
        <v>0</v>
      </c>
      <c r="AL365" s="21">
        <f t="shared" si="4045"/>
        <v>0</v>
      </c>
      <c r="AM365" s="21">
        <f t="shared" si="4045"/>
        <v>0</v>
      </c>
      <c r="AN365" s="21">
        <f t="shared" si="4045"/>
        <v>0</v>
      </c>
      <c r="AO365" s="21">
        <f t="shared" si="4045"/>
        <v>0</v>
      </c>
      <c r="AP365" s="21">
        <f t="shared" ref="AP365:AW365" si="4046">IF($F$290, 0, IF($C$301, IF(AND(COLUMN($AP$365)-COLUMN($B$359)=$Q$291,ROW($AP$365)-ROW($B$359)=$K$291), U$290, AP365), AP365))</f>
        <v>0</v>
      </c>
      <c r="AQ365" s="21">
        <f t="shared" si="4046"/>
        <v>0</v>
      </c>
      <c r="AR365" s="21">
        <f t="shared" si="4046"/>
        <v>0</v>
      </c>
      <c r="AS365" s="21">
        <f t="shared" si="4046"/>
        <v>0</v>
      </c>
      <c r="AT365" s="21">
        <f t="shared" si="4046"/>
        <v>0</v>
      </c>
      <c r="AU365" s="21">
        <f t="shared" si="4046"/>
        <v>0</v>
      </c>
      <c r="AV365" s="21">
        <f t="shared" si="4046"/>
        <v>0</v>
      </c>
      <c r="AW365" s="21">
        <f t="shared" si="4046"/>
        <v>0</v>
      </c>
      <c r="AX365" s="21">
        <f t="shared" ref="AX365:BE365" si="4047">IF($F$290, 0, IF($C$301, IF(AND(COLUMN($AX$365)-COLUMN($B$359)=$Q$291,ROW($AX$365)-ROW($B$359)=$K$291), U$290, AX365), AX365))</f>
        <v>0</v>
      </c>
      <c r="AY365" s="21">
        <f t="shared" si="4047"/>
        <v>0</v>
      </c>
      <c r="AZ365" s="21">
        <f t="shared" si="4047"/>
        <v>0</v>
      </c>
      <c r="BA365" s="21">
        <f t="shared" si="4047"/>
        <v>0</v>
      </c>
      <c r="BB365" s="21">
        <f t="shared" si="4047"/>
        <v>0</v>
      </c>
      <c r="BC365" s="21">
        <f t="shared" si="4047"/>
        <v>0</v>
      </c>
      <c r="BD365" s="21">
        <f t="shared" si="4047"/>
        <v>0</v>
      </c>
      <c r="BE365" s="21">
        <f t="shared" si="4047"/>
        <v>0</v>
      </c>
      <c r="BF365" s="21">
        <f t="shared" ref="BF365:BM365" si="4048">IF($F$290, 0, IF($C$301, IF(AND(COLUMN($BF$365)-COLUMN($B$359)=$Q$291,ROW($BF$365)-ROW($B$359)=$K$291), U$290, BF365), BF365))</f>
        <v>0</v>
      </c>
      <c r="BG365" s="21">
        <f t="shared" si="4048"/>
        <v>0</v>
      </c>
      <c r="BH365" s="21">
        <f t="shared" si="4048"/>
        <v>0</v>
      </c>
      <c r="BI365" s="21">
        <f t="shared" si="4048"/>
        <v>0</v>
      </c>
      <c r="BJ365" s="21">
        <f t="shared" si="4048"/>
        <v>0</v>
      </c>
      <c r="BK365" s="21">
        <f t="shared" si="4048"/>
        <v>0</v>
      </c>
      <c r="BL365" s="21">
        <f t="shared" si="4048"/>
        <v>0</v>
      </c>
      <c r="BM365" s="21">
        <f t="shared" si="4048"/>
        <v>0</v>
      </c>
      <c r="BN365" s="21">
        <f t="shared" ref="BN365:BU365" si="4049">IF($F$290, 0, IF($D$301, IF(AND(COLUMN($BN$365)-COLUMN($BN$359)=$Q$291,ROW($BN$365)-ROW($BN$359)=$K$291), U$290, BN365), BN365))</f>
        <v>0</v>
      </c>
      <c r="BO365" s="21">
        <f t="shared" si="4049"/>
        <v>0</v>
      </c>
      <c r="BP365" s="21">
        <f t="shared" si="4049"/>
        <v>0</v>
      </c>
      <c r="BQ365" s="21">
        <f t="shared" si="4049"/>
        <v>0</v>
      </c>
      <c r="BR365" s="21">
        <f t="shared" si="4049"/>
        <v>0</v>
      </c>
      <c r="BS365" s="21">
        <f t="shared" si="4049"/>
        <v>0</v>
      </c>
      <c r="BT365" s="21">
        <f t="shared" si="4049"/>
        <v>0</v>
      </c>
      <c r="BU365" s="21">
        <f t="shared" si="4049"/>
        <v>0</v>
      </c>
      <c r="BV365" s="21">
        <f t="shared" ref="BV365:CC365" si="4050">IF($F$290, 0, IF($D$301, IF(AND(COLUMN($BV$365)-COLUMN($BN$359)=$Q$291,ROW($BV$365)-ROW($BN$359)=$K$291), U$290, BV365), BV365))</f>
        <v>0</v>
      </c>
      <c r="BW365" s="21">
        <f t="shared" si="4050"/>
        <v>0</v>
      </c>
      <c r="BX365" s="21">
        <f t="shared" si="4050"/>
        <v>0</v>
      </c>
      <c r="BY365" s="21">
        <f t="shared" si="4050"/>
        <v>0</v>
      </c>
      <c r="BZ365" s="21">
        <f t="shared" si="4050"/>
        <v>0</v>
      </c>
      <c r="CA365" s="21">
        <f t="shared" si="4050"/>
        <v>0</v>
      </c>
      <c r="CB365" s="21">
        <f t="shared" si="4050"/>
        <v>0</v>
      </c>
      <c r="CC365" s="21">
        <f t="shared" si="4050"/>
        <v>0</v>
      </c>
      <c r="CD365" s="21">
        <f t="shared" ref="CD365:CK365" si="4051">IF($F$290, 0, IF($D$301, IF(AND(COLUMN($CD$365)-COLUMN($BN$359)=$Q$291,ROW($CD$365)-ROW($BN$359)=$K$291), U$290, CD365), CD365))</f>
        <v>0</v>
      </c>
      <c r="CE365" s="21">
        <f t="shared" si="4051"/>
        <v>0</v>
      </c>
      <c r="CF365" s="21">
        <f t="shared" si="4051"/>
        <v>0</v>
      </c>
      <c r="CG365" s="21">
        <f t="shared" si="4051"/>
        <v>0</v>
      </c>
      <c r="CH365" s="21">
        <f t="shared" si="4051"/>
        <v>0</v>
      </c>
      <c r="CI365" s="21">
        <f t="shared" si="4051"/>
        <v>0</v>
      </c>
      <c r="CJ365" s="21">
        <f t="shared" si="4051"/>
        <v>0</v>
      </c>
      <c r="CK365" s="21">
        <f t="shared" si="4051"/>
        <v>0</v>
      </c>
      <c r="CL365" s="21">
        <f t="shared" ref="CL365:CS365" si="4052">IF($F$290, 0, IF($D$301, IF(AND(COLUMN($CL$365)-COLUMN($BN$359)=$Q$291,ROW($CL$365)-ROW($BN$359)=$K$291), U$290, CL365), CL365))</f>
        <v>0</v>
      </c>
      <c r="CM365" s="21">
        <f t="shared" si="4052"/>
        <v>0</v>
      </c>
      <c r="CN365" s="21">
        <f t="shared" si="4052"/>
        <v>0</v>
      </c>
      <c r="CO365" s="21">
        <f t="shared" si="4052"/>
        <v>0</v>
      </c>
      <c r="CP365" s="21">
        <f t="shared" si="4052"/>
        <v>0</v>
      </c>
      <c r="CQ365" s="21">
        <f t="shared" si="4052"/>
        <v>0</v>
      </c>
      <c r="CR365" s="21">
        <f t="shared" si="4052"/>
        <v>0</v>
      </c>
      <c r="CS365" s="21">
        <f t="shared" si="4052"/>
        <v>0</v>
      </c>
      <c r="CT365" s="21">
        <f t="shared" ref="CT365:DA365" si="4053">IF($F$290, 0, IF($D$301, IF(AND(COLUMN($CT$365)-COLUMN($BN$359)=$Q$291,ROW($CT$365)-ROW($BN$359)=$K$291), U$290, CT365), CT365))</f>
        <v>0</v>
      </c>
      <c r="CU365" s="21">
        <f t="shared" si="4053"/>
        <v>0</v>
      </c>
      <c r="CV365" s="21">
        <f t="shared" si="4053"/>
        <v>0</v>
      </c>
      <c r="CW365" s="21">
        <f t="shared" si="4053"/>
        <v>0</v>
      </c>
      <c r="CX365" s="21">
        <f t="shared" si="4053"/>
        <v>0</v>
      </c>
      <c r="CY365" s="21">
        <f t="shared" si="4053"/>
        <v>0</v>
      </c>
      <c r="CZ365" s="21">
        <f t="shared" si="4053"/>
        <v>0</v>
      </c>
      <c r="DA365" s="21">
        <f t="shared" si="4053"/>
        <v>0</v>
      </c>
      <c r="DB365" s="21">
        <f t="shared" ref="DB365:DI365" si="4054">IF($F$290, 0, IF($D$301, IF(AND(COLUMN($DB$365)-COLUMN($BN$359)=$Q$291,ROW($DB$365)-ROW($BN$359)=$K$291), U$290, DB365), DB365))</f>
        <v>0</v>
      </c>
      <c r="DC365" s="21">
        <f t="shared" si="4054"/>
        <v>0</v>
      </c>
      <c r="DD365" s="21">
        <f t="shared" si="4054"/>
        <v>0</v>
      </c>
      <c r="DE365" s="21">
        <f t="shared" si="4054"/>
        <v>0</v>
      </c>
      <c r="DF365" s="21">
        <f t="shared" si="4054"/>
        <v>0</v>
      </c>
      <c r="DG365" s="21">
        <f t="shared" si="4054"/>
        <v>0</v>
      </c>
      <c r="DH365" s="21">
        <f t="shared" si="4054"/>
        <v>0</v>
      </c>
      <c r="DI365" s="21">
        <f t="shared" si="4054"/>
        <v>0</v>
      </c>
      <c r="DJ365" s="21">
        <f t="shared" ref="DJ365:DQ365" si="4055">IF($F$290, 0, IF($D$301, IF(AND(COLUMN($DJ$365)-COLUMN($BN$359)=$Q$291,ROW($DJ$365)-ROW($BN$359)=$K$291), U$290, DJ365), DJ365))</f>
        <v>0</v>
      </c>
      <c r="DK365" s="21">
        <f t="shared" si="4055"/>
        <v>0</v>
      </c>
      <c r="DL365" s="21">
        <f t="shared" si="4055"/>
        <v>0</v>
      </c>
      <c r="DM365" s="21">
        <f t="shared" si="4055"/>
        <v>0</v>
      </c>
      <c r="DN365" s="21">
        <f t="shared" si="4055"/>
        <v>0</v>
      </c>
      <c r="DO365" s="21">
        <f t="shared" si="4055"/>
        <v>0</v>
      </c>
      <c r="DP365" s="21">
        <f t="shared" si="4055"/>
        <v>0</v>
      </c>
      <c r="DQ365" s="21">
        <f t="shared" si="4055"/>
        <v>0</v>
      </c>
      <c r="DR365" s="21">
        <f t="shared" ref="DR365:DY365" si="4056">IF($F$290, 0, IF($D$301, IF(AND(COLUMN($DR$365)-COLUMN($BN$359)=$Q$291,ROW($DR$365)-ROW($BN$359)=$K$291), U$290, DR365), DR365))</f>
        <v>0</v>
      </c>
      <c r="DS365" s="21">
        <f t="shared" si="4056"/>
        <v>0</v>
      </c>
      <c r="DT365" s="21">
        <f t="shared" si="4056"/>
        <v>0</v>
      </c>
      <c r="DU365" s="21">
        <f t="shared" si="4056"/>
        <v>0</v>
      </c>
      <c r="DV365" s="21">
        <f t="shared" si="4056"/>
        <v>0</v>
      </c>
      <c r="DW365" s="21">
        <f t="shared" si="4056"/>
        <v>0</v>
      </c>
      <c r="DX365" s="21">
        <f t="shared" si="4056"/>
        <v>0</v>
      </c>
      <c r="DY365" s="21">
        <f t="shared" si="4056"/>
        <v>0</v>
      </c>
      <c r="DZ365" s="21">
        <f t="shared" ref="DZ365:EG365" si="4057">IF($F$290, 0, IF($E$301, IF(AND(COLUMN($DZ$365)-COLUMN($DZ$359)=$Q$291,ROW($DZ$365)-ROW($DZ$359)=$K$291), U$290, DZ365), DZ365))</f>
        <v>0</v>
      </c>
      <c r="EA365" s="21">
        <f t="shared" si="4057"/>
        <v>0</v>
      </c>
      <c r="EB365" s="21">
        <f t="shared" si="4057"/>
        <v>0</v>
      </c>
      <c r="EC365" s="21">
        <f t="shared" si="4057"/>
        <v>0</v>
      </c>
      <c r="ED365" s="21">
        <f t="shared" si="4057"/>
        <v>0</v>
      </c>
      <c r="EE365" s="21">
        <f t="shared" si="4057"/>
        <v>0</v>
      </c>
      <c r="EF365" s="21">
        <f t="shared" si="4057"/>
        <v>0</v>
      </c>
      <c r="EG365" s="21">
        <f t="shared" si="4057"/>
        <v>0</v>
      </c>
      <c r="EH365" s="21">
        <f t="shared" ref="EH365:EO365" si="4058">IF($F$290, 0, IF($E$301, IF(AND(COLUMN($EH$365)-COLUMN($DZ$359)=$Q$291,ROW($EH$365)-ROW($DZ$359)=$K$291), U$290, EH365), EH365))</f>
        <v>0</v>
      </c>
      <c r="EI365" s="21">
        <f t="shared" si="4058"/>
        <v>0</v>
      </c>
      <c r="EJ365" s="21">
        <f t="shared" si="4058"/>
        <v>0</v>
      </c>
      <c r="EK365" s="21">
        <f t="shared" si="4058"/>
        <v>0</v>
      </c>
      <c r="EL365" s="21">
        <f t="shared" si="4058"/>
        <v>0</v>
      </c>
      <c r="EM365" s="21">
        <f t="shared" si="4058"/>
        <v>0</v>
      </c>
      <c r="EN365" s="21">
        <f t="shared" si="4058"/>
        <v>0</v>
      </c>
      <c r="EO365" s="21">
        <f t="shared" si="4058"/>
        <v>0</v>
      </c>
      <c r="EP365" s="21">
        <f t="shared" ref="EP365:EW365" si="4059">IF($F$290, 0, IF($E$301, IF(AND(COLUMN($EP$365)-COLUMN($DZ$359)=$Q$291,ROW($EP$365)-ROW($DZ$359)=$K$291), U$290, EP365), EP365))</f>
        <v>0</v>
      </c>
      <c r="EQ365" s="21">
        <f t="shared" si="4059"/>
        <v>0</v>
      </c>
      <c r="ER365" s="21">
        <f t="shared" si="4059"/>
        <v>0</v>
      </c>
      <c r="ES365" s="21">
        <f t="shared" si="4059"/>
        <v>0</v>
      </c>
      <c r="ET365" s="21">
        <f t="shared" si="4059"/>
        <v>0</v>
      </c>
      <c r="EU365" s="21">
        <f t="shared" si="4059"/>
        <v>0</v>
      </c>
      <c r="EV365" s="21">
        <f t="shared" si="4059"/>
        <v>0</v>
      </c>
      <c r="EW365" s="21">
        <f t="shared" si="4059"/>
        <v>0</v>
      </c>
      <c r="EX365" s="21">
        <f t="shared" ref="EX365:FE365" si="4060">IF($F$290, 0, IF($E$301, IF(AND(COLUMN($EX$365)-COLUMN($DZ$359)=$Q$291,ROW($EX$365)-ROW($DZ$359)=$K$291), U$290, EX365), EX365))</f>
        <v>0</v>
      </c>
      <c r="EY365" s="21">
        <f t="shared" si="4060"/>
        <v>0</v>
      </c>
      <c r="EZ365" s="21">
        <f t="shared" si="4060"/>
        <v>0</v>
      </c>
      <c r="FA365" s="21">
        <f t="shared" si="4060"/>
        <v>0</v>
      </c>
      <c r="FB365" s="21">
        <f t="shared" si="4060"/>
        <v>0</v>
      </c>
      <c r="FC365" s="21">
        <f t="shared" si="4060"/>
        <v>0</v>
      </c>
      <c r="FD365" s="21">
        <f t="shared" si="4060"/>
        <v>0</v>
      </c>
      <c r="FE365" s="21">
        <f t="shared" si="4060"/>
        <v>0</v>
      </c>
      <c r="FF365" s="21">
        <f t="shared" ref="FF365:FM365" si="4061">IF($F$290, 0, IF($E$301, IF(AND(COLUMN($FF$365)-COLUMN($DZ$359)=$Q$291,ROW($FF$365)-ROW($DZ$359)=$K$291), U$290, FF365), FF365))</f>
        <v>0</v>
      </c>
      <c r="FG365" s="21">
        <f t="shared" si="4061"/>
        <v>0</v>
      </c>
      <c r="FH365" s="21">
        <f t="shared" si="4061"/>
        <v>0</v>
      </c>
      <c r="FI365" s="21">
        <f t="shared" si="4061"/>
        <v>0</v>
      </c>
      <c r="FJ365" s="21">
        <f t="shared" si="4061"/>
        <v>0</v>
      </c>
      <c r="FK365" s="21">
        <f t="shared" si="4061"/>
        <v>0</v>
      </c>
      <c r="FL365" s="21">
        <f t="shared" si="4061"/>
        <v>0</v>
      </c>
      <c r="FM365" s="21">
        <f t="shared" si="4061"/>
        <v>0</v>
      </c>
      <c r="FN365" s="21">
        <f t="shared" ref="FN365:FU365" si="4062">IF($F$290, 0, IF($E$301, IF(AND(COLUMN($FN$365)-COLUMN($DZ$359)=$Q$291,ROW($FN$365)-ROW($DZ$359)=$K$291), U$290, FN365), FN365))</f>
        <v>0</v>
      </c>
      <c r="FO365" s="21">
        <f t="shared" si="4062"/>
        <v>0</v>
      </c>
      <c r="FP365" s="21">
        <f t="shared" si="4062"/>
        <v>0</v>
      </c>
      <c r="FQ365" s="21">
        <f t="shared" si="4062"/>
        <v>0</v>
      </c>
      <c r="FR365" s="21">
        <f t="shared" si="4062"/>
        <v>0</v>
      </c>
      <c r="FS365" s="21">
        <f t="shared" si="4062"/>
        <v>0</v>
      </c>
      <c r="FT365" s="21">
        <f t="shared" si="4062"/>
        <v>0</v>
      </c>
      <c r="FU365" s="21">
        <f t="shared" si="4062"/>
        <v>0</v>
      </c>
      <c r="FV365" s="21">
        <f t="shared" ref="FV365:GC365" si="4063">IF($F$290, 0, IF($E$301, IF(AND(COLUMN($FV$365)-COLUMN($DZ$359)=$Q$291,ROW($FV$365)-ROW($DZ$359)=$K$291), U$290, FV365), FV365))</f>
        <v>0</v>
      </c>
      <c r="FW365" s="21">
        <f t="shared" si="4063"/>
        <v>0</v>
      </c>
      <c r="FX365" s="21">
        <f t="shared" si="4063"/>
        <v>0</v>
      </c>
      <c r="FY365" s="21">
        <f t="shared" si="4063"/>
        <v>0</v>
      </c>
      <c r="FZ365" s="21">
        <f t="shared" si="4063"/>
        <v>0</v>
      </c>
      <c r="GA365" s="21">
        <f t="shared" si="4063"/>
        <v>0</v>
      </c>
      <c r="GB365" s="21">
        <f t="shared" si="4063"/>
        <v>0</v>
      </c>
      <c r="GC365" s="21">
        <f t="shared" si="4063"/>
        <v>0</v>
      </c>
      <c r="GD365" s="21">
        <f t="shared" ref="GD365:GK365" si="4064">IF($F$290, 0, IF($E$301, IF(AND(COLUMN($GD$365)-COLUMN($DZ$359)=$Q$291,ROW($GD$365)-ROW($DZ$359)=$K$291), U$290, GD365), GD365))</f>
        <v>0</v>
      </c>
      <c r="GE365" s="21">
        <f t="shared" si="4064"/>
        <v>0</v>
      </c>
      <c r="GF365" s="21">
        <f t="shared" si="4064"/>
        <v>0</v>
      </c>
      <c r="GG365" s="21">
        <f t="shared" si="4064"/>
        <v>0</v>
      </c>
      <c r="GH365" s="21">
        <f t="shared" si="4064"/>
        <v>0</v>
      </c>
      <c r="GI365" s="21">
        <f t="shared" si="4064"/>
        <v>0</v>
      </c>
      <c r="GJ365" s="21">
        <f t="shared" si="4064"/>
        <v>0</v>
      </c>
      <c r="GK365" s="21">
        <f t="shared" si="4064"/>
        <v>0</v>
      </c>
      <c r="GL365" s="21">
        <f t="shared" ref="GL365:GS365" si="4065">IF($F$290, 0, IF($F$301, IF(AND(COLUMN($GL$365)-COLUMN($GL$359)=$Q$291,ROW($GL$365)-ROW($GL$359)=$K$291), U$290, GL365), GL365))</f>
        <v>0</v>
      </c>
      <c r="GM365" s="21">
        <f t="shared" si="4065"/>
        <v>0</v>
      </c>
      <c r="GN365" s="21">
        <f t="shared" si="4065"/>
        <v>0</v>
      </c>
      <c r="GO365" s="21">
        <f t="shared" si="4065"/>
        <v>0</v>
      </c>
      <c r="GP365" s="21">
        <f t="shared" si="4065"/>
        <v>0</v>
      </c>
      <c r="GQ365" s="21">
        <f t="shared" si="4065"/>
        <v>0</v>
      </c>
      <c r="GR365" s="21">
        <f t="shared" si="4065"/>
        <v>0</v>
      </c>
      <c r="GS365" s="21">
        <f t="shared" si="4065"/>
        <v>0</v>
      </c>
      <c r="GT365" s="21">
        <f t="shared" ref="GT365:HA365" si="4066">IF($F$290, 0, IF($F$301, IF(AND(COLUMN($GT$365)-COLUMN($GL$359)=$Q$291,ROW($GT$365)-ROW($GL$359)=$K$291), U$290, GT365), GT365))</f>
        <v>0</v>
      </c>
      <c r="GU365" s="21">
        <f t="shared" si="4066"/>
        <v>0</v>
      </c>
      <c r="GV365" s="21">
        <f t="shared" si="4066"/>
        <v>0</v>
      </c>
      <c r="GW365" s="21">
        <f t="shared" si="4066"/>
        <v>0</v>
      </c>
      <c r="GX365" s="21">
        <f t="shared" si="4066"/>
        <v>0</v>
      </c>
      <c r="GY365" s="21">
        <f t="shared" si="4066"/>
        <v>0</v>
      </c>
      <c r="GZ365" s="21">
        <f t="shared" si="4066"/>
        <v>0</v>
      </c>
      <c r="HA365" s="21">
        <f t="shared" si="4066"/>
        <v>0</v>
      </c>
      <c r="HB365" s="21">
        <f t="shared" ref="HB365:HI365" si="4067">IF($F$290, 0, IF($F$301, IF(AND(COLUMN($HB$365)-COLUMN($GL$359)=$Q$291,ROW($HB$365)-ROW($GL$359)=$K$291), U$290, HB365), HB365))</f>
        <v>0</v>
      </c>
      <c r="HC365" s="21">
        <f t="shared" si="4067"/>
        <v>0</v>
      </c>
      <c r="HD365" s="21">
        <f t="shared" si="4067"/>
        <v>0</v>
      </c>
      <c r="HE365" s="21">
        <f t="shared" si="4067"/>
        <v>0</v>
      </c>
      <c r="HF365" s="21">
        <f t="shared" si="4067"/>
        <v>0</v>
      </c>
      <c r="HG365" s="21">
        <f t="shared" si="4067"/>
        <v>0</v>
      </c>
      <c r="HH365" s="21">
        <f t="shared" si="4067"/>
        <v>0</v>
      </c>
      <c r="HI365" s="21">
        <f t="shared" si="4067"/>
        <v>0</v>
      </c>
      <c r="HJ365" s="21">
        <f t="shared" ref="HJ365:HQ365" si="4068">IF($F$290, 0, IF($F$301, IF(AND(COLUMN($HJ$365)-COLUMN($GL$359)=$Q$291,ROW($HJ$365)-ROW($GL$359)=$K$291), U$290, HJ365), HJ365))</f>
        <v>0</v>
      </c>
      <c r="HK365" s="21">
        <f t="shared" si="4068"/>
        <v>0</v>
      </c>
      <c r="HL365" s="21">
        <f t="shared" si="4068"/>
        <v>0</v>
      </c>
      <c r="HM365" s="21">
        <f t="shared" si="4068"/>
        <v>0</v>
      </c>
      <c r="HN365" s="21">
        <f t="shared" si="4068"/>
        <v>0</v>
      </c>
      <c r="HO365" s="21">
        <f t="shared" si="4068"/>
        <v>0</v>
      </c>
      <c r="HP365" s="21">
        <f t="shared" si="4068"/>
        <v>0</v>
      </c>
      <c r="HQ365" s="21">
        <f t="shared" si="4068"/>
        <v>0</v>
      </c>
      <c r="HR365" s="21">
        <f t="shared" ref="HR365:HY365" si="4069">IF($F$290, 0, IF($F$301, IF(AND(COLUMN($HR$365)-COLUMN($GL$359)=$Q$291,ROW($HR$365)-ROW($GL$359)=$K$291), U$290, HR365), HR365))</f>
        <v>0</v>
      </c>
      <c r="HS365" s="21">
        <f t="shared" si="4069"/>
        <v>0</v>
      </c>
      <c r="HT365" s="21">
        <f t="shared" si="4069"/>
        <v>0</v>
      </c>
      <c r="HU365" s="21">
        <f t="shared" si="4069"/>
        <v>0</v>
      </c>
      <c r="HV365" s="21">
        <f t="shared" si="4069"/>
        <v>0</v>
      </c>
      <c r="HW365" s="21">
        <f t="shared" si="4069"/>
        <v>0</v>
      </c>
      <c r="HX365" s="21">
        <f t="shared" si="4069"/>
        <v>0</v>
      </c>
      <c r="HY365" s="21">
        <f t="shared" si="4069"/>
        <v>0</v>
      </c>
      <c r="HZ365" s="21">
        <f t="shared" ref="HZ365:IG365" si="4070">IF($F$290, 0, IF($F$301, IF(AND(COLUMN($HZ$365)-COLUMN($GL$359)=$Q$291,ROW($HZ$365)-ROW($GL$359)=$K$291), U$290, HZ365), HZ365))</f>
        <v>0</v>
      </c>
      <c r="IA365" s="21">
        <f t="shared" si="4070"/>
        <v>0</v>
      </c>
      <c r="IB365" s="21">
        <f t="shared" si="4070"/>
        <v>0</v>
      </c>
      <c r="IC365" s="21">
        <f t="shared" si="4070"/>
        <v>0</v>
      </c>
      <c r="ID365" s="21">
        <f t="shared" si="4070"/>
        <v>0</v>
      </c>
      <c r="IE365" s="21">
        <f t="shared" si="4070"/>
        <v>0</v>
      </c>
      <c r="IF365" s="21">
        <f t="shared" si="4070"/>
        <v>0</v>
      </c>
      <c r="IG365" s="21">
        <f t="shared" si="4070"/>
        <v>0</v>
      </c>
      <c r="IH365" s="21">
        <f t="shared" ref="IH365:IO365" si="4071">IF($F$290, 0, IF($F$301, IF(AND(COLUMN($IH$365)-COLUMN($GL$359)=$Q$291,ROW($IH$365)-ROW($GL$359)=$K$291), U$290, IH365), IH365))</f>
        <v>0</v>
      </c>
      <c r="II365" s="21">
        <f t="shared" si="4071"/>
        <v>0</v>
      </c>
      <c r="IJ365" s="21">
        <f t="shared" si="4071"/>
        <v>0</v>
      </c>
      <c r="IK365" s="21">
        <f t="shared" si="4071"/>
        <v>0</v>
      </c>
      <c r="IL365" s="21">
        <f t="shared" si="4071"/>
        <v>0</v>
      </c>
      <c r="IM365" s="21">
        <f t="shared" si="4071"/>
        <v>0</v>
      </c>
      <c r="IN365" s="21">
        <f t="shared" si="4071"/>
        <v>0</v>
      </c>
      <c r="IO365" s="21">
        <f t="shared" si="4071"/>
        <v>0</v>
      </c>
      <c r="IP365" s="21">
        <f t="shared" ref="IP365:IW365" si="4072">IF($F$290, 0, IF($F$301, IF(AND(COLUMN($IP$365)-COLUMN($GL$359)=$Q$291,ROW($IP$365)-ROW($GL$359)=$K$291), U$290, IP365), IP365))</f>
        <v>0</v>
      </c>
      <c r="IQ365" s="21">
        <f t="shared" si="4072"/>
        <v>0</v>
      </c>
      <c r="IR365" s="21">
        <f t="shared" si="4072"/>
        <v>0</v>
      </c>
      <c r="IS365" s="21">
        <f t="shared" si="4072"/>
        <v>0</v>
      </c>
      <c r="IT365" s="21">
        <f t="shared" si="4072"/>
        <v>0</v>
      </c>
      <c r="IU365" s="21">
        <f t="shared" si="4072"/>
        <v>0</v>
      </c>
      <c r="IV365" s="21">
        <f t="shared" si="4072"/>
        <v>0</v>
      </c>
      <c r="IW365" s="21">
        <f t="shared" si="4072"/>
        <v>0</v>
      </c>
      <c r="IX365" s="21">
        <f t="shared" ref="IX365:JE365" si="4073">IF($F$290, 0, IF($G$301, IF(AND(COLUMN($IX$365)-COLUMN($IX$359)=$Q$291,ROW($IX$365)-ROW($IX$359)=$K$291), U$290, IX365), IX365))</f>
        <v>0</v>
      </c>
      <c r="IY365" s="21">
        <f t="shared" si="4073"/>
        <v>0</v>
      </c>
      <c r="IZ365" s="21">
        <f t="shared" si="4073"/>
        <v>0</v>
      </c>
      <c r="JA365" s="21">
        <f t="shared" si="4073"/>
        <v>0</v>
      </c>
      <c r="JB365" s="21">
        <f t="shared" si="4073"/>
        <v>0</v>
      </c>
      <c r="JC365" s="21">
        <f t="shared" si="4073"/>
        <v>0</v>
      </c>
      <c r="JD365" s="21">
        <f t="shared" si="4073"/>
        <v>0</v>
      </c>
      <c r="JE365" s="21">
        <f t="shared" si="4073"/>
        <v>0</v>
      </c>
      <c r="JF365" s="21">
        <f t="shared" ref="JF365:JM365" si="4074">IF($F$290, 0, IF($G$301, IF(AND(COLUMN($JF$365)-COLUMN($IX$359)=$Q$291,ROW($JF$365)-ROW($IX$359)=$K$291), U$290, JF365), JF365))</f>
        <v>0</v>
      </c>
      <c r="JG365" s="21">
        <f t="shared" si="4074"/>
        <v>0</v>
      </c>
      <c r="JH365" s="21">
        <f t="shared" si="4074"/>
        <v>0</v>
      </c>
      <c r="JI365" s="21">
        <f t="shared" si="4074"/>
        <v>0</v>
      </c>
      <c r="JJ365" s="21">
        <f t="shared" si="4074"/>
        <v>0</v>
      </c>
      <c r="JK365" s="21">
        <f t="shared" si="4074"/>
        <v>0</v>
      </c>
      <c r="JL365" s="21">
        <f t="shared" si="4074"/>
        <v>0</v>
      </c>
      <c r="JM365" s="21">
        <f t="shared" si="4074"/>
        <v>0</v>
      </c>
      <c r="JN365" s="21">
        <f t="shared" ref="JN365:JU365" si="4075">IF($F$290, 0, IF($G$301, IF(AND(COLUMN($JN$365)-COLUMN($IX$359)=$Q$291,ROW($JN$365)-ROW($IX$359)=$K$291), U$290, JN365), JN365))</f>
        <v>0</v>
      </c>
      <c r="JO365" s="21">
        <f t="shared" si="4075"/>
        <v>0</v>
      </c>
      <c r="JP365" s="21">
        <f t="shared" si="4075"/>
        <v>0</v>
      </c>
      <c r="JQ365" s="21">
        <f t="shared" si="4075"/>
        <v>0</v>
      </c>
      <c r="JR365" s="21">
        <f t="shared" si="4075"/>
        <v>0</v>
      </c>
      <c r="JS365" s="21">
        <f t="shared" si="4075"/>
        <v>0</v>
      </c>
      <c r="JT365" s="21">
        <f t="shared" si="4075"/>
        <v>0</v>
      </c>
      <c r="JU365" s="21">
        <f t="shared" si="4075"/>
        <v>0</v>
      </c>
      <c r="JV365" s="21">
        <f t="shared" ref="JV365:KC365" si="4076">IF($F$290, 0, IF($G$301, IF(AND(COLUMN($JV$365)-COLUMN($IX$359)=$Q$291,ROW($JV$365)-ROW($IX$359)=$K$291), U$290, JV365), JV365))</f>
        <v>0</v>
      </c>
      <c r="JW365" s="21">
        <f t="shared" si="4076"/>
        <v>0</v>
      </c>
      <c r="JX365" s="21">
        <f t="shared" si="4076"/>
        <v>0</v>
      </c>
      <c r="JY365" s="21">
        <f t="shared" si="4076"/>
        <v>0</v>
      </c>
      <c r="JZ365" s="21">
        <f t="shared" si="4076"/>
        <v>0</v>
      </c>
      <c r="KA365" s="21">
        <f t="shared" si="4076"/>
        <v>0</v>
      </c>
      <c r="KB365" s="21">
        <f t="shared" si="4076"/>
        <v>0</v>
      </c>
      <c r="KC365" s="21">
        <f t="shared" si="4076"/>
        <v>0</v>
      </c>
      <c r="KD365" s="21">
        <f t="shared" ref="KD365:KK365" si="4077">IF($F$290, 0, IF($G$301, IF(AND(COLUMN($KD$365)-COLUMN($IX$359)=$Q$291,ROW($KD$365)-ROW($IX$359)=$K$291), U$290, KD365), KD365))</f>
        <v>0</v>
      </c>
      <c r="KE365" s="21">
        <f t="shared" si="4077"/>
        <v>0</v>
      </c>
      <c r="KF365" s="21">
        <f t="shared" si="4077"/>
        <v>0</v>
      </c>
      <c r="KG365" s="21">
        <f t="shared" si="4077"/>
        <v>0</v>
      </c>
      <c r="KH365" s="21">
        <f t="shared" si="4077"/>
        <v>0</v>
      </c>
      <c r="KI365" s="21">
        <f t="shared" si="4077"/>
        <v>0</v>
      </c>
      <c r="KJ365" s="21">
        <f t="shared" si="4077"/>
        <v>0</v>
      </c>
      <c r="KK365" s="21">
        <f t="shared" si="4077"/>
        <v>0</v>
      </c>
      <c r="KL365" s="21">
        <f t="shared" ref="KL365:KS365" si="4078">IF($F$290, 0, IF($G$301, IF(AND(COLUMN($KL$365)-COLUMN($IX$359)=$Q$291,ROW($KL$365)-ROW($IX$359)=$K$291), U$290, KL365), KL365))</f>
        <v>0</v>
      </c>
      <c r="KM365" s="21">
        <f t="shared" si="4078"/>
        <v>0</v>
      </c>
      <c r="KN365" s="21">
        <f t="shared" si="4078"/>
        <v>0</v>
      </c>
      <c r="KO365" s="21">
        <f t="shared" si="4078"/>
        <v>0</v>
      </c>
      <c r="KP365" s="21">
        <f t="shared" si="4078"/>
        <v>0</v>
      </c>
      <c r="KQ365" s="21">
        <f t="shared" si="4078"/>
        <v>0</v>
      </c>
      <c r="KR365" s="21">
        <f t="shared" si="4078"/>
        <v>0</v>
      </c>
      <c r="KS365" s="21">
        <f t="shared" si="4078"/>
        <v>0</v>
      </c>
      <c r="KT365" s="21">
        <f t="shared" ref="KT365:LA365" si="4079">IF($F$290, 0, IF($G$301, IF(AND(COLUMN($KT$365)-COLUMN($IX$359)=$Q$291,ROW($KT$365)-ROW($IX$359)=$K$291), U$290, KT365), KT365))</f>
        <v>0</v>
      </c>
      <c r="KU365" s="21">
        <f t="shared" si="4079"/>
        <v>0</v>
      </c>
      <c r="KV365" s="21">
        <f t="shared" si="4079"/>
        <v>0</v>
      </c>
      <c r="KW365" s="21">
        <f t="shared" si="4079"/>
        <v>0</v>
      </c>
      <c r="KX365" s="21">
        <f t="shared" si="4079"/>
        <v>0</v>
      </c>
      <c r="KY365" s="21">
        <f t="shared" si="4079"/>
        <v>0</v>
      </c>
      <c r="KZ365" s="21">
        <f t="shared" si="4079"/>
        <v>0</v>
      </c>
      <c r="LA365" s="21">
        <f t="shared" si="4079"/>
        <v>0</v>
      </c>
      <c r="LB365" s="21">
        <f t="shared" ref="LB365:LI365" si="4080">IF($F$290, 0, IF($G$301, IF(AND(COLUMN($LB$365)-COLUMN($IX$359)=$Q$291,ROW($LB$365)-ROW($IX$359)=$K$291), U$290, LB365), LB365))</f>
        <v>0</v>
      </c>
      <c r="LC365" s="21">
        <f t="shared" si="4080"/>
        <v>0</v>
      </c>
      <c r="LD365" s="21">
        <f t="shared" si="4080"/>
        <v>0</v>
      </c>
      <c r="LE365" s="21">
        <f t="shared" si="4080"/>
        <v>0</v>
      </c>
      <c r="LF365" s="21">
        <f t="shared" si="4080"/>
        <v>0</v>
      </c>
      <c r="LG365" s="21">
        <f t="shared" si="4080"/>
        <v>0</v>
      </c>
      <c r="LH365" s="21">
        <f t="shared" si="4080"/>
        <v>0</v>
      </c>
      <c r="LI365" s="21">
        <f t="shared" si="4080"/>
        <v>0</v>
      </c>
      <c r="LJ365" s="21">
        <f t="shared" ref="LJ365:LQ365" si="4081">IF($F$290, 0, IF($H$301, IF(AND(COLUMN($LJ$365)-COLUMN($LJ$359)=$Q$291,ROW($LJ$365)-ROW($LJ$359)=$K$291), U$290, LJ365), LJ365))</f>
        <v>0</v>
      </c>
      <c r="LK365" s="21">
        <f t="shared" si="4081"/>
        <v>0</v>
      </c>
      <c r="LL365" s="21">
        <f t="shared" si="4081"/>
        <v>0</v>
      </c>
      <c r="LM365" s="21">
        <f t="shared" si="4081"/>
        <v>0</v>
      </c>
      <c r="LN365" s="21">
        <f t="shared" si="4081"/>
        <v>0</v>
      </c>
      <c r="LO365" s="21">
        <f t="shared" si="4081"/>
        <v>0</v>
      </c>
      <c r="LP365" s="21">
        <f t="shared" si="4081"/>
        <v>0</v>
      </c>
      <c r="LQ365" s="21">
        <f t="shared" si="4081"/>
        <v>0</v>
      </c>
      <c r="LR365" s="21">
        <f t="shared" ref="LR365:LY365" si="4082">IF($F$290, 0, IF($H$301, IF(AND(COLUMN($LR$365)-COLUMN($LJ$359)=$Q$291,ROW($LR$365)-ROW($LJ$359)=$K$291), U$290, LR365), LR365))</f>
        <v>0</v>
      </c>
      <c r="LS365" s="21">
        <f t="shared" si="4082"/>
        <v>0</v>
      </c>
      <c r="LT365" s="21">
        <f t="shared" si="4082"/>
        <v>0</v>
      </c>
      <c r="LU365" s="21">
        <f t="shared" si="4082"/>
        <v>0</v>
      </c>
      <c r="LV365" s="21">
        <f t="shared" si="4082"/>
        <v>0</v>
      </c>
      <c r="LW365" s="21">
        <f t="shared" si="4082"/>
        <v>0</v>
      </c>
      <c r="LX365" s="21">
        <f t="shared" si="4082"/>
        <v>0</v>
      </c>
      <c r="LY365" s="21">
        <f t="shared" si="4082"/>
        <v>0</v>
      </c>
      <c r="LZ365" s="21">
        <f t="shared" ref="LZ365:MG365" si="4083">IF($F$290, 0, IF($H$301, IF(AND(COLUMN($LZ$365)-COLUMN($LJ$359)=$Q$291,ROW($LZ$365)-ROW($LJ$359)=$K$291), U$290, LZ365), LZ365))</f>
        <v>0</v>
      </c>
      <c r="MA365" s="21">
        <f t="shared" si="4083"/>
        <v>0</v>
      </c>
      <c r="MB365" s="21">
        <f t="shared" si="4083"/>
        <v>0</v>
      </c>
      <c r="MC365" s="21">
        <f t="shared" si="4083"/>
        <v>0</v>
      </c>
      <c r="MD365" s="21">
        <f t="shared" si="4083"/>
        <v>0</v>
      </c>
      <c r="ME365" s="21">
        <f t="shared" si="4083"/>
        <v>0</v>
      </c>
      <c r="MF365" s="21">
        <f t="shared" si="4083"/>
        <v>0</v>
      </c>
      <c r="MG365" s="21">
        <f t="shared" si="4083"/>
        <v>0</v>
      </c>
      <c r="MH365" s="21">
        <f t="shared" ref="MH365:MO365" si="4084">IF($F$290, 0, IF($H$301, IF(AND(COLUMN($MH$365)-COLUMN($LJ$359)=$Q$291,ROW($MH$365)-ROW($LJ$359)=$K$291), U$290, MH365), MH365))</f>
        <v>0</v>
      </c>
      <c r="MI365" s="21">
        <f t="shared" si="4084"/>
        <v>0</v>
      </c>
      <c r="MJ365" s="21">
        <f t="shared" si="4084"/>
        <v>0</v>
      </c>
      <c r="MK365" s="21">
        <f t="shared" si="4084"/>
        <v>0</v>
      </c>
      <c r="ML365" s="21">
        <f t="shared" si="4084"/>
        <v>0</v>
      </c>
      <c r="MM365" s="21">
        <f t="shared" si="4084"/>
        <v>0</v>
      </c>
      <c r="MN365" s="21">
        <f t="shared" si="4084"/>
        <v>0</v>
      </c>
      <c r="MO365" s="21">
        <f t="shared" si="4084"/>
        <v>0</v>
      </c>
      <c r="MP365" s="21">
        <f t="shared" ref="MP365:MW365" si="4085">IF($F$290, 0, IF($H$301, IF(AND(COLUMN($MP$365)-COLUMN($LJ$359)=$Q$291,ROW($MP$365)-ROW($LJ$359)=$K$291), U$290, MP365), MP365))</f>
        <v>0</v>
      </c>
      <c r="MQ365" s="21">
        <f t="shared" si="4085"/>
        <v>0</v>
      </c>
      <c r="MR365" s="21">
        <f t="shared" si="4085"/>
        <v>0</v>
      </c>
      <c r="MS365" s="21">
        <f t="shared" si="4085"/>
        <v>0</v>
      </c>
      <c r="MT365" s="21">
        <f t="shared" si="4085"/>
        <v>0</v>
      </c>
      <c r="MU365" s="21">
        <f t="shared" si="4085"/>
        <v>0</v>
      </c>
      <c r="MV365" s="21">
        <f t="shared" si="4085"/>
        <v>0</v>
      </c>
      <c r="MW365" s="21">
        <f t="shared" si="4085"/>
        <v>0</v>
      </c>
      <c r="MX365" s="21">
        <f t="shared" ref="MX365:NE365" si="4086">IF($F$290, 0, IF($H$301, IF(AND(COLUMN($MX$365)-COLUMN($LJ$359)=$Q$291,ROW($MX$365)-ROW($LJ$359)=$K$291), U$290, MX365), MX365))</f>
        <v>0</v>
      </c>
      <c r="MY365" s="21">
        <f t="shared" si="4086"/>
        <v>0</v>
      </c>
      <c r="MZ365" s="21">
        <f t="shared" si="4086"/>
        <v>0</v>
      </c>
      <c r="NA365" s="21">
        <f t="shared" si="4086"/>
        <v>0</v>
      </c>
      <c r="NB365" s="21">
        <f t="shared" si="4086"/>
        <v>0</v>
      </c>
      <c r="NC365" s="21">
        <f t="shared" si="4086"/>
        <v>0</v>
      </c>
      <c r="ND365" s="21">
        <f t="shared" si="4086"/>
        <v>0</v>
      </c>
      <c r="NE365" s="21">
        <f t="shared" si="4086"/>
        <v>0</v>
      </c>
      <c r="NF365" s="21">
        <f t="shared" ref="NF365:NM365" si="4087">IF($F$290, 0, IF($H$301, IF(AND(COLUMN($NF$365)-COLUMN($LJ$359)=$Q$291,ROW($NF$365)-ROW($LJ$359)=$K$291), U$290, NF365), NF365))</f>
        <v>0</v>
      </c>
      <c r="NG365" s="21">
        <f t="shared" si="4087"/>
        <v>0</v>
      </c>
      <c r="NH365" s="21">
        <f t="shared" si="4087"/>
        <v>0</v>
      </c>
      <c r="NI365" s="21">
        <f t="shared" si="4087"/>
        <v>0</v>
      </c>
      <c r="NJ365" s="21">
        <f t="shared" si="4087"/>
        <v>0</v>
      </c>
      <c r="NK365" s="21">
        <f t="shared" si="4087"/>
        <v>0</v>
      </c>
      <c r="NL365" s="21">
        <f t="shared" si="4087"/>
        <v>0</v>
      </c>
      <c r="NM365" s="21">
        <f t="shared" si="4087"/>
        <v>0</v>
      </c>
      <c r="NN365" s="21">
        <f t="shared" ref="NN365:NU365" si="4088">IF($F$290, 0, IF($H$301, IF(AND(COLUMN($NN$365)-COLUMN($LJ$359)=$Q$291,ROW($NN$365)-ROW($LJ$359)=$K$291), U$290, NN365), NN365))</f>
        <v>0</v>
      </c>
      <c r="NO365" s="21">
        <f t="shared" si="4088"/>
        <v>0</v>
      </c>
      <c r="NP365" s="21">
        <f t="shared" si="4088"/>
        <v>0</v>
      </c>
      <c r="NQ365" s="21">
        <f t="shared" si="4088"/>
        <v>0</v>
      </c>
      <c r="NR365" s="21">
        <f t="shared" si="4088"/>
        <v>0</v>
      </c>
      <c r="NS365" s="21">
        <f t="shared" si="4088"/>
        <v>0</v>
      </c>
      <c r="NT365" s="21">
        <f t="shared" si="4088"/>
        <v>0</v>
      </c>
      <c r="NU365" s="21">
        <f t="shared" si="4088"/>
        <v>0</v>
      </c>
      <c r="NV365" s="21">
        <f t="shared" ref="NV365:OC365" si="4089">IF($F$290, 0, IF($I$301, IF(AND(COLUMN($NV$365)-COLUMN($NV$359)=$Q$291,ROW($NV$365)-ROW($NV$359)=$K$291), U$290, NV365), NV365))</f>
        <v>0</v>
      </c>
      <c r="NW365" s="21">
        <f t="shared" si="4089"/>
        <v>0</v>
      </c>
      <c r="NX365" s="21">
        <f t="shared" si="4089"/>
        <v>0</v>
      </c>
      <c r="NY365" s="21">
        <f t="shared" si="4089"/>
        <v>0</v>
      </c>
      <c r="NZ365" s="21">
        <f t="shared" si="4089"/>
        <v>0</v>
      </c>
      <c r="OA365" s="21">
        <f t="shared" si="4089"/>
        <v>0</v>
      </c>
      <c r="OB365" s="21">
        <f t="shared" si="4089"/>
        <v>0</v>
      </c>
      <c r="OC365" s="21">
        <f t="shared" si="4089"/>
        <v>0</v>
      </c>
      <c r="OD365" s="21">
        <f t="shared" ref="OD365:OK365" si="4090">IF($F$290, 0, IF($I$301, IF(AND(COLUMN($OD$365)-COLUMN($NV$359)=$Q$291,ROW($OD$365)-ROW($NV$359)=$K$291), U$290, OD365), OD365))</f>
        <v>0</v>
      </c>
      <c r="OE365" s="21">
        <f t="shared" si="4090"/>
        <v>0</v>
      </c>
      <c r="OF365" s="21">
        <f t="shared" si="4090"/>
        <v>0</v>
      </c>
      <c r="OG365" s="21">
        <f t="shared" si="4090"/>
        <v>0</v>
      </c>
      <c r="OH365" s="21">
        <f t="shared" si="4090"/>
        <v>0</v>
      </c>
      <c r="OI365" s="21">
        <f t="shared" si="4090"/>
        <v>0</v>
      </c>
      <c r="OJ365" s="21">
        <f t="shared" si="4090"/>
        <v>0</v>
      </c>
      <c r="OK365" s="21">
        <f t="shared" si="4090"/>
        <v>0</v>
      </c>
      <c r="OL365" s="21">
        <f t="shared" ref="OL365:OS365" si="4091">IF($F$290, 0, IF($I$301, IF(AND(COLUMN($OL$365)-COLUMN($NV$359)=$Q$291,ROW($OL$365)-ROW($NV$359)=$K$291), U$290, OL365), OL365))</f>
        <v>0</v>
      </c>
      <c r="OM365" s="21">
        <f t="shared" si="4091"/>
        <v>0</v>
      </c>
      <c r="ON365" s="21">
        <f t="shared" si="4091"/>
        <v>0</v>
      </c>
      <c r="OO365" s="21">
        <f t="shared" si="4091"/>
        <v>0</v>
      </c>
      <c r="OP365" s="21">
        <f t="shared" si="4091"/>
        <v>0</v>
      </c>
      <c r="OQ365" s="21">
        <f t="shared" si="4091"/>
        <v>0</v>
      </c>
      <c r="OR365" s="21">
        <f t="shared" si="4091"/>
        <v>0</v>
      </c>
      <c r="OS365" s="21">
        <f t="shared" si="4091"/>
        <v>0</v>
      </c>
      <c r="OT365" s="21">
        <f t="shared" ref="OT365:PA365" si="4092">IF($F$290, 0, IF($I$301, IF(AND(COLUMN($OT$365)-COLUMN($NV$359)=$Q$291,ROW($OT$365)-ROW($NV$359)=$K$291), U$290, OT365), OT365))</f>
        <v>0</v>
      </c>
      <c r="OU365" s="21">
        <f t="shared" si="4092"/>
        <v>0</v>
      </c>
      <c r="OV365" s="21">
        <f t="shared" si="4092"/>
        <v>0</v>
      </c>
      <c r="OW365" s="21">
        <f t="shared" si="4092"/>
        <v>0</v>
      </c>
      <c r="OX365" s="21">
        <f t="shared" si="4092"/>
        <v>0</v>
      </c>
      <c r="OY365" s="21">
        <f t="shared" si="4092"/>
        <v>0</v>
      </c>
      <c r="OZ365" s="21">
        <f t="shared" si="4092"/>
        <v>0</v>
      </c>
      <c r="PA365" s="21">
        <f t="shared" si="4092"/>
        <v>0</v>
      </c>
      <c r="PB365" s="21">
        <f t="shared" ref="PB365:PI365" si="4093">IF($F$290, 0, IF($I$301, IF(AND(COLUMN($PB$365)-COLUMN($NV$359)=$Q$291,ROW($PB$365)-ROW($NV$359)=$K$291), U$290, PB365), PB365))</f>
        <v>0</v>
      </c>
      <c r="PC365" s="21">
        <f t="shared" si="4093"/>
        <v>0</v>
      </c>
      <c r="PD365" s="21">
        <f t="shared" si="4093"/>
        <v>0</v>
      </c>
      <c r="PE365" s="21">
        <f t="shared" si="4093"/>
        <v>0</v>
      </c>
      <c r="PF365" s="21">
        <f t="shared" si="4093"/>
        <v>0</v>
      </c>
      <c r="PG365" s="21">
        <f t="shared" si="4093"/>
        <v>0</v>
      </c>
      <c r="PH365" s="21">
        <f t="shared" si="4093"/>
        <v>0</v>
      </c>
      <c r="PI365" s="21">
        <f t="shared" si="4093"/>
        <v>0</v>
      </c>
      <c r="PJ365" s="21">
        <f t="shared" ref="PJ365:PQ365" si="4094">IF($F$290, 0, IF($I$301, IF(AND(COLUMN($PJ$365)-COLUMN($NV$359)=$Q$291,ROW($PJ$365)-ROW($NV$359)=$K$291), U$290, PJ365), PJ365))</f>
        <v>0</v>
      </c>
      <c r="PK365" s="21">
        <f t="shared" si="4094"/>
        <v>0</v>
      </c>
      <c r="PL365" s="21">
        <f t="shared" si="4094"/>
        <v>0</v>
      </c>
      <c r="PM365" s="21">
        <f t="shared" si="4094"/>
        <v>0</v>
      </c>
      <c r="PN365" s="21">
        <f t="shared" si="4094"/>
        <v>0</v>
      </c>
      <c r="PO365" s="21">
        <f t="shared" si="4094"/>
        <v>0</v>
      </c>
      <c r="PP365" s="21">
        <f t="shared" si="4094"/>
        <v>0</v>
      </c>
      <c r="PQ365" s="21">
        <f t="shared" si="4094"/>
        <v>0</v>
      </c>
      <c r="PR365" s="21">
        <f t="shared" ref="PR365:PY365" si="4095">IF($F$290, 0, IF($I$301, IF(AND(COLUMN($PR$365)-COLUMN($NV$359)=$Q$291,ROW($PR$365)-ROW($NV$359)=$K$291), U$290, PR365), PR365))</f>
        <v>0</v>
      </c>
      <c r="PS365" s="21">
        <f t="shared" si="4095"/>
        <v>0</v>
      </c>
      <c r="PT365" s="21">
        <f t="shared" si="4095"/>
        <v>0</v>
      </c>
      <c r="PU365" s="21">
        <f t="shared" si="4095"/>
        <v>0</v>
      </c>
      <c r="PV365" s="21">
        <f t="shared" si="4095"/>
        <v>0</v>
      </c>
      <c r="PW365" s="21">
        <f t="shared" si="4095"/>
        <v>0</v>
      </c>
      <c r="PX365" s="21">
        <f t="shared" si="4095"/>
        <v>0</v>
      </c>
      <c r="PY365" s="21">
        <f t="shared" si="4095"/>
        <v>0</v>
      </c>
      <c r="PZ365" s="21">
        <f t="shared" ref="PZ365:QG365" si="4096">IF($F$290, 0, IF($I$301, IF(AND(COLUMN($PZ$365)-COLUMN($NV$359)=$Q$291,ROW($PZ$365)-ROW($NV$359)=$K$291), U$290, PZ365), PZ365))</f>
        <v>0</v>
      </c>
      <c r="QA365" s="21">
        <f t="shared" si="4096"/>
        <v>0</v>
      </c>
      <c r="QB365" s="21">
        <f t="shared" si="4096"/>
        <v>0</v>
      </c>
      <c r="QC365" s="21">
        <f t="shared" si="4096"/>
        <v>0</v>
      </c>
      <c r="QD365" s="21">
        <f t="shared" si="4096"/>
        <v>0</v>
      </c>
      <c r="QE365" s="21">
        <f t="shared" si="4096"/>
        <v>0</v>
      </c>
      <c r="QF365" s="21">
        <f t="shared" si="4096"/>
        <v>0</v>
      </c>
      <c r="QG365" s="21">
        <f t="shared" si="4096"/>
        <v>0</v>
      </c>
      <c r="QH365" s="21">
        <f t="shared" ref="QH365:QO365" si="4097">IF($F$290, 0, IF($J$301, IF(AND(COLUMN($QH$365)-COLUMN($QH$359)=$Q$291,ROW($QH$365)-ROW($QH$359)=$K$291), U$290, QH365), QH365))</f>
        <v>0</v>
      </c>
      <c r="QI365" s="21">
        <f t="shared" si="4097"/>
        <v>0</v>
      </c>
      <c r="QJ365" s="21">
        <f t="shared" si="4097"/>
        <v>0</v>
      </c>
      <c r="QK365" s="21">
        <f t="shared" si="4097"/>
        <v>0</v>
      </c>
      <c r="QL365" s="21">
        <f t="shared" si="4097"/>
        <v>0</v>
      </c>
      <c r="QM365" s="21">
        <f t="shared" si="4097"/>
        <v>0</v>
      </c>
      <c r="QN365" s="21">
        <f t="shared" si="4097"/>
        <v>0</v>
      </c>
      <c r="QO365" s="21">
        <f t="shared" si="4097"/>
        <v>0</v>
      </c>
      <c r="QP365" s="21">
        <f t="shared" ref="QP365:QW365" si="4098">IF($F$290, 0, IF($J$301, IF(AND(COLUMN($QP$365)-COLUMN($QH$359)=$Q$291,ROW($QP$365)-ROW($QH$359)=$K$291), U$290, QP365), QP365))</f>
        <v>0</v>
      </c>
      <c r="QQ365" s="21">
        <f t="shared" si="4098"/>
        <v>0</v>
      </c>
      <c r="QR365" s="21">
        <f t="shared" si="4098"/>
        <v>0</v>
      </c>
      <c r="QS365" s="21">
        <f t="shared" si="4098"/>
        <v>0</v>
      </c>
      <c r="QT365" s="21">
        <f t="shared" si="4098"/>
        <v>0</v>
      </c>
      <c r="QU365" s="21">
        <f t="shared" si="4098"/>
        <v>0</v>
      </c>
      <c r="QV365" s="21">
        <f t="shared" si="4098"/>
        <v>0</v>
      </c>
      <c r="QW365" s="21">
        <f t="shared" si="4098"/>
        <v>0</v>
      </c>
      <c r="QX365" s="21">
        <f t="shared" ref="QX365:RE365" si="4099">IF($F$290, 0, IF($J$301, IF(AND(COLUMN($QX$365)-COLUMN($QH$359)=$Q$291,ROW($QX$365)-ROW($QH$359)=$K$291), U$290, QX365), QX365))</f>
        <v>0</v>
      </c>
      <c r="QY365" s="21">
        <f t="shared" si="4099"/>
        <v>0</v>
      </c>
      <c r="QZ365" s="21">
        <f t="shared" si="4099"/>
        <v>0</v>
      </c>
      <c r="RA365" s="21">
        <f t="shared" si="4099"/>
        <v>0</v>
      </c>
      <c r="RB365" s="21">
        <f t="shared" si="4099"/>
        <v>0</v>
      </c>
      <c r="RC365" s="21">
        <f t="shared" si="4099"/>
        <v>0</v>
      </c>
      <c r="RD365" s="21">
        <f t="shared" si="4099"/>
        <v>0</v>
      </c>
      <c r="RE365" s="21">
        <f t="shared" si="4099"/>
        <v>0</v>
      </c>
      <c r="RF365" s="21">
        <f t="shared" ref="RF365:RM365" si="4100">IF($F$290, 0, IF($J$301, IF(AND(COLUMN($RF$365)-COLUMN($QH$359)=$Q$291,ROW($RF$365)-ROW($QH$359)=$K$291), U$290, RF365), RF365))</f>
        <v>0</v>
      </c>
      <c r="RG365" s="21">
        <f t="shared" si="4100"/>
        <v>0</v>
      </c>
      <c r="RH365" s="21">
        <f t="shared" si="4100"/>
        <v>0</v>
      </c>
      <c r="RI365" s="21">
        <f t="shared" si="4100"/>
        <v>0</v>
      </c>
      <c r="RJ365" s="21">
        <f t="shared" si="4100"/>
        <v>0</v>
      </c>
      <c r="RK365" s="21">
        <f t="shared" si="4100"/>
        <v>0</v>
      </c>
      <c r="RL365" s="21">
        <f t="shared" si="4100"/>
        <v>0</v>
      </c>
      <c r="RM365" s="21">
        <f t="shared" si="4100"/>
        <v>0</v>
      </c>
      <c r="RN365" s="21">
        <f t="shared" ref="RN365:RU365" si="4101">IF($F$290, 0, IF($J$301, IF(AND(COLUMN($RN$365)-COLUMN($QH$359)=$Q$291,ROW($RN$365)-ROW($QH$359)=$K$291), U$290, RN365), RN365))</f>
        <v>0</v>
      </c>
      <c r="RO365" s="21">
        <f t="shared" si="4101"/>
        <v>0</v>
      </c>
      <c r="RP365" s="21">
        <f t="shared" si="4101"/>
        <v>0</v>
      </c>
      <c r="RQ365" s="21">
        <f t="shared" si="4101"/>
        <v>0</v>
      </c>
      <c r="RR365" s="21">
        <f t="shared" si="4101"/>
        <v>0</v>
      </c>
      <c r="RS365" s="21">
        <f t="shared" si="4101"/>
        <v>0</v>
      </c>
      <c r="RT365" s="21">
        <f t="shared" si="4101"/>
        <v>0</v>
      </c>
      <c r="RU365" s="21">
        <f t="shared" si="4101"/>
        <v>0</v>
      </c>
      <c r="RV365" s="21">
        <f t="shared" ref="RV365:SC365" si="4102">IF($F$290, 0, IF($J$301, IF(AND(COLUMN($RV$365)-COLUMN($QH$359)=$Q$291,ROW($RV$365)-ROW($QH$359)=$K$291), U$290, RV365), RV365))</f>
        <v>0</v>
      </c>
      <c r="RW365" s="21">
        <f t="shared" si="4102"/>
        <v>0</v>
      </c>
      <c r="RX365" s="21">
        <f t="shared" si="4102"/>
        <v>0</v>
      </c>
      <c r="RY365" s="21">
        <f t="shared" si="4102"/>
        <v>0</v>
      </c>
      <c r="RZ365" s="21">
        <f t="shared" si="4102"/>
        <v>0</v>
      </c>
      <c r="SA365" s="21">
        <f t="shared" si="4102"/>
        <v>0</v>
      </c>
      <c r="SB365" s="21">
        <f t="shared" si="4102"/>
        <v>0</v>
      </c>
      <c r="SC365" s="21">
        <f t="shared" si="4102"/>
        <v>0</v>
      </c>
      <c r="SD365" s="21">
        <f t="shared" ref="SD365:SK365" si="4103">IF($F$290, 0, IF($J$301, IF(AND(COLUMN($SD$365)-COLUMN($QH$359)=$Q$291,ROW($SD$365)-ROW($QH$359)=$K$291), U$290, SD365), SD365))</f>
        <v>0</v>
      </c>
      <c r="SE365" s="21">
        <f t="shared" si="4103"/>
        <v>0</v>
      </c>
      <c r="SF365" s="21">
        <f t="shared" si="4103"/>
        <v>0</v>
      </c>
      <c r="SG365" s="21">
        <f t="shared" si="4103"/>
        <v>0</v>
      </c>
      <c r="SH365" s="21">
        <f t="shared" si="4103"/>
        <v>0</v>
      </c>
      <c r="SI365" s="21">
        <f t="shared" si="4103"/>
        <v>0</v>
      </c>
      <c r="SJ365" s="21">
        <f t="shared" si="4103"/>
        <v>0</v>
      </c>
      <c r="SK365" s="21">
        <f t="shared" si="4103"/>
        <v>0</v>
      </c>
      <c r="SL365" s="21">
        <f t="shared" ref="SL365:SS365" si="4104">IF($F$290, 0, IF($J$301, IF(AND(COLUMN($SL$365)-COLUMN($QH$359)=$Q$291,ROW($SL$365)-ROW($QH$359)=$K$291), U$290, SL365), SL365))</f>
        <v>0</v>
      </c>
      <c r="SM365" s="21">
        <f t="shared" si="4104"/>
        <v>0</v>
      </c>
      <c r="SN365" s="21">
        <f t="shared" si="4104"/>
        <v>0</v>
      </c>
      <c r="SO365" s="21">
        <f t="shared" si="4104"/>
        <v>0</v>
      </c>
      <c r="SP365" s="21">
        <f t="shared" si="4104"/>
        <v>0</v>
      </c>
      <c r="SQ365" s="21">
        <f t="shared" si="4104"/>
        <v>0</v>
      </c>
      <c r="SR365" s="21">
        <f t="shared" si="4104"/>
        <v>0</v>
      </c>
      <c r="SS365" s="21">
        <f t="shared" si="4104"/>
        <v>0</v>
      </c>
    </row>
    <row r="366" spans="2:513" ht="15" customHeight="1" x14ac:dyDescent="0.25">
      <c r="B366" s="21">
        <f t="shared" ref="B366:I366" si="4105">IF($F$290, 0, IF($C$301, IF(AND(COLUMN($B$366)-COLUMN($B$359)=$Q$291,ROW($B$366)-ROW($B$359)=$K$291), U$290, B366), B366))</f>
        <v>0</v>
      </c>
      <c r="C366" s="21">
        <f t="shared" si="4105"/>
        <v>0</v>
      </c>
      <c r="D366" s="21">
        <f t="shared" si="4105"/>
        <v>0</v>
      </c>
      <c r="E366" s="21">
        <f t="shared" si="4105"/>
        <v>0</v>
      </c>
      <c r="F366" s="21">
        <f t="shared" si="4105"/>
        <v>0</v>
      </c>
      <c r="G366" s="21">
        <f t="shared" si="4105"/>
        <v>0</v>
      </c>
      <c r="H366" s="21">
        <f t="shared" si="4105"/>
        <v>0</v>
      </c>
      <c r="I366" s="21">
        <f t="shared" si="4105"/>
        <v>0</v>
      </c>
      <c r="J366" s="21">
        <f t="shared" ref="J366:Q366" si="4106">IF($F$290, 0, IF($C$301, IF(AND(COLUMN($J$366)-COLUMN($B$359)=$Q$291,ROW($J$366)-ROW($B$359)=$K$291), U$290, J366), J366))</f>
        <v>0</v>
      </c>
      <c r="K366" s="21">
        <f t="shared" si="4106"/>
        <v>0</v>
      </c>
      <c r="L366" s="21">
        <f t="shared" si="4106"/>
        <v>0</v>
      </c>
      <c r="M366" s="21">
        <f t="shared" si="4106"/>
        <v>0</v>
      </c>
      <c r="N366" s="21">
        <f t="shared" si="4106"/>
        <v>0</v>
      </c>
      <c r="O366" s="21">
        <f t="shared" si="4106"/>
        <v>0</v>
      </c>
      <c r="P366" s="21">
        <f t="shared" si="4106"/>
        <v>0</v>
      </c>
      <c r="Q366" s="21">
        <f t="shared" si="4106"/>
        <v>0</v>
      </c>
      <c r="R366" s="21">
        <f>IF($F$290, 0, IF($C$301, IF(AND(COLUMN($R$366)-COLUMN($B$359)=$Q$291,ROW($R$366)-ROW($B$359)=$K$291), U$290, R366), R366))</f>
        <v>0</v>
      </c>
      <c r="S366" s="21">
        <f t="shared" ref="S366:Y366" si="4107">IF($F$290, 0, IF($C$301, IF(AND(COLUMN($R$366)-COLUMN($B$359)=$Q$291,ROW($R$366)-ROW($B$359)=$K$291), V$290, S366), S366))</f>
        <v>0</v>
      </c>
      <c r="T366" s="21">
        <f t="shared" si="4107"/>
        <v>0</v>
      </c>
      <c r="U366" s="21">
        <f t="shared" si="4107"/>
        <v>0</v>
      </c>
      <c r="V366" s="21">
        <f t="shared" si="4107"/>
        <v>0</v>
      </c>
      <c r="W366" s="21">
        <f t="shared" si="4107"/>
        <v>0</v>
      </c>
      <c r="X366" s="21">
        <f t="shared" si="4107"/>
        <v>0</v>
      </c>
      <c r="Y366" s="21">
        <f t="shared" si="4107"/>
        <v>0</v>
      </c>
      <c r="Z366" s="21">
        <f t="shared" ref="Z366:AG366" si="4108">IF($F$290, 0, IF($C$301, IF(AND(COLUMN($Z$366)-COLUMN($B$359)=$Q$291,ROW($Z$366)-ROW($B$359)=$K$291), U$290, Z366), Z366))</f>
        <v>0</v>
      </c>
      <c r="AA366" s="21">
        <f t="shared" si="4108"/>
        <v>0</v>
      </c>
      <c r="AB366" s="21">
        <f t="shared" si="4108"/>
        <v>0</v>
      </c>
      <c r="AC366" s="21">
        <f t="shared" si="4108"/>
        <v>0</v>
      </c>
      <c r="AD366" s="21">
        <f t="shared" si="4108"/>
        <v>0</v>
      </c>
      <c r="AE366" s="21">
        <f t="shared" si="4108"/>
        <v>0</v>
      </c>
      <c r="AF366" s="21">
        <f t="shared" si="4108"/>
        <v>0</v>
      </c>
      <c r="AG366" s="21">
        <f t="shared" si="4108"/>
        <v>0</v>
      </c>
      <c r="AH366" s="21">
        <f t="shared" ref="AH366:AO366" si="4109">IF($F$290, 0, IF($C$301, IF(AND(COLUMN($AH$366)-COLUMN($B$359)=$Q$291,ROW($AH$366)-ROW($B$359)=$K$291), U$290, AH366), AH366))</f>
        <v>0</v>
      </c>
      <c r="AI366" s="21">
        <f t="shared" si="4109"/>
        <v>0</v>
      </c>
      <c r="AJ366" s="21">
        <f t="shared" si="4109"/>
        <v>0</v>
      </c>
      <c r="AK366" s="21">
        <f t="shared" si="4109"/>
        <v>0</v>
      </c>
      <c r="AL366" s="21">
        <f t="shared" si="4109"/>
        <v>0</v>
      </c>
      <c r="AM366" s="21">
        <f t="shared" si="4109"/>
        <v>0</v>
      </c>
      <c r="AN366" s="21">
        <f t="shared" si="4109"/>
        <v>0</v>
      </c>
      <c r="AO366" s="21">
        <f t="shared" si="4109"/>
        <v>0</v>
      </c>
      <c r="AP366" s="21">
        <f t="shared" ref="AP366:AW366" si="4110">IF($F$290, 0, IF($C$301, IF(AND(COLUMN($AP$366)-COLUMN($B$359)=$Q$291,ROW($AP$366)-ROW($B$359)=$K$291), U$290, AP366), AP366))</f>
        <v>0</v>
      </c>
      <c r="AQ366" s="21">
        <f t="shared" si="4110"/>
        <v>0</v>
      </c>
      <c r="AR366" s="21">
        <f t="shared" si="4110"/>
        <v>0</v>
      </c>
      <c r="AS366" s="21">
        <f t="shared" si="4110"/>
        <v>0</v>
      </c>
      <c r="AT366" s="21">
        <f t="shared" si="4110"/>
        <v>0</v>
      </c>
      <c r="AU366" s="21">
        <f t="shared" si="4110"/>
        <v>0</v>
      </c>
      <c r="AV366" s="21">
        <f t="shared" si="4110"/>
        <v>0</v>
      </c>
      <c r="AW366" s="21">
        <f t="shared" si="4110"/>
        <v>0</v>
      </c>
      <c r="AX366" s="21">
        <f t="shared" ref="AX366:BE366" si="4111">IF($F$290, 0, IF($C$301, IF(AND(COLUMN($AX$366)-COLUMN($B$359)=$Q$291,ROW($AX$366)-ROW($B$359)=$K$291), U$290, AX366), AX366))</f>
        <v>0</v>
      </c>
      <c r="AY366" s="21">
        <f t="shared" si="4111"/>
        <v>0</v>
      </c>
      <c r="AZ366" s="21">
        <f t="shared" si="4111"/>
        <v>0</v>
      </c>
      <c r="BA366" s="21">
        <f t="shared" si="4111"/>
        <v>0</v>
      </c>
      <c r="BB366" s="21">
        <f t="shared" si="4111"/>
        <v>0</v>
      </c>
      <c r="BC366" s="21">
        <f t="shared" si="4111"/>
        <v>0</v>
      </c>
      <c r="BD366" s="21">
        <f t="shared" si="4111"/>
        <v>0</v>
      </c>
      <c r="BE366" s="21">
        <f t="shared" si="4111"/>
        <v>0</v>
      </c>
      <c r="BF366" s="21">
        <f t="shared" ref="BF366:BM366" si="4112">IF($F$290, 0, IF($C$301, IF(AND(COLUMN($BF$366)-COLUMN($B$359)=$Q$291,ROW($BF$366)-ROW($B$359)=$K$291), U$290, BF366), BF366))</f>
        <v>0</v>
      </c>
      <c r="BG366" s="21">
        <f t="shared" si="4112"/>
        <v>0</v>
      </c>
      <c r="BH366" s="21">
        <f t="shared" si="4112"/>
        <v>0</v>
      </c>
      <c r="BI366" s="21">
        <f t="shared" si="4112"/>
        <v>0</v>
      </c>
      <c r="BJ366" s="21">
        <f t="shared" si="4112"/>
        <v>0</v>
      </c>
      <c r="BK366" s="21">
        <f t="shared" si="4112"/>
        <v>0</v>
      </c>
      <c r="BL366" s="21">
        <f t="shared" si="4112"/>
        <v>0</v>
      </c>
      <c r="BM366" s="21">
        <f t="shared" si="4112"/>
        <v>0</v>
      </c>
      <c r="BN366" s="21">
        <f t="shared" ref="BN366:BU366" si="4113">IF($F$290, 0, IF($D$301, IF(AND(COLUMN($BN$366)-COLUMN($BN$359)=$Q$291,ROW($BN$366)-ROW($BN$359)=$K$291), U$290, BN366), BN366))</f>
        <v>0</v>
      </c>
      <c r="BO366" s="21">
        <f t="shared" si="4113"/>
        <v>0</v>
      </c>
      <c r="BP366" s="21">
        <f t="shared" si="4113"/>
        <v>0</v>
      </c>
      <c r="BQ366" s="21">
        <f t="shared" si="4113"/>
        <v>0</v>
      </c>
      <c r="BR366" s="21">
        <f t="shared" si="4113"/>
        <v>0</v>
      </c>
      <c r="BS366" s="21">
        <f t="shared" si="4113"/>
        <v>0</v>
      </c>
      <c r="BT366" s="21">
        <f t="shared" si="4113"/>
        <v>0</v>
      </c>
      <c r="BU366" s="21">
        <f t="shared" si="4113"/>
        <v>0</v>
      </c>
      <c r="BV366" s="21">
        <f t="shared" ref="BV366:CC366" si="4114">IF($F$290, 0, IF($D$301, IF(AND(COLUMN($BV$366)-COLUMN($BN$359)=$Q$291,ROW($BV$366)-ROW($BN$359)=$K$291), U$290, BV366), BV366))</f>
        <v>0</v>
      </c>
      <c r="BW366" s="21">
        <f t="shared" si="4114"/>
        <v>0</v>
      </c>
      <c r="BX366" s="21">
        <f t="shared" si="4114"/>
        <v>0</v>
      </c>
      <c r="BY366" s="21">
        <f t="shared" si="4114"/>
        <v>0</v>
      </c>
      <c r="BZ366" s="21">
        <f t="shared" si="4114"/>
        <v>0</v>
      </c>
      <c r="CA366" s="21">
        <f t="shared" si="4114"/>
        <v>0</v>
      </c>
      <c r="CB366" s="21">
        <f t="shared" si="4114"/>
        <v>0</v>
      </c>
      <c r="CC366" s="21">
        <f t="shared" si="4114"/>
        <v>0</v>
      </c>
      <c r="CD366" s="21">
        <f t="shared" ref="CD366:CK366" si="4115">IF($F$290, 0, IF($D$301, IF(AND(COLUMN($CD$366)-COLUMN($BN$359)=$Q$291,ROW($CD$366)-ROW($BN$359)=$K$291), U$290, CD366), CD366))</f>
        <v>0</v>
      </c>
      <c r="CE366" s="21">
        <f t="shared" si="4115"/>
        <v>0</v>
      </c>
      <c r="CF366" s="21">
        <f t="shared" si="4115"/>
        <v>0</v>
      </c>
      <c r="CG366" s="21">
        <f t="shared" si="4115"/>
        <v>0</v>
      </c>
      <c r="CH366" s="21">
        <f t="shared" si="4115"/>
        <v>0</v>
      </c>
      <c r="CI366" s="21">
        <f t="shared" si="4115"/>
        <v>0</v>
      </c>
      <c r="CJ366" s="21">
        <f t="shared" si="4115"/>
        <v>0</v>
      </c>
      <c r="CK366" s="21">
        <f t="shared" si="4115"/>
        <v>0</v>
      </c>
      <c r="CL366" s="21">
        <f t="shared" ref="CL366:CS366" si="4116">IF($F$290, 0, IF($D$301, IF(AND(COLUMN($CL$366)-COLUMN($BN$359)=$Q$291,ROW($CL$366)-ROW($BN$359)=$K$291), U$290, CL366), CL366))</f>
        <v>0</v>
      </c>
      <c r="CM366" s="21">
        <f t="shared" si="4116"/>
        <v>0</v>
      </c>
      <c r="CN366" s="21">
        <f t="shared" si="4116"/>
        <v>0</v>
      </c>
      <c r="CO366" s="21">
        <f t="shared" si="4116"/>
        <v>0</v>
      </c>
      <c r="CP366" s="21">
        <f t="shared" si="4116"/>
        <v>0</v>
      </c>
      <c r="CQ366" s="21">
        <f t="shared" si="4116"/>
        <v>0</v>
      </c>
      <c r="CR366" s="21">
        <f t="shared" si="4116"/>
        <v>0</v>
      </c>
      <c r="CS366" s="21">
        <f t="shared" si="4116"/>
        <v>0</v>
      </c>
      <c r="CT366" s="21">
        <f t="shared" ref="CT366:DA366" si="4117">IF($F$290, 0, IF($D$301, IF(AND(COLUMN($CT$366)-COLUMN($BN$359)=$Q$291,ROW($CT$366)-ROW($BN$359)=$K$291), U$290, CT366), CT366))</f>
        <v>0</v>
      </c>
      <c r="CU366" s="21">
        <f t="shared" si="4117"/>
        <v>0</v>
      </c>
      <c r="CV366" s="21">
        <f t="shared" si="4117"/>
        <v>0</v>
      </c>
      <c r="CW366" s="21">
        <f t="shared" si="4117"/>
        <v>0</v>
      </c>
      <c r="CX366" s="21">
        <f t="shared" si="4117"/>
        <v>0</v>
      </c>
      <c r="CY366" s="21">
        <f t="shared" si="4117"/>
        <v>0</v>
      </c>
      <c r="CZ366" s="21">
        <f t="shared" si="4117"/>
        <v>0</v>
      </c>
      <c r="DA366" s="21">
        <f t="shared" si="4117"/>
        <v>0</v>
      </c>
      <c r="DB366" s="21">
        <f t="shared" ref="DB366:DI366" si="4118">IF($F$290, 0, IF($D$301, IF(AND(COLUMN($DB$366)-COLUMN($BN$359)=$Q$291,ROW($DB$366)-ROW($BN$359)=$K$291), U$290, DB366), DB366))</f>
        <v>0</v>
      </c>
      <c r="DC366" s="21">
        <f t="shared" si="4118"/>
        <v>0</v>
      </c>
      <c r="DD366" s="21">
        <f t="shared" si="4118"/>
        <v>0</v>
      </c>
      <c r="DE366" s="21">
        <f t="shared" si="4118"/>
        <v>0</v>
      </c>
      <c r="DF366" s="21">
        <f t="shared" si="4118"/>
        <v>0</v>
      </c>
      <c r="DG366" s="21">
        <f t="shared" si="4118"/>
        <v>0</v>
      </c>
      <c r="DH366" s="21">
        <f t="shared" si="4118"/>
        <v>0</v>
      </c>
      <c r="DI366" s="21">
        <f t="shared" si="4118"/>
        <v>0</v>
      </c>
      <c r="DJ366" s="21">
        <f t="shared" ref="DJ366:DQ366" si="4119">IF($F$290, 0, IF($D$301, IF(AND(COLUMN($DJ$366)-COLUMN($BN$359)=$Q$291,ROW($DJ$366)-ROW($BN$359)=$K$291), U$290, DJ366), DJ366))</f>
        <v>0</v>
      </c>
      <c r="DK366" s="21">
        <f t="shared" si="4119"/>
        <v>0</v>
      </c>
      <c r="DL366" s="21">
        <f t="shared" si="4119"/>
        <v>0</v>
      </c>
      <c r="DM366" s="21">
        <f t="shared" si="4119"/>
        <v>0</v>
      </c>
      <c r="DN366" s="21">
        <f t="shared" si="4119"/>
        <v>0</v>
      </c>
      <c r="DO366" s="21">
        <f t="shared" si="4119"/>
        <v>0</v>
      </c>
      <c r="DP366" s="21">
        <f t="shared" si="4119"/>
        <v>0</v>
      </c>
      <c r="DQ366" s="21">
        <f t="shared" si="4119"/>
        <v>0</v>
      </c>
      <c r="DR366" s="21">
        <f t="shared" ref="DR366:DY366" si="4120">IF($F$290, 0, IF($D$301, IF(AND(COLUMN($DR$366)-COLUMN($BN$359)=$Q$291,ROW($DR$366)-ROW($BN$359)=$K$291), U$290, DR366), DR366))</f>
        <v>0</v>
      </c>
      <c r="DS366" s="21">
        <f t="shared" si="4120"/>
        <v>0</v>
      </c>
      <c r="DT366" s="21">
        <f t="shared" si="4120"/>
        <v>0</v>
      </c>
      <c r="DU366" s="21">
        <f t="shared" si="4120"/>
        <v>0</v>
      </c>
      <c r="DV366" s="21">
        <f t="shared" si="4120"/>
        <v>0</v>
      </c>
      <c r="DW366" s="21">
        <f t="shared" si="4120"/>
        <v>0</v>
      </c>
      <c r="DX366" s="21">
        <f t="shared" si="4120"/>
        <v>0</v>
      </c>
      <c r="DY366" s="21">
        <f t="shared" si="4120"/>
        <v>0</v>
      </c>
      <c r="DZ366" s="21">
        <f t="shared" ref="DZ366:EG366" si="4121">IF($F$290, 0, IF($E$301, IF(AND(COLUMN($DZ$366)-COLUMN($DZ$359)=$Q$291,ROW($DZ$366)-ROW($DZ$359)=$K$291), U$290, DZ366), DZ366))</f>
        <v>0</v>
      </c>
      <c r="EA366" s="21">
        <f t="shared" si="4121"/>
        <v>0</v>
      </c>
      <c r="EB366" s="21">
        <f t="shared" si="4121"/>
        <v>0</v>
      </c>
      <c r="EC366" s="21">
        <f t="shared" si="4121"/>
        <v>0</v>
      </c>
      <c r="ED366" s="21">
        <f t="shared" si="4121"/>
        <v>0</v>
      </c>
      <c r="EE366" s="21">
        <f t="shared" si="4121"/>
        <v>0</v>
      </c>
      <c r="EF366" s="21">
        <f t="shared" si="4121"/>
        <v>0</v>
      </c>
      <c r="EG366" s="21">
        <f t="shared" si="4121"/>
        <v>0</v>
      </c>
      <c r="EH366" s="21">
        <f t="shared" ref="EH366:EO366" si="4122">IF($F$290, 0, IF($E$301, IF(AND(COLUMN($EH$366)-COLUMN($DZ$359)=$Q$291,ROW($EH$366)-ROW($DZ$359)=$K$291), U$290, EH366), EH366))</f>
        <v>0</v>
      </c>
      <c r="EI366" s="21">
        <f t="shared" si="4122"/>
        <v>0</v>
      </c>
      <c r="EJ366" s="21">
        <f t="shared" si="4122"/>
        <v>0</v>
      </c>
      <c r="EK366" s="21">
        <f t="shared" si="4122"/>
        <v>0</v>
      </c>
      <c r="EL366" s="21">
        <f t="shared" si="4122"/>
        <v>0</v>
      </c>
      <c r="EM366" s="21">
        <f t="shared" si="4122"/>
        <v>0</v>
      </c>
      <c r="EN366" s="21">
        <f t="shared" si="4122"/>
        <v>0</v>
      </c>
      <c r="EO366" s="21">
        <f t="shared" si="4122"/>
        <v>0</v>
      </c>
      <c r="EP366" s="21">
        <f t="shared" ref="EP366:EW366" si="4123">IF($F$290, 0, IF($E$301, IF(AND(COLUMN($EP$366)-COLUMN($DZ$359)=$Q$291,ROW($EP$366)-ROW($DZ$359)=$K$291), U$290, EP366), EP366))</f>
        <v>0</v>
      </c>
      <c r="EQ366" s="21">
        <f t="shared" si="4123"/>
        <v>0</v>
      </c>
      <c r="ER366" s="21">
        <f t="shared" si="4123"/>
        <v>0</v>
      </c>
      <c r="ES366" s="21">
        <f t="shared" si="4123"/>
        <v>0</v>
      </c>
      <c r="ET366" s="21">
        <f t="shared" si="4123"/>
        <v>0</v>
      </c>
      <c r="EU366" s="21">
        <f t="shared" si="4123"/>
        <v>0</v>
      </c>
      <c r="EV366" s="21">
        <f t="shared" si="4123"/>
        <v>0</v>
      </c>
      <c r="EW366" s="21">
        <f t="shared" si="4123"/>
        <v>0</v>
      </c>
      <c r="EX366" s="21">
        <f t="shared" ref="EX366:FE366" si="4124">IF($F$290, 0, IF($E$301, IF(AND(COLUMN($EX$366)-COLUMN($DZ$359)=$Q$291,ROW($EX$366)-ROW($DZ$359)=$K$291), U$290, EX366), EX366))</f>
        <v>0</v>
      </c>
      <c r="EY366" s="21">
        <f t="shared" si="4124"/>
        <v>0</v>
      </c>
      <c r="EZ366" s="21">
        <f t="shared" si="4124"/>
        <v>0</v>
      </c>
      <c r="FA366" s="21">
        <f t="shared" si="4124"/>
        <v>0</v>
      </c>
      <c r="FB366" s="21">
        <f t="shared" si="4124"/>
        <v>0</v>
      </c>
      <c r="FC366" s="21">
        <f t="shared" si="4124"/>
        <v>0</v>
      </c>
      <c r="FD366" s="21">
        <f t="shared" si="4124"/>
        <v>0</v>
      </c>
      <c r="FE366" s="21">
        <f t="shared" si="4124"/>
        <v>0</v>
      </c>
      <c r="FF366" s="21">
        <f t="shared" ref="FF366:FM366" si="4125">IF($F$290, 0, IF($E$301, IF(AND(COLUMN($FF$366)-COLUMN($DZ$359)=$Q$291,ROW($FF$366)-ROW($DZ$359)=$K$291), U$290, FF366), FF366))</f>
        <v>0</v>
      </c>
      <c r="FG366" s="21">
        <f t="shared" si="4125"/>
        <v>0</v>
      </c>
      <c r="FH366" s="21">
        <f t="shared" si="4125"/>
        <v>0</v>
      </c>
      <c r="FI366" s="21">
        <f t="shared" si="4125"/>
        <v>0</v>
      </c>
      <c r="FJ366" s="21">
        <f t="shared" si="4125"/>
        <v>0</v>
      </c>
      <c r="FK366" s="21">
        <f t="shared" si="4125"/>
        <v>0</v>
      </c>
      <c r="FL366" s="21">
        <f t="shared" si="4125"/>
        <v>0</v>
      </c>
      <c r="FM366" s="21">
        <f t="shared" si="4125"/>
        <v>0</v>
      </c>
      <c r="FN366" s="21">
        <f t="shared" ref="FN366:FU366" si="4126">IF($F$290, 0, IF($E$301, IF(AND(COLUMN($FN$366)-COLUMN($DZ$359)=$Q$291,ROW($FN$366)-ROW($DZ$359)=$K$291), U$290, FN366), FN366))</f>
        <v>0</v>
      </c>
      <c r="FO366" s="21">
        <f t="shared" si="4126"/>
        <v>0</v>
      </c>
      <c r="FP366" s="21">
        <f t="shared" si="4126"/>
        <v>0</v>
      </c>
      <c r="FQ366" s="21">
        <f t="shared" si="4126"/>
        <v>0</v>
      </c>
      <c r="FR366" s="21">
        <f t="shared" si="4126"/>
        <v>0</v>
      </c>
      <c r="FS366" s="21">
        <f t="shared" si="4126"/>
        <v>0</v>
      </c>
      <c r="FT366" s="21">
        <f t="shared" si="4126"/>
        <v>0</v>
      </c>
      <c r="FU366" s="21">
        <f t="shared" si="4126"/>
        <v>0</v>
      </c>
      <c r="FV366" s="21">
        <f t="shared" ref="FV366:GC366" si="4127">IF($F$290, 0, IF($E$301, IF(AND(COLUMN($FV$366)-COLUMN($DZ$359)=$Q$291,ROW($FV$366)-ROW($DZ$359)=$K$291), U$290, FV366), FV366))</f>
        <v>0</v>
      </c>
      <c r="FW366" s="21">
        <f t="shared" si="4127"/>
        <v>0</v>
      </c>
      <c r="FX366" s="21">
        <f t="shared" si="4127"/>
        <v>0</v>
      </c>
      <c r="FY366" s="21">
        <f t="shared" si="4127"/>
        <v>0</v>
      </c>
      <c r="FZ366" s="21">
        <f t="shared" si="4127"/>
        <v>0</v>
      </c>
      <c r="GA366" s="21">
        <f t="shared" si="4127"/>
        <v>0</v>
      </c>
      <c r="GB366" s="21">
        <f t="shared" si="4127"/>
        <v>0</v>
      </c>
      <c r="GC366" s="21">
        <f t="shared" si="4127"/>
        <v>0</v>
      </c>
      <c r="GD366" s="21">
        <f t="shared" ref="GD366:GK366" si="4128">IF($F$290, 0, IF($E$301, IF(AND(COLUMN($GD$366)-COLUMN($DZ$359)=$Q$291,ROW($GD$366)-ROW($DZ$359)=$K$291), U$290, GD366), GD366))</f>
        <v>0</v>
      </c>
      <c r="GE366" s="21">
        <f t="shared" si="4128"/>
        <v>0</v>
      </c>
      <c r="GF366" s="21">
        <f t="shared" si="4128"/>
        <v>0</v>
      </c>
      <c r="GG366" s="21">
        <f t="shared" si="4128"/>
        <v>0</v>
      </c>
      <c r="GH366" s="21">
        <f t="shared" si="4128"/>
        <v>0</v>
      </c>
      <c r="GI366" s="21">
        <f t="shared" si="4128"/>
        <v>0</v>
      </c>
      <c r="GJ366" s="21">
        <f t="shared" si="4128"/>
        <v>0</v>
      </c>
      <c r="GK366" s="21">
        <f t="shared" si="4128"/>
        <v>0</v>
      </c>
      <c r="GL366" s="21">
        <f t="shared" ref="GL366:GS366" si="4129">IF($F$290, 0, IF($F$301, IF(AND(COLUMN($GL$366)-COLUMN($GL$359)=$Q$291,ROW($GL$366)-ROW($GL$359)=$K$291), U$290, GL366), GL366))</f>
        <v>0</v>
      </c>
      <c r="GM366" s="21">
        <f t="shared" si="4129"/>
        <v>0</v>
      </c>
      <c r="GN366" s="21">
        <f t="shared" si="4129"/>
        <v>0</v>
      </c>
      <c r="GO366" s="21">
        <f t="shared" si="4129"/>
        <v>0</v>
      </c>
      <c r="GP366" s="21">
        <f t="shared" si="4129"/>
        <v>0</v>
      </c>
      <c r="GQ366" s="21">
        <f t="shared" si="4129"/>
        <v>0</v>
      </c>
      <c r="GR366" s="21">
        <f t="shared" si="4129"/>
        <v>0</v>
      </c>
      <c r="GS366" s="21">
        <f t="shared" si="4129"/>
        <v>0</v>
      </c>
      <c r="GT366" s="21">
        <f t="shared" ref="GT366:HA366" si="4130">IF($F$290, 0, IF($F$301, IF(AND(COLUMN($GT$366)-COLUMN($GL$359)=$Q$291,ROW($GT$366)-ROW($GL$359)=$K$291), U$290, GT366), GT366))</f>
        <v>0</v>
      </c>
      <c r="GU366" s="21">
        <f t="shared" si="4130"/>
        <v>0</v>
      </c>
      <c r="GV366" s="21">
        <f t="shared" si="4130"/>
        <v>0</v>
      </c>
      <c r="GW366" s="21">
        <f t="shared" si="4130"/>
        <v>0</v>
      </c>
      <c r="GX366" s="21">
        <f t="shared" si="4130"/>
        <v>0</v>
      </c>
      <c r="GY366" s="21">
        <f t="shared" si="4130"/>
        <v>0</v>
      </c>
      <c r="GZ366" s="21">
        <f t="shared" si="4130"/>
        <v>0</v>
      </c>
      <c r="HA366" s="21">
        <f t="shared" si="4130"/>
        <v>0</v>
      </c>
      <c r="HB366" s="21">
        <f t="shared" ref="HB366:HI366" si="4131">IF($F$290, 0, IF($F$301, IF(AND(COLUMN($HB$366)-COLUMN($GL$359)=$Q$291,ROW($HB$366)-ROW($GL$359)=$K$291), U$290, HB366), HB366))</f>
        <v>0</v>
      </c>
      <c r="HC366" s="21">
        <f t="shared" si="4131"/>
        <v>0</v>
      </c>
      <c r="HD366" s="21">
        <f t="shared" si="4131"/>
        <v>0</v>
      </c>
      <c r="HE366" s="21">
        <f t="shared" si="4131"/>
        <v>0</v>
      </c>
      <c r="HF366" s="21">
        <f t="shared" si="4131"/>
        <v>0</v>
      </c>
      <c r="HG366" s="21">
        <f t="shared" si="4131"/>
        <v>0</v>
      </c>
      <c r="HH366" s="21">
        <f t="shared" si="4131"/>
        <v>0</v>
      </c>
      <c r="HI366" s="21">
        <f t="shared" si="4131"/>
        <v>0</v>
      </c>
      <c r="HJ366" s="21">
        <f t="shared" ref="HJ366:HQ366" si="4132">IF($F$290, 0, IF($F$301, IF(AND(COLUMN($HJ$366)-COLUMN($GL$359)=$Q$291,ROW($HJ$366)-ROW($GL$359)=$K$291), U$290, HJ366), HJ366))</f>
        <v>0</v>
      </c>
      <c r="HK366" s="21">
        <f t="shared" si="4132"/>
        <v>0</v>
      </c>
      <c r="HL366" s="21">
        <f t="shared" si="4132"/>
        <v>0</v>
      </c>
      <c r="HM366" s="21">
        <f t="shared" si="4132"/>
        <v>0</v>
      </c>
      <c r="HN366" s="21">
        <f t="shared" si="4132"/>
        <v>0</v>
      </c>
      <c r="HO366" s="21">
        <f t="shared" si="4132"/>
        <v>0</v>
      </c>
      <c r="HP366" s="21">
        <f t="shared" si="4132"/>
        <v>0</v>
      </c>
      <c r="HQ366" s="21">
        <f t="shared" si="4132"/>
        <v>0</v>
      </c>
      <c r="HR366" s="21">
        <f t="shared" ref="HR366:HY366" si="4133">IF($F$290, 0, IF($F$301, IF(AND(COLUMN($HR$366)-COLUMN($GL$359)=$Q$291,ROW($HR$366)-ROW($GL$359)=$K$291), U$290, HR366), HR366))</f>
        <v>0</v>
      </c>
      <c r="HS366" s="21">
        <f t="shared" si="4133"/>
        <v>0</v>
      </c>
      <c r="HT366" s="21">
        <f t="shared" si="4133"/>
        <v>0</v>
      </c>
      <c r="HU366" s="21">
        <f t="shared" si="4133"/>
        <v>0</v>
      </c>
      <c r="HV366" s="21">
        <f t="shared" si="4133"/>
        <v>0</v>
      </c>
      <c r="HW366" s="21">
        <f t="shared" si="4133"/>
        <v>0</v>
      </c>
      <c r="HX366" s="21">
        <f t="shared" si="4133"/>
        <v>0</v>
      </c>
      <c r="HY366" s="21">
        <f t="shared" si="4133"/>
        <v>0</v>
      </c>
      <c r="HZ366" s="21">
        <f t="shared" ref="HZ366:IG366" si="4134">IF($F$290, 0, IF($F$301, IF(AND(COLUMN($HZ$366)-COLUMN($GL$359)=$Q$291,ROW($HZ$366)-ROW($GL$359)=$K$291), U$290, HZ366), HZ366))</f>
        <v>0</v>
      </c>
      <c r="IA366" s="21">
        <f t="shared" si="4134"/>
        <v>0</v>
      </c>
      <c r="IB366" s="21">
        <f t="shared" si="4134"/>
        <v>0</v>
      </c>
      <c r="IC366" s="21">
        <f t="shared" si="4134"/>
        <v>0</v>
      </c>
      <c r="ID366" s="21">
        <f t="shared" si="4134"/>
        <v>0</v>
      </c>
      <c r="IE366" s="21">
        <f t="shared" si="4134"/>
        <v>0</v>
      </c>
      <c r="IF366" s="21">
        <f t="shared" si="4134"/>
        <v>0</v>
      </c>
      <c r="IG366" s="21">
        <f t="shared" si="4134"/>
        <v>0</v>
      </c>
      <c r="IH366" s="21">
        <f t="shared" ref="IH366:IO366" si="4135">IF($F$290, 0, IF($F$301, IF(AND(COLUMN($IH$366)-COLUMN($GL$359)=$Q$291,ROW($IH$366)-ROW($GL$359)=$K$291), U$290, IH366), IH366))</f>
        <v>0</v>
      </c>
      <c r="II366" s="21">
        <f t="shared" si="4135"/>
        <v>0</v>
      </c>
      <c r="IJ366" s="21">
        <f t="shared" si="4135"/>
        <v>0</v>
      </c>
      <c r="IK366" s="21">
        <f t="shared" si="4135"/>
        <v>0</v>
      </c>
      <c r="IL366" s="21">
        <f t="shared" si="4135"/>
        <v>0</v>
      </c>
      <c r="IM366" s="21">
        <f t="shared" si="4135"/>
        <v>0</v>
      </c>
      <c r="IN366" s="21">
        <f t="shared" si="4135"/>
        <v>0</v>
      </c>
      <c r="IO366" s="21">
        <f t="shared" si="4135"/>
        <v>0</v>
      </c>
      <c r="IP366" s="21">
        <f t="shared" ref="IP366:IW366" si="4136">IF($F$290, 0, IF($F$301, IF(AND(COLUMN($IP$366)-COLUMN($GL$359)=$Q$291,ROW($IP$366)-ROW($GL$359)=$K$291), U$290, IP366), IP366))</f>
        <v>0</v>
      </c>
      <c r="IQ366" s="21">
        <f t="shared" si="4136"/>
        <v>0</v>
      </c>
      <c r="IR366" s="21">
        <f t="shared" si="4136"/>
        <v>0</v>
      </c>
      <c r="IS366" s="21">
        <f t="shared" si="4136"/>
        <v>0</v>
      </c>
      <c r="IT366" s="21">
        <f t="shared" si="4136"/>
        <v>0</v>
      </c>
      <c r="IU366" s="21">
        <f t="shared" si="4136"/>
        <v>0</v>
      </c>
      <c r="IV366" s="21">
        <f t="shared" si="4136"/>
        <v>0</v>
      </c>
      <c r="IW366" s="21">
        <f t="shared" si="4136"/>
        <v>0</v>
      </c>
      <c r="IX366" s="21">
        <f t="shared" ref="IX366:JE366" si="4137">IF($F$290, 0, IF($G$301, IF(AND(COLUMN($IX$366)-COLUMN($IX$359)=$Q$291,ROW($IX$366)-ROW($IX$359)=$K$291), U$290, IX366), IX366))</f>
        <v>0</v>
      </c>
      <c r="IY366" s="21">
        <f t="shared" si="4137"/>
        <v>0</v>
      </c>
      <c r="IZ366" s="21">
        <f t="shared" si="4137"/>
        <v>0</v>
      </c>
      <c r="JA366" s="21">
        <f t="shared" si="4137"/>
        <v>0</v>
      </c>
      <c r="JB366" s="21">
        <f t="shared" si="4137"/>
        <v>0</v>
      </c>
      <c r="JC366" s="21">
        <f t="shared" si="4137"/>
        <v>0</v>
      </c>
      <c r="JD366" s="21">
        <f t="shared" si="4137"/>
        <v>0</v>
      </c>
      <c r="JE366" s="21">
        <f t="shared" si="4137"/>
        <v>0</v>
      </c>
      <c r="JF366" s="21">
        <f t="shared" ref="JF366:JM366" si="4138">IF($F$290, 0, IF($G$301, IF(AND(COLUMN($JF$366)-COLUMN($IX$359)=$Q$291,ROW($JF$366)-ROW($IX$359)=$K$291), U$290, JF366), JF366))</f>
        <v>0</v>
      </c>
      <c r="JG366" s="21">
        <f t="shared" si="4138"/>
        <v>0</v>
      </c>
      <c r="JH366" s="21">
        <f t="shared" si="4138"/>
        <v>0</v>
      </c>
      <c r="JI366" s="21">
        <f t="shared" si="4138"/>
        <v>0</v>
      </c>
      <c r="JJ366" s="21">
        <f t="shared" si="4138"/>
        <v>0</v>
      </c>
      <c r="JK366" s="21">
        <f t="shared" si="4138"/>
        <v>0</v>
      </c>
      <c r="JL366" s="21">
        <f t="shared" si="4138"/>
        <v>0</v>
      </c>
      <c r="JM366" s="21">
        <f t="shared" si="4138"/>
        <v>0</v>
      </c>
      <c r="JN366" s="21">
        <f t="shared" ref="JN366:JU366" si="4139">IF($F$290, 0, IF($G$301, IF(AND(COLUMN($JN$366)-COLUMN($IX$359)=$Q$291,ROW($JN$366)-ROW($IX$359)=$K$291), U$290, JN366), JN366))</f>
        <v>0</v>
      </c>
      <c r="JO366" s="21">
        <f t="shared" si="4139"/>
        <v>0</v>
      </c>
      <c r="JP366" s="21">
        <f t="shared" si="4139"/>
        <v>0</v>
      </c>
      <c r="JQ366" s="21">
        <f t="shared" si="4139"/>
        <v>0</v>
      </c>
      <c r="JR366" s="21">
        <f t="shared" si="4139"/>
        <v>0</v>
      </c>
      <c r="JS366" s="21">
        <f t="shared" si="4139"/>
        <v>0</v>
      </c>
      <c r="JT366" s="21">
        <f t="shared" si="4139"/>
        <v>0</v>
      </c>
      <c r="JU366" s="21">
        <f t="shared" si="4139"/>
        <v>0</v>
      </c>
      <c r="JV366" s="21">
        <f t="shared" ref="JV366:KC366" si="4140">IF($F$290, 0, IF($G$301, IF(AND(COLUMN($JV$366)-COLUMN($IX$359)=$Q$291,ROW($JV$366)-ROW($IX$359)=$K$291), U$290, JV366), JV366))</f>
        <v>0</v>
      </c>
      <c r="JW366" s="21">
        <f t="shared" si="4140"/>
        <v>0</v>
      </c>
      <c r="JX366" s="21">
        <f t="shared" si="4140"/>
        <v>0</v>
      </c>
      <c r="JY366" s="21">
        <f t="shared" si="4140"/>
        <v>0</v>
      </c>
      <c r="JZ366" s="21">
        <f t="shared" si="4140"/>
        <v>0</v>
      </c>
      <c r="KA366" s="21">
        <f t="shared" si="4140"/>
        <v>0</v>
      </c>
      <c r="KB366" s="21">
        <f t="shared" si="4140"/>
        <v>0</v>
      </c>
      <c r="KC366" s="21">
        <f t="shared" si="4140"/>
        <v>0</v>
      </c>
      <c r="KD366" s="21">
        <f t="shared" ref="KD366:KK366" si="4141">IF($F$290, 0, IF($G$301, IF(AND(COLUMN($KD$366)-COLUMN($IX$359)=$Q$291,ROW($KD$366)-ROW($IX$359)=$K$291), U$290, KD366), KD366))</f>
        <v>0</v>
      </c>
      <c r="KE366" s="21">
        <f t="shared" si="4141"/>
        <v>0</v>
      </c>
      <c r="KF366" s="21">
        <f t="shared" si="4141"/>
        <v>0</v>
      </c>
      <c r="KG366" s="21">
        <f t="shared" si="4141"/>
        <v>0</v>
      </c>
      <c r="KH366" s="21">
        <f t="shared" si="4141"/>
        <v>0</v>
      </c>
      <c r="KI366" s="21">
        <f t="shared" si="4141"/>
        <v>0</v>
      </c>
      <c r="KJ366" s="21">
        <f t="shared" si="4141"/>
        <v>0</v>
      </c>
      <c r="KK366" s="21">
        <f t="shared" si="4141"/>
        <v>0</v>
      </c>
      <c r="KL366" s="21">
        <f t="shared" ref="KL366:KS366" si="4142">IF($F$290, 0, IF($G$301, IF(AND(COLUMN($KL$366)-COLUMN($IX$359)=$Q$291,ROW($KL$366)-ROW($IX$359)=$K$291), U$290, KL366), KL366))</f>
        <v>0</v>
      </c>
      <c r="KM366" s="21">
        <f t="shared" si="4142"/>
        <v>0</v>
      </c>
      <c r="KN366" s="21">
        <f t="shared" si="4142"/>
        <v>0</v>
      </c>
      <c r="KO366" s="21">
        <f t="shared" si="4142"/>
        <v>0</v>
      </c>
      <c r="KP366" s="21">
        <f t="shared" si="4142"/>
        <v>0</v>
      </c>
      <c r="KQ366" s="21">
        <f t="shared" si="4142"/>
        <v>0</v>
      </c>
      <c r="KR366" s="21">
        <f t="shared" si="4142"/>
        <v>0</v>
      </c>
      <c r="KS366" s="21">
        <f t="shared" si="4142"/>
        <v>0</v>
      </c>
      <c r="KT366" s="21">
        <f t="shared" ref="KT366:LA366" si="4143">IF($F$290, 0, IF($G$301, IF(AND(COLUMN($KT$366)-COLUMN($IX$359)=$Q$291,ROW($KT$366)-ROW($IX$359)=$K$291), U$290, KT366), KT366))</f>
        <v>0</v>
      </c>
      <c r="KU366" s="21">
        <f t="shared" si="4143"/>
        <v>0</v>
      </c>
      <c r="KV366" s="21">
        <f t="shared" si="4143"/>
        <v>0</v>
      </c>
      <c r="KW366" s="21">
        <f t="shared" si="4143"/>
        <v>0</v>
      </c>
      <c r="KX366" s="21">
        <f t="shared" si="4143"/>
        <v>0</v>
      </c>
      <c r="KY366" s="21">
        <f t="shared" si="4143"/>
        <v>0</v>
      </c>
      <c r="KZ366" s="21">
        <f t="shared" si="4143"/>
        <v>0</v>
      </c>
      <c r="LA366" s="21">
        <f t="shared" si="4143"/>
        <v>0</v>
      </c>
      <c r="LB366" s="21">
        <f t="shared" ref="LB366:LI366" si="4144">IF($F$290, 0, IF($G$301, IF(AND(COLUMN($LB$366)-COLUMN($IX$359)=$Q$291,ROW($LB$366)-ROW($IX$359)=$K$291), U$290, LB366), LB366))</f>
        <v>0</v>
      </c>
      <c r="LC366" s="21">
        <f t="shared" si="4144"/>
        <v>0</v>
      </c>
      <c r="LD366" s="21">
        <f t="shared" si="4144"/>
        <v>0</v>
      </c>
      <c r="LE366" s="21">
        <f t="shared" si="4144"/>
        <v>0</v>
      </c>
      <c r="LF366" s="21">
        <f t="shared" si="4144"/>
        <v>0</v>
      </c>
      <c r="LG366" s="21">
        <f t="shared" si="4144"/>
        <v>0</v>
      </c>
      <c r="LH366" s="21">
        <f t="shared" si="4144"/>
        <v>0</v>
      </c>
      <c r="LI366" s="21">
        <f t="shared" si="4144"/>
        <v>0</v>
      </c>
      <c r="LJ366" s="21">
        <f t="shared" ref="LJ366:LQ366" si="4145">IF($F$290, 0, IF($H$301, IF(AND(COLUMN($LJ$366)-COLUMN($LJ$359)=$Q$291,ROW($LJ$366)-ROW($LJ$359)=$K$291), U$290, LJ366), LJ366))</f>
        <v>0</v>
      </c>
      <c r="LK366" s="21">
        <f t="shared" si="4145"/>
        <v>0</v>
      </c>
      <c r="LL366" s="21">
        <f t="shared" si="4145"/>
        <v>0</v>
      </c>
      <c r="LM366" s="21">
        <f t="shared" si="4145"/>
        <v>0</v>
      </c>
      <c r="LN366" s="21">
        <f t="shared" si="4145"/>
        <v>0</v>
      </c>
      <c r="LO366" s="21">
        <f t="shared" si="4145"/>
        <v>0</v>
      </c>
      <c r="LP366" s="21">
        <f t="shared" si="4145"/>
        <v>0</v>
      </c>
      <c r="LQ366" s="21">
        <f t="shared" si="4145"/>
        <v>0</v>
      </c>
      <c r="LR366" s="21">
        <f t="shared" ref="LR366:LY366" si="4146">IF($F$290, 0, IF($H$301, IF(AND(COLUMN($LR$366)-COLUMN($LJ$359)=$Q$291,ROW($LR$366)-ROW($LJ$359)=$K$291), U$290, LR366), LR366))</f>
        <v>0</v>
      </c>
      <c r="LS366" s="21">
        <f t="shared" si="4146"/>
        <v>0</v>
      </c>
      <c r="LT366" s="21">
        <f t="shared" si="4146"/>
        <v>0</v>
      </c>
      <c r="LU366" s="21">
        <f t="shared" si="4146"/>
        <v>0</v>
      </c>
      <c r="LV366" s="21">
        <f t="shared" si="4146"/>
        <v>0</v>
      </c>
      <c r="LW366" s="21">
        <f t="shared" si="4146"/>
        <v>0</v>
      </c>
      <c r="LX366" s="21">
        <f t="shared" si="4146"/>
        <v>0</v>
      </c>
      <c r="LY366" s="21">
        <f t="shared" si="4146"/>
        <v>0</v>
      </c>
      <c r="LZ366" s="21">
        <f t="shared" ref="LZ366:MG366" si="4147">IF($F$290, 0, IF($H$301, IF(AND(COLUMN($LZ$366)-COLUMN($LJ$359)=$Q$291,ROW($LZ$366)-ROW($LJ$359)=$K$291), U$290, LZ366), LZ366))</f>
        <v>0</v>
      </c>
      <c r="MA366" s="21">
        <f t="shared" si="4147"/>
        <v>0</v>
      </c>
      <c r="MB366" s="21">
        <f t="shared" si="4147"/>
        <v>0</v>
      </c>
      <c r="MC366" s="21">
        <f t="shared" si="4147"/>
        <v>0</v>
      </c>
      <c r="MD366" s="21">
        <f t="shared" si="4147"/>
        <v>0</v>
      </c>
      <c r="ME366" s="21">
        <f t="shared" si="4147"/>
        <v>0</v>
      </c>
      <c r="MF366" s="21">
        <f t="shared" si="4147"/>
        <v>0</v>
      </c>
      <c r="MG366" s="21">
        <f t="shared" si="4147"/>
        <v>0</v>
      </c>
      <c r="MH366" s="21">
        <f t="shared" ref="MH366:MO366" si="4148">IF($F$290, 0, IF($H$301, IF(AND(COLUMN($MH$366)-COLUMN($LJ$359)=$Q$291,ROW($MH$366)-ROW($LJ$359)=$K$291), U$290, MH366), MH366))</f>
        <v>0</v>
      </c>
      <c r="MI366" s="21">
        <f t="shared" si="4148"/>
        <v>0</v>
      </c>
      <c r="MJ366" s="21">
        <f t="shared" si="4148"/>
        <v>0</v>
      </c>
      <c r="MK366" s="21">
        <f t="shared" si="4148"/>
        <v>0</v>
      </c>
      <c r="ML366" s="21">
        <f t="shared" si="4148"/>
        <v>0</v>
      </c>
      <c r="MM366" s="21">
        <f t="shared" si="4148"/>
        <v>0</v>
      </c>
      <c r="MN366" s="21">
        <f t="shared" si="4148"/>
        <v>0</v>
      </c>
      <c r="MO366" s="21">
        <f t="shared" si="4148"/>
        <v>0</v>
      </c>
      <c r="MP366" s="21">
        <f t="shared" ref="MP366:MW366" si="4149">IF($F$290, 0, IF($H$301, IF(AND(COLUMN($MP$366)-COLUMN($LJ$359)=$Q$291,ROW($MP$366)-ROW($LJ$359)=$K$291), U$290, MP366), MP366))</f>
        <v>0</v>
      </c>
      <c r="MQ366" s="21">
        <f t="shared" si="4149"/>
        <v>0</v>
      </c>
      <c r="MR366" s="21">
        <f t="shared" si="4149"/>
        <v>0</v>
      </c>
      <c r="MS366" s="21">
        <f t="shared" si="4149"/>
        <v>0</v>
      </c>
      <c r="MT366" s="21">
        <f t="shared" si="4149"/>
        <v>0</v>
      </c>
      <c r="MU366" s="21">
        <f t="shared" si="4149"/>
        <v>0</v>
      </c>
      <c r="MV366" s="21">
        <f t="shared" si="4149"/>
        <v>0</v>
      </c>
      <c r="MW366" s="21">
        <f t="shared" si="4149"/>
        <v>0</v>
      </c>
      <c r="MX366" s="21">
        <f t="shared" ref="MX366:NE366" si="4150">IF($F$290, 0, IF($H$301, IF(AND(COLUMN($MX$366)-COLUMN($LJ$359)=$Q$291,ROW($MX$366)-ROW($LJ$359)=$K$291), U$290, MX366), MX366))</f>
        <v>0</v>
      </c>
      <c r="MY366" s="21">
        <f t="shared" si="4150"/>
        <v>0</v>
      </c>
      <c r="MZ366" s="21">
        <f t="shared" si="4150"/>
        <v>0</v>
      </c>
      <c r="NA366" s="21">
        <f t="shared" si="4150"/>
        <v>0</v>
      </c>
      <c r="NB366" s="21">
        <f t="shared" si="4150"/>
        <v>0</v>
      </c>
      <c r="NC366" s="21">
        <f t="shared" si="4150"/>
        <v>0</v>
      </c>
      <c r="ND366" s="21">
        <f t="shared" si="4150"/>
        <v>0</v>
      </c>
      <c r="NE366" s="21">
        <f t="shared" si="4150"/>
        <v>0</v>
      </c>
      <c r="NF366" s="21">
        <f t="shared" ref="NF366:NM366" si="4151">IF($F$290, 0, IF($H$301, IF(AND(COLUMN($NF$366)-COLUMN($LJ$359)=$Q$291,ROW($NF$366)-ROW($LJ$359)=$K$291), U$290, NF366), NF366))</f>
        <v>0</v>
      </c>
      <c r="NG366" s="21">
        <f t="shared" si="4151"/>
        <v>0</v>
      </c>
      <c r="NH366" s="21">
        <f t="shared" si="4151"/>
        <v>0</v>
      </c>
      <c r="NI366" s="21">
        <f t="shared" si="4151"/>
        <v>0</v>
      </c>
      <c r="NJ366" s="21">
        <f t="shared" si="4151"/>
        <v>0</v>
      </c>
      <c r="NK366" s="21">
        <f t="shared" si="4151"/>
        <v>0</v>
      </c>
      <c r="NL366" s="21">
        <f t="shared" si="4151"/>
        <v>0</v>
      </c>
      <c r="NM366" s="21">
        <f t="shared" si="4151"/>
        <v>0</v>
      </c>
      <c r="NN366" s="21">
        <f t="shared" ref="NN366:NU366" si="4152">IF($F$290, 0, IF($H$301, IF(AND(COLUMN($NN$366)-COLUMN($LJ$359)=$Q$291,ROW($NN$366)-ROW($LJ$359)=$K$291), U$290, NN366), NN366))</f>
        <v>0</v>
      </c>
      <c r="NO366" s="21">
        <f t="shared" si="4152"/>
        <v>0</v>
      </c>
      <c r="NP366" s="21">
        <f t="shared" si="4152"/>
        <v>0</v>
      </c>
      <c r="NQ366" s="21">
        <f t="shared" si="4152"/>
        <v>0</v>
      </c>
      <c r="NR366" s="21">
        <f t="shared" si="4152"/>
        <v>0</v>
      </c>
      <c r="NS366" s="21">
        <f t="shared" si="4152"/>
        <v>0</v>
      </c>
      <c r="NT366" s="21">
        <f t="shared" si="4152"/>
        <v>0</v>
      </c>
      <c r="NU366" s="21">
        <f t="shared" si="4152"/>
        <v>0</v>
      </c>
      <c r="NV366" s="21">
        <f t="shared" ref="NV366:OC366" si="4153">IF($F$290, 0, IF($I$301, IF(AND(COLUMN($NV$366)-COLUMN($NV$359)=$Q$291,ROW($NV$366)-ROW($NV$359)=$K$291), U$290, NV366), NV366))</f>
        <v>0</v>
      </c>
      <c r="NW366" s="21">
        <f t="shared" si="4153"/>
        <v>0</v>
      </c>
      <c r="NX366" s="21">
        <f t="shared" si="4153"/>
        <v>0</v>
      </c>
      <c r="NY366" s="21">
        <f t="shared" si="4153"/>
        <v>0</v>
      </c>
      <c r="NZ366" s="21">
        <f t="shared" si="4153"/>
        <v>0</v>
      </c>
      <c r="OA366" s="21">
        <f t="shared" si="4153"/>
        <v>0</v>
      </c>
      <c r="OB366" s="21">
        <f t="shared" si="4153"/>
        <v>0</v>
      </c>
      <c r="OC366" s="21">
        <f t="shared" si="4153"/>
        <v>0</v>
      </c>
      <c r="OD366" s="21">
        <f t="shared" ref="OD366:OK366" si="4154">IF($F$290, 0, IF($I$301, IF(AND(COLUMN($OD$366)-COLUMN($NV$359)=$Q$291,ROW($OD$366)-ROW($NV$359)=$K$291), U$290, OD366), OD366))</f>
        <v>0</v>
      </c>
      <c r="OE366" s="21">
        <f t="shared" si="4154"/>
        <v>0</v>
      </c>
      <c r="OF366" s="21">
        <f t="shared" si="4154"/>
        <v>0</v>
      </c>
      <c r="OG366" s="21">
        <f t="shared" si="4154"/>
        <v>0</v>
      </c>
      <c r="OH366" s="21">
        <f t="shared" si="4154"/>
        <v>0</v>
      </c>
      <c r="OI366" s="21">
        <f t="shared" si="4154"/>
        <v>0</v>
      </c>
      <c r="OJ366" s="21">
        <f t="shared" si="4154"/>
        <v>0</v>
      </c>
      <c r="OK366" s="21">
        <f t="shared" si="4154"/>
        <v>0</v>
      </c>
      <c r="OL366" s="21">
        <f t="shared" ref="OL366:OS366" si="4155">IF($F$290, 0, IF($I$301, IF(AND(COLUMN($OL$366)-COLUMN($NV$359)=$Q$291,ROW($OL$366)-ROW($NV$359)=$K$291), U$290, OL366), OL366))</f>
        <v>0</v>
      </c>
      <c r="OM366" s="21">
        <f t="shared" si="4155"/>
        <v>0</v>
      </c>
      <c r="ON366" s="21">
        <f t="shared" si="4155"/>
        <v>0</v>
      </c>
      <c r="OO366" s="21">
        <f t="shared" si="4155"/>
        <v>0</v>
      </c>
      <c r="OP366" s="21">
        <f t="shared" si="4155"/>
        <v>0</v>
      </c>
      <c r="OQ366" s="21">
        <f t="shared" si="4155"/>
        <v>0</v>
      </c>
      <c r="OR366" s="21">
        <f t="shared" si="4155"/>
        <v>0</v>
      </c>
      <c r="OS366" s="21">
        <f t="shared" si="4155"/>
        <v>0</v>
      </c>
      <c r="OT366" s="21">
        <f t="shared" ref="OT366:PA366" si="4156">IF($F$290, 0, IF($I$301, IF(AND(COLUMN($OT$366)-COLUMN($NV$359)=$Q$291,ROW($OT$366)-ROW($NV$359)=$K$291), U$290, OT366), OT366))</f>
        <v>0</v>
      </c>
      <c r="OU366" s="21">
        <f t="shared" si="4156"/>
        <v>0</v>
      </c>
      <c r="OV366" s="21">
        <f t="shared" si="4156"/>
        <v>0</v>
      </c>
      <c r="OW366" s="21">
        <f t="shared" si="4156"/>
        <v>0</v>
      </c>
      <c r="OX366" s="21">
        <f t="shared" si="4156"/>
        <v>0</v>
      </c>
      <c r="OY366" s="21">
        <f t="shared" si="4156"/>
        <v>0</v>
      </c>
      <c r="OZ366" s="21">
        <f t="shared" si="4156"/>
        <v>0</v>
      </c>
      <c r="PA366" s="21">
        <f t="shared" si="4156"/>
        <v>0</v>
      </c>
      <c r="PB366" s="21">
        <f t="shared" ref="PB366:PI366" si="4157">IF($F$290, 0, IF($I$301, IF(AND(COLUMN($PB$366)-COLUMN($NV$359)=$Q$291,ROW($PB$366)-ROW($NV$359)=$K$291), U$290, PB366), PB366))</f>
        <v>0</v>
      </c>
      <c r="PC366" s="21">
        <f t="shared" si="4157"/>
        <v>0</v>
      </c>
      <c r="PD366" s="21">
        <f t="shared" si="4157"/>
        <v>0</v>
      </c>
      <c r="PE366" s="21">
        <f t="shared" si="4157"/>
        <v>0</v>
      </c>
      <c r="PF366" s="21">
        <f t="shared" si="4157"/>
        <v>0</v>
      </c>
      <c r="PG366" s="21">
        <f t="shared" si="4157"/>
        <v>0</v>
      </c>
      <c r="PH366" s="21">
        <f t="shared" si="4157"/>
        <v>0</v>
      </c>
      <c r="PI366" s="21">
        <f t="shared" si="4157"/>
        <v>0</v>
      </c>
      <c r="PJ366" s="21">
        <f t="shared" ref="PJ366:PQ366" si="4158">IF($F$290, 0, IF($I$301, IF(AND(COLUMN($PJ$366)-COLUMN($NV$359)=$Q$291,ROW($PJ$366)-ROW($NV$359)=$K$291), U$290, PJ366), PJ366))</f>
        <v>0</v>
      </c>
      <c r="PK366" s="21">
        <f t="shared" si="4158"/>
        <v>0</v>
      </c>
      <c r="PL366" s="21">
        <f t="shared" si="4158"/>
        <v>0</v>
      </c>
      <c r="PM366" s="21">
        <f t="shared" si="4158"/>
        <v>0</v>
      </c>
      <c r="PN366" s="21">
        <f t="shared" si="4158"/>
        <v>0</v>
      </c>
      <c r="PO366" s="21">
        <f t="shared" si="4158"/>
        <v>0</v>
      </c>
      <c r="PP366" s="21">
        <f t="shared" si="4158"/>
        <v>0</v>
      </c>
      <c r="PQ366" s="21">
        <f t="shared" si="4158"/>
        <v>0</v>
      </c>
      <c r="PR366" s="21">
        <f t="shared" ref="PR366:PY366" si="4159">IF($F$290, 0, IF($I$301, IF(AND(COLUMN($PR$366)-COLUMN($NV$359)=$Q$291,ROW($PR$366)-ROW($NV$359)=$K$291), U$290, PR366), PR366))</f>
        <v>0</v>
      </c>
      <c r="PS366" s="21">
        <f t="shared" si="4159"/>
        <v>0</v>
      </c>
      <c r="PT366" s="21">
        <f t="shared" si="4159"/>
        <v>0</v>
      </c>
      <c r="PU366" s="21">
        <f t="shared" si="4159"/>
        <v>0</v>
      </c>
      <c r="PV366" s="21">
        <f t="shared" si="4159"/>
        <v>0</v>
      </c>
      <c r="PW366" s="21">
        <f t="shared" si="4159"/>
        <v>0</v>
      </c>
      <c r="PX366" s="21">
        <f t="shared" si="4159"/>
        <v>0</v>
      </c>
      <c r="PY366" s="21">
        <f t="shared" si="4159"/>
        <v>0</v>
      </c>
      <c r="PZ366" s="21">
        <f t="shared" ref="PZ366:QG366" si="4160">IF($F$290, 0, IF($I$301, IF(AND(COLUMN($PZ$366)-COLUMN($NV$359)=$Q$291,ROW($PZ$366)-ROW($NV$359)=$K$291), U$290, PZ366), PZ366))</f>
        <v>0</v>
      </c>
      <c r="QA366" s="21">
        <f t="shared" si="4160"/>
        <v>0</v>
      </c>
      <c r="QB366" s="21">
        <f t="shared" si="4160"/>
        <v>0</v>
      </c>
      <c r="QC366" s="21">
        <f t="shared" si="4160"/>
        <v>0</v>
      </c>
      <c r="QD366" s="21">
        <f t="shared" si="4160"/>
        <v>0</v>
      </c>
      <c r="QE366" s="21">
        <f t="shared" si="4160"/>
        <v>0</v>
      </c>
      <c r="QF366" s="21">
        <f t="shared" si="4160"/>
        <v>0</v>
      </c>
      <c r="QG366" s="21">
        <f t="shared" si="4160"/>
        <v>0</v>
      </c>
      <c r="QH366" s="21">
        <f t="shared" ref="QH366:QO366" si="4161">IF($F$290, 0, IF($J$301, IF(AND(COLUMN($QH$366)-COLUMN($QH$359)=$Q$291,ROW($QH$366)-ROW($QH$359)=$K$291), U$290, QH366), QH366))</f>
        <v>0</v>
      </c>
      <c r="QI366" s="21">
        <f t="shared" si="4161"/>
        <v>0</v>
      </c>
      <c r="QJ366" s="21">
        <f t="shared" si="4161"/>
        <v>0</v>
      </c>
      <c r="QK366" s="21">
        <f t="shared" si="4161"/>
        <v>0</v>
      </c>
      <c r="QL366" s="21">
        <f t="shared" si="4161"/>
        <v>0</v>
      </c>
      <c r="QM366" s="21">
        <f t="shared" si="4161"/>
        <v>0</v>
      </c>
      <c r="QN366" s="21">
        <f t="shared" si="4161"/>
        <v>0</v>
      </c>
      <c r="QO366" s="21">
        <f t="shared" si="4161"/>
        <v>0</v>
      </c>
      <c r="QP366" s="21">
        <f t="shared" ref="QP366:QW366" si="4162">IF($F$290, 0, IF($J$301, IF(AND(COLUMN($QP$366)-COLUMN($QH$359)=$Q$291,ROW($QP$366)-ROW($QH$359)=$K$291), U$290, QP366), QP366))</f>
        <v>0</v>
      </c>
      <c r="QQ366" s="21">
        <f t="shared" si="4162"/>
        <v>0</v>
      </c>
      <c r="QR366" s="21">
        <f t="shared" si="4162"/>
        <v>0</v>
      </c>
      <c r="QS366" s="21">
        <f t="shared" si="4162"/>
        <v>0</v>
      </c>
      <c r="QT366" s="21">
        <f t="shared" si="4162"/>
        <v>0</v>
      </c>
      <c r="QU366" s="21">
        <f t="shared" si="4162"/>
        <v>0</v>
      </c>
      <c r="QV366" s="21">
        <f t="shared" si="4162"/>
        <v>0</v>
      </c>
      <c r="QW366" s="21">
        <f t="shared" si="4162"/>
        <v>0</v>
      </c>
      <c r="QX366" s="21">
        <f t="shared" ref="QX366:RE366" si="4163">IF($F$290, 0, IF($J$301, IF(AND(COLUMN($QX$366)-COLUMN($QH$359)=$Q$291,ROW($QX$366)-ROW($QH$359)=$K$291), U$290, QX366), QX366))</f>
        <v>0</v>
      </c>
      <c r="QY366" s="21">
        <f t="shared" si="4163"/>
        <v>0</v>
      </c>
      <c r="QZ366" s="21">
        <f t="shared" si="4163"/>
        <v>0</v>
      </c>
      <c r="RA366" s="21">
        <f t="shared" si="4163"/>
        <v>0</v>
      </c>
      <c r="RB366" s="21">
        <f t="shared" si="4163"/>
        <v>0</v>
      </c>
      <c r="RC366" s="21">
        <f t="shared" si="4163"/>
        <v>0</v>
      </c>
      <c r="RD366" s="21">
        <f t="shared" si="4163"/>
        <v>0</v>
      </c>
      <c r="RE366" s="21">
        <f t="shared" si="4163"/>
        <v>0</v>
      </c>
      <c r="RF366" s="21">
        <f t="shared" ref="RF366:RM366" si="4164">IF($F$290, 0, IF($J$301, IF(AND(COLUMN($RF$366)-COLUMN($QH$359)=$Q$291,ROW($RF$366)-ROW($QH$359)=$K$291), U$290, RF366), RF366))</f>
        <v>0</v>
      </c>
      <c r="RG366" s="21">
        <f t="shared" si="4164"/>
        <v>0</v>
      </c>
      <c r="RH366" s="21">
        <f t="shared" si="4164"/>
        <v>0</v>
      </c>
      <c r="RI366" s="21">
        <f t="shared" si="4164"/>
        <v>0</v>
      </c>
      <c r="RJ366" s="21">
        <f t="shared" si="4164"/>
        <v>0</v>
      </c>
      <c r="RK366" s="21">
        <f t="shared" si="4164"/>
        <v>0</v>
      </c>
      <c r="RL366" s="21">
        <f t="shared" si="4164"/>
        <v>0</v>
      </c>
      <c r="RM366" s="21">
        <f t="shared" si="4164"/>
        <v>0</v>
      </c>
      <c r="RN366" s="21">
        <f t="shared" ref="RN366:RU366" si="4165">IF($F$290, 0, IF($J$301, IF(AND(COLUMN($RN$366)-COLUMN($QH$359)=$Q$291,ROW($RN$366)-ROW($QH$359)=$K$291), U$290, RN366), RN366))</f>
        <v>0</v>
      </c>
      <c r="RO366" s="21">
        <f t="shared" si="4165"/>
        <v>0</v>
      </c>
      <c r="RP366" s="21">
        <f t="shared" si="4165"/>
        <v>0</v>
      </c>
      <c r="RQ366" s="21">
        <f t="shared" si="4165"/>
        <v>0</v>
      </c>
      <c r="RR366" s="21">
        <f t="shared" si="4165"/>
        <v>0</v>
      </c>
      <c r="RS366" s="21">
        <f t="shared" si="4165"/>
        <v>0</v>
      </c>
      <c r="RT366" s="21">
        <f t="shared" si="4165"/>
        <v>0</v>
      </c>
      <c r="RU366" s="21">
        <f t="shared" si="4165"/>
        <v>0</v>
      </c>
      <c r="RV366" s="21">
        <f t="shared" ref="RV366:SC366" si="4166">IF($F$290, 0, IF($J$301, IF(AND(COLUMN($RV$366)-COLUMN($QH$359)=$Q$291,ROW($RV$366)-ROW($QH$359)=$K$291), U$290, RV366), RV366))</f>
        <v>0</v>
      </c>
      <c r="RW366" s="21">
        <f t="shared" si="4166"/>
        <v>0</v>
      </c>
      <c r="RX366" s="21">
        <f t="shared" si="4166"/>
        <v>0</v>
      </c>
      <c r="RY366" s="21">
        <f t="shared" si="4166"/>
        <v>0</v>
      </c>
      <c r="RZ366" s="21">
        <f t="shared" si="4166"/>
        <v>0</v>
      </c>
      <c r="SA366" s="21">
        <f t="shared" si="4166"/>
        <v>0</v>
      </c>
      <c r="SB366" s="21">
        <f t="shared" si="4166"/>
        <v>0</v>
      </c>
      <c r="SC366" s="21">
        <f t="shared" si="4166"/>
        <v>0</v>
      </c>
      <c r="SD366" s="21">
        <f t="shared" ref="SD366:SK366" si="4167">IF($F$290, 0, IF($J$301, IF(AND(COLUMN($SD$366)-COLUMN($QH$359)=$Q$291,ROW($SD$366)-ROW($QH$359)=$K$291), U$290, SD366), SD366))</f>
        <v>0</v>
      </c>
      <c r="SE366" s="21">
        <f t="shared" si="4167"/>
        <v>0</v>
      </c>
      <c r="SF366" s="21">
        <f t="shared" si="4167"/>
        <v>0</v>
      </c>
      <c r="SG366" s="21">
        <f t="shared" si="4167"/>
        <v>0</v>
      </c>
      <c r="SH366" s="21">
        <f t="shared" si="4167"/>
        <v>0</v>
      </c>
      <c r="SI366" s="21">
        <f t="shared" si="4167"/>
        <v>0</v>
      </c>
      <c r="SJ366" s="21">
        <f t="shared" si="4167"/>
        <v>0</v>
      </c>
      <c r="SK366" s="21">
        <f t="shared" si="4167"/>
        <v>0</v>
      </c>
      <c r="SL366" s="21">
        <f t="shared" ref="SL366:SS366" si="4168">IF($F$290, 0, IF($J$301, IF(AND(COLUMN($SL$366)-COLUMN($QH$359)=$Q$291,ROW($SL$366)-ROW($QH$359)=$K$291), U$290, SL366), SL366))</f>
        <v>0</v>
      </c>
      <c r="SM366" s="21">
        <f t="shared" si="4168"/>
        <v>0</v>
      </c>
      <c r="SN366" s="21">
        <f t="shared" si="4168"/>
        <v>0</v>
      </c>
      <c r="SO366" s="21">
        <f t="shared" si="4168"/>
        <v>0</v>
      </c>
      <c r="SP366" s="21">
        <f t="shared" si="4168"/>
        <v>0</v>
      </c>
      <c r="SQ366" s="21">
        <f t="shared" si="4168"/>
        <v>0</v>
      </c>
      <c r="SR366" s="21">
        <f t="shared" si="4168"/>
        <v>0</v>
      </c>
      <c r="SS366" s="21">
        <f t="shared" si="4168"/>
        <v>0</v>
      </c>
    </row>
  </sheetData>
  <mergeCells count="215">
    <mergeCell ref="B4:N5"/>
    <mergeCell ref="S18:T18"/>
    <mergeCell ref="B34:AR35"/>
    <mergeCell ref="D52:AR52"/>
    <mergeCell ref="D53:AR53"/>
    <mergeCell ref="B25:Q26"/>
    <mergeCell ref="K54:L54"/>
    <mergeCell ref="M54:N54"/>
    <mergeCell ref="D48:AR48"/>
    <mergeCell ref="D49:AR49"/>
    <mergeCell ref="D44:AR44"/>
    <mergeCell ref="D45:AR45"/>
    <mergeCell ref="S46:T46"/>
    <mergeCell ref="S47:T47"/>
    <mergeCell ref="Q46:R46"/>
    <mergeCell ref="O36:AD36"/>
    <mergeCell ref="B9:C9"/>
    <mergeCell ref="I12:J12"/>
    <mergeCell ref="O54:P54"/>
    <mergeCell ref="Q54:R54"/>
    <mergeCell ref="AF54:AI54"/>
    <mergeCell ref="I54:J54"/>
    <mergeCell ref="B16:K17"/>
    <mergeCell ref="T26:AK27"/>
    <mergeCell ref="B251:AI252"/>
    <mergeCell ref="B223:T224"/>
    <mergeCell ref="H227:K227"/>
    <mergeCell ref="AP99:AS99"/>
    <mergeCell ref="T243:AE243"/>
    <mergeCell ref="AO130:AP130"/>
    <mergeCell ref="AO132:AP132"/>
    <mergeCell ref="AI226:AM226"/>
    <mergeCell ref="T189:W189"/>
    <mergeCell ref="AL218:AM218"/>
    <mergeCell ref="D201:W201"/>
    <mergeCell ref="AC180:AD180"/>
    <mergeCell ref="H151:K151"/>
    <mergeCell ref="T122:V122"/>
    <mergeCell ref="K103:R103"/>
    <mergeCell ref="B128:AP129"/>
    <mergeCell ref="K187:R187"/>
    <mergeCell ref="G115:N115"/>
    <mergeCell ref="G120:N120"/>
    <mergeCell ref="T103:AA103"/>
    <mergeCell ref="N99:Q99"/>
    <mergeCell ref="B130:M130"/>
    <mergeCell ref="O130:Z130"/>
    <mergeCell ref="D205:W205"/>
    <mergeCell ref="S41:AD41"/>
    <mergeCell ref="V28:AK28"/>
    <mergeCell ref="M29:P29"/>
    <mergeCell ref="I58:J58"/>
    <mergeCell ref="K58:L58"/>
    <mergeCell ref="M58:N58"/>
    <mergeCell ref="S58:T58"/>
    <mergeCell ref="S62:T62"/>
    <mergeCell ref="E27:P27"/>
    <mergeCell ref="B30:Q30"/>
    <mergeCell ref="E29:L29"/>
    <mergeCell ref="AF58:AI58"/>
    <mergeCell ref="P38:R38"/>
    <mergeCell ref="B302:AB302"/>
    <mergeCell ref="B292:J292"/>
    <mergeCell ref="F139:Q139"/>
    <mergeCell ref="F143:M143"/>
    <mergeCell ref="F141:H141"/>
    <mergeCell ref="I141:K141"/>
    <mergeCell ref="L141:N141"/>
    <mergeCell ref="O141:Q141"/>
    <mergeCell ref="D191:W191"/>
    <mergeCell ref="K193:M193"/>
    <mergeCell ref="D206:E206"/>
    <mergeCell ref="D195:W195"/>
    <mergeCell ref="D197:W197"/>
    <mergeCell ref="D199:W199"/>
    <mergeCell ref="D203:W203"/>
    <mergeCell ref="Q220:X220"/>
    <mergeCell ref="L173:S173"/>
    <mergeCell ref="D204:E204"/>
    <mergeCell ref="D192:E192"/>
    <mergeCell ref="K243:R243"/>
    <mergeCell ref="K170:R170"/>
    <mergeCell ref="Q291:S291"/>
    <mergeCell ref="E151:G151"/>
    <mergeCell ref="K291:M291"/>
    <mergeCell ref="B86:U87"/>
    <mergeCell ref="B48:B71"/>
    <mergeCell ref="C48:C71"/>
    <mergeCell ref="S82:T82"/>
    <mergeCell ref="S83:T83"/>
    <mergeCell ref="I74:J74"/>
    <mergeCell ref="D73:AR73"/>
    <mergeCell ref="AF81:AI81"/>
    <mergeCell ref="I81:J81"/>
    <mergeCell ref="K81:L81"/>
    <mergeCell ref="D56:AR56"/>
    <mergeCell ref="D57:AR57"/>
    <mergeCell ref="D60:AR60"/>
    <mergeCell ref="D61:AR61"/>
    <mergeCell ref="D64:AR64"/>
    <mergeCell ref="O66:P66"/>
    <mergeCell ref="Q66:R66"/>
    <mergeCell ref="S66:T66"/>
    <mergeCell ref="S63:T63"/>
    <mergeCell ref="D65:AR65"/>
    <mergeCell ref="H291:J291"/>
    <mergeCell ref="O101:Q101"/>
    <mergeCell ref="B170:I170"/>
    <mergeCell ref="AB130:AM130"/>
    <mergeCell ref="T170:AA170"/>
    <mergeCell ref="AC170:AD170"/>
    <mergeCell ref="B179:I179"/>
    <mergeCell ref="B243:I243"/>
    <mergeCell ref="B216:I216"/>
    <mergeCell ref="H289:S289"/>
    <mergeCell ref="U289:AB289"/>
    <mergeCell ref="B287:AB288"/>
    <mergeCell ref="L253:S253"/>
    <mergeCell ref="M260:X260"/>
    <mergeCell ref="X253:AI253"/>
    <mergeCell ref="Y257:AA257"/>
    <mergeCell ref="U253:V253"/>
    <mergeCell ref="L247:W247"/>
    <mergeCell ref="B241:AH242"/>
    <mergeCell ref="AD101:AE101"/>
    <mergeCell ref="B122:I122"/>
    <mergeCell ref="N291:P291"/>
    <mergeCell ref="AC171:AD171"/>
    <mergeCell ref="AL216:AM216"/>
    <mergeCell ref="BB285:BI285"/>
    <mergeCell ref="AO282:AP282"/>
    <mergeCell ref="R285:AC285"/>
    <mergeCell ref="B278:AP279"/>
    <mergeCell ref="O281:Z281"/>
    <mergeCell ref="AB281:AM281"/>
    <mergeCell ref="AO281:AP281"/>
    <mergeCell ref="B281:M281"/>
    <mergeCell ref="AR278:BT279"/>
    <mergeCell ref="AR281:AY281"/>
    <mergeCell ref="BA281:BH281"/>
    <mergeCell ref="BJ281:BQ281"/>
    <mergeCell ref="BS281:BT281"/>
    <mergeCell ref="BS282:BT282"/>
    <mergeCell ref="T187:W187"/>
    <mergeCell ref="B187:I187"/>
    <mergeCell ref="B167:AD168"/>
    <mergeCell ref="B149:T150"/>
    <mergeCell ref="B185:Y186"/>
    <mergeCell ref="B176:AD177"/>
    <mergeCell ref="D68:AR68"/>
    <mergeCell ref="D69:AR69"/>
    <mergeCell ref="D72:AR72"/>
    <mergeCell ref="G99:J99"/>
    <mergeCell ref="B97:R98"/>
    <mergeCell ref="O81:P81"/>
    <mergeCell ref="Q81:R81"/>
    <mergeCell ref="S81:T81"/>
    <mergeCell ref="K122:R122"/>
    <mergeCell ref="P134:AA134"/>
    <mergeCell ref="O116:Q116"/>
    <mergeCell ref="AQ101:AS101"/>
    <mergeCell ref="AL103:AS103"/>
    <mergeCell ref="T97:AJ98"/>
    <mergeCell ref="M81:N81"/>
    <mergeCell ref="K74:L74"/>
    <mergeCell ref="M74:N74"/>
    <mergeCell ref="B72:B79"/>
    <mergeCell ref="B103:I103"/>
    <mergeCell ref="T179:AA179"/>
    <mergeCell ref="B109:V110"/>
    <mergeCell ref="A1:E1"/>
    <mergeCell ref="S38:V38"/>
    <mergeCell ref="S39:U39"/>
    <mergeCell ref="AF74:AI74"/>
    <mergeCell ref="D76:AR76"/>
    <mergeCell ref="D77:AR77"/>
    <mergeCell ref="B137:Q138"/>
    <mergeCell ref="M151:T151"/>
    <mergeCell ref="H153:K153"/>
    <mergeCell ref="AC103:AJ103"/>
    <mergeCell ref="K179:R179"/>
    <mergeCell ref="AC179:AD179"/>
    <mergeCell ref="AL97:AS98"/>
    <mergeCell ref="S67:T67"/>
    <mergeCell ref="C72:C79"/>
    <mergeCell ref="M78:N78"/>
    <mergeCell ref="O78:P78"/>
    <mergeCell ref="Q78:R78"/>
    <mergeCell ref="Q62:R62"/>
    <mergeCell ref="D91:S91"/>
    <mergeCell ref="F88:U88"/>
    <mergeCell ref="D272:O272"/>
    <mergeCell ref="O21:Z21"/>
    <mergeCell ref="M16:AC17"/>
    <mergeCell ref="B270:O271"/>
    <mergeCell ref="B263:M264"/>
    <mergeCell ref="AG243:AH243"/>
    <mergeCell ref="AG245:AH245"/>
    <mergeCell ref="H208:O208"/>
    <mergeCell ref="AA38:AD38"/>
    <mergeCell ref="P39:Q39"/>
    <mergeCell ref="AA39:AC39"/>
    <mergeCell ref="E225:G225"/>
    <mergeCell ref="H225:K225"/>
    <mergeCell ref="M225:T225"/>
    <mergeCell ref="B214:AM215"/>
    <mergeCell ref="AE223:AM224"/>
    <mergeCell ref="O118:Q118"/>
    <mergeCell ref="O117:Q117"/>
    <mergeCell ref="K216:R216"/>
    <mergeCell ref="T216:AA216"/>
    <mergeCell ref="AC216:AJ216"/>
    <mergeCell ref="L182:S182"/>
    <mergeCell ref="AC99:AE99"/>
    <mergeCell ref="H101:J101"/>
  </mergeCells>
  <pageMargins left="0.7" right="0.7" top="0.75" bottom="0.75" header="0.3" footer="0.3"/>
  <pageSetup orientation="portrait" r:id="rId1"/>
  <ignoredErrors>
    <ignoredError sqref="D68 D64 D56 D52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r:id="rId4" name="Check Box 1">
              <controlPr defaultSize="0" autoFill="0" autoLine="0" autoPict="0">
                <anchor moveWithCells="1">
                  <from>
                    <xdr:col>9</xdr:col>
                    <xdr:colOff>209550</xdr:colOff>
                    <xdr:row>0</xdr:row>
                    <xdr:rowOff>171450</xdr:rowOff>
                  </from>
                  <to>
                    <xdr:col>9</xdr:col>
                    <xdr:colOff>428625</xdr:colOff>
                    <xdr:row>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4" r:id="rId5" name="Check Box 2">
              <controlPr defaultSize="0" autoFill="0" autoLine="0" autoPict="0">
                <anchor moveWithCells="1">
                  <from>
                    <xdr:col>7</xdr:col>
                    <xdr:colOff>209550</xdr:colOff>
                    <xdr:row>0</xdr:row>
                    <xdr:rowOff>171450</xdr:rowOff>
                  </from>
                  <to>
                    <xdr:col>7</xdr:col>
                    <xdr:colOff>428625</xdr:colOff>
                    <xdr:row>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6" name="Check Box 3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171450</xdr:rowOff>
                  </from>
                  <to>
                    <xdr:col>19</xdr:col>
                    <xdr:colOff>428625</xdr:colOff>
                    <xdr:row>29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02C5-43A8-406F-A13E-80500EE28129}">
  <sheetPr codeName="Sheet4"/>
  <dimension ref="B1:H19"/>
  <sheetViews>
    <sheetView zoomScale="119" workbookViewId="0">
      <selection activeCell="K18" sqref="K18"/>
    </sheetView>
  </sheetViews>
  <sheetFormatPr defaultRowHeight="15" x14ac:dyDescent="0.25"/>
  <cols>
    <col min="2" max="2" width="9.140625" customWidth="1"/>
    <col min="3" max="7" width="6.85546875" customWidth="1"/>
  </cols>
  <sheetData>
    <row r="1" spans="2:8" ht="15" customHeight="1" x14ac:dyDescent="0.25">
      <c r="B1" s="49" t="s">
        <v>612</v>
      </c>
      <c r="C1" s="49"/>
      <c r="D1" s="49"/>
      <c r="E1" s="49"/>
      <c r="F1" s="49"/>
      <c r="G1" s="49"/>
      <c r="H1" s="49"/>
    </row>
    <row r="2" spans="2:8" ht="15" customHeight="1" x14ac:dyDescent="0.25">
      <c r="B2" s="49"/>
      <c r="C2" s="49"/>
      <c r="D2" s="49"/>
      <c r="E2" s="49"/>
      <c r="F2" s="49"/>
      <c r="G2" s="49"/>
      <c r="H2" s="49"/>
    </row>
    <row r="3" spans="2:8" x14ac:dyDescent="0.25">
      <c r="B3" s="2" t="s">
        <v>23</v>
      </c>
      <c r="C3" s="3"/>
      <c r="D3" s="3"/>
      <c r="E3" s="3"/>
      <c r="F3" s="3"/>
      <c r="G3" s="3"/>
      <c r="H3" s="3"/>
    </row>
    <row r="4" spans="2:8" x14ac:dyDescent="0.25">
      <c r="B4" s="2">
        <f>IF(CPU!H2,0,IF(B4,0,1))</f>
        <v>0</v>
      </c>
      <c r="C4" s="3"/>
      <c r="D4" s="3"/>
      <c r="E4" s="3"/>
      <c r="F4" s="3"/>
      <c r="G4" s="3"/>
      <c r="H4" s="3"/>
    </row>
    <row r="5" spans="2:8" ht="15" customHeight="1" x14ac:dyDescent="0.25">
      <c r="B5" s="7"/>
      <c r="C5" s="7"/>
      <c r="D5" s="7"/>
      <c r="E5" s="7"/>
      <c r="F5" s="7"/>
      <c r="G5" s="7"/>
      <c r="H5" s="7"/>
    </row>
    <row r="6" spans="2:8" ht="15" customHeight="1" x14ac:dyDescent="0.25">
      <c r="B6" s="3"/>
      <c r="C6" s="3">
        <f ca="1">ABS(C9-E12)</f>
        <v>0</v>
      </c>
      <c r="D6" s="3">
        <f ca="1">ABS(D9-D13)</f>
        <v>0</v>
      </c>
      <c r="E6" s="3">
        <f ca="1">ABS(E9-F13)</f>
        <v>0</v>
      </c>
      <c r="F6" s="3">
        <f ca="1">ABS(F9-E14)</f>
        <v>0</v>
      </c>
      <c r="G6" s="3"/>
      <c r="H6" s="3"/>
    </row>
    <row r="7" spans="2:8" ht="15" customHeight="1" x14ac:dyDescent="0.25">
      <c r="B7" s="3"/>
      <c r="C7" s="3"/>
      <c r="D7" s="3"/>
      <c r="E7" s="3"/>
      <c r="F7" s="3"/>
      <c r="G7" s="3"/>
      <c r="H7" s="3"/>
    </row>
    <row r="8" spans="2:8" ht="15" customHeight="1" x14ac:dyDescent="0.25">
      <c r="B8" s="3"/>
      <c r="C8" s="67" t="s">
        <v>620</v>
      </c>
      <c r="D8" s="67"/>
      <c r="E8" s="67"/>
      <c r="F8" s="67"/>
      <c r="G8" s="3"/>
      <c r="H8" s="3"/>
    </row>
    <row r="9" spans="2:8" ht="15" customHeight="1" x14ac:dyDescent="0.25">
      <c r="B9" s="3"/>
      <c r="C9" s="38">
        <f ca="1">IF($B$4,ABS(E12),C9)</f>
        <v>0</v>
      </c>
      <c r="D9" s="38">
        <f ca="1">IF($B$4,ABS(D13),D9)</f>
        <v>0</v>
      </c>
      <c r="E9" s="38">
        <f ca="1">IF($B$4,ABS(F13),E9)</f>
        <v>0</v>
      </c>
      <c r="F9" s="38">
        <f ca="1">IF($B$4,ABS(E14),F9)</f>
        <v>0</v>
      </c>
      <c r="G9" s="3"/>
      <c r="H9" s="3"/>
    </row>
    <row r="10" spans="2:8" ht="15" customHeight="1" x14ac:dyDescent="0.25">
      <c r="B10" s="3"/>
      <c r="C10" s="3"/>
      <c r="D10" s="3"/>
      <c r="E10" s="3"/>
      <c r="F10" s="3"/>
      <c r="G10" s="3"/>
      <c r="H10" s="3"/>
    </row>
    <row r="11" spans="2:8" ht="36" customHeight="1" x14ac:dyDescent="0.25">
      <c r="B11" s="3"/>
      <c r="C11" s="3"/>
      <c r="D11" s="3"/>
      <c r="E11" s="31" t="s">
        <v>613</v>
      </c>
      <c r="F11" s="3"/>
      <c r="G11" s="3"/>
      <c r="H11" s="3"/>
    </row>
    <row r="12" spans="2:8" ht="36" customHeight="1" x14ac:dyDescent="0.25">
      <c r="B12" s="3"/>
      <c r="C12" s="3"/>
      <c r="D12" s="3"/>
      <c r="E12" s="40" t="b">
        <v>0</v>
      </c>
      <c r="F12" s="3"/>
      <c r="G12" s="3"/>
      <c r="H12" s="3"/>
    </row>
    <row r="13" spans="2:8" ht="36" customHeight="1" x14ac:dyDescent="0.25">
      <c r="B13" s="3"/>
      <c r="C13" s="31" t="s">
        <v>614</v>
      </c>
      <c r="D13" s="40" t="b">
        <v>0</v>
      </c>
      <c r="E13" s="3"/>
      <c r="F13" s="40" t="b">
        <v>0</v>
      </c>
      <c r="G13" s="31" t="s">
        <v>615</v>
      </c>
      <c r="H13" s="3"/>
    </row>
    <row r="14" spans="2:8" ht="36" customHeight="1" x14ac:dyDescent="0.25">
      <c r="B14" s="3"/>
      <c r="C14" s="3"/>
      <c r="D14" s="3"/>
      <c r="E14" s="40" t="b">
        <v>0</v>
      </c>
      <c r="F14" s="3"/>
      <c r="G14" s="3"/>
      <c r="H14" s="3"/>
    </row>
    <row r="15" spans="2:8" ht="36" customHeight="1" x14ac:dyDescent="0.25">
      <c r="B15" s="3"/>
      <c r="C15" s="3"/>
      <c r="D15" s="3"/>
      <c r="E15" s="31" t="s">
        <v>616</v>
      </c>
      <c r="F15" s="3"/>
      <c r="G15" s="3"/>
      <c r="H15" s="3"/>
    </row>
    <row r="16" spans="2:8" x14ac:dyDescent="0.25">
      <c r="B16" s="3"/>
      <c r="C16" s="3"/>
      <c r="D16" s="3"/>
      <c r="E16" s="3"/>
      <c r="F16" s="3"/>
      <c r="G16" s="3"/>
      <c r="H16" s="3"/>
    </row>
    <row r="17" spans="2:8" x14ac:dyDescent="0.25">
      <c r="B17" s="7"/>
      <c r="C17" s="7"/>
      <c r="D17" s="7"/>
      <c r="E17" s="7"/>
      <c r="F17" s="7"/>
      <c r="G17" s="7"/>
      <c r="H17" s="7"/>
    </row>
    <row r="18" spans="2:8" x14ac:dyDescent="0.25">
      <c r="B18" s="39" t="s">
        <v>617</v>
      </c>
      <c r="C18" s="3"/>
      <c r="D18" s="3"/>
      <c r="E18" s="67" t="s">
        <v>618</v>
      </c>
      <c r="F18" s="67"/>
      <c r="G18" s="67"/>
      <c r="H18" s="67"/>
    </row>
    <row r="19" spans="2:8" x14ac:dyDescent="0.25">
      <c r="B19" s="38">
        <f ca="1">ABS(OR(C6:F6))</f>
        <v>0</v>
      </c>
      <c r="C19" s="3"/>
      <c r="D19" s="3"/>
      <c r="E19" s="38">
        <f>ABS(E12)</f>
        <v>0</v>
      </c>
      <c r="F19" s="38">
        <f>ABS(D13)</f>
        <v>0</v>
      </c>
      <c r="G19" s="38">
        <f>ABS(F13)</f>
        <v>0</v>
      </c>
      <c r="H19" s="38">
        <f>ABS(E14)</f>
        <v>0</v>
      </c>
    </row>
  </sheetData>
  <mergeCells count="3">
    <mergeCell ref="E18:H18"/>
    <mergeCell ref="C8:F8"/>
    <mergeCell ref="B1:H2"/>
  </mergeCells>
  <conditionalFormatting sqref="E12 D13 F13 E14">
    <cfRule type="cellIs" dxfId="39" priority="1" stopIfTrue="1" operator="equal">
      <formula>TRUE</formula>
    </cfRule>
    <cfRule type="cellIs" dxfId="38" priority="2" stopIfTrue="1" operator="equal">
      <formula>FALSE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8" r:id="rId3" name="Check Box 2">
              <controlPr defaultSize="0" autoFill="0" autoLine="0" autoPict="0">
                <anchor moveWithCells="1">
                  <from>
                    <xdr:col>4</xdr:col>
                    <xdr:colOff>123825</xdr:colOff>
                    <xdr:row>11</xdr:row>
                    <xdr:rowOff>123825</xdr:rowOff>
                  </from>
                  <to>
                    <xdr:col>4</xdr:col>
                    <xdr:colOff>342900</xdr:colOff>
                    <xdr:row>11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9" r:id="rId4" name="Check Box 3">
              <controlPr defaultSize="0" autoFill="0" autoLine="0" autoPict="0">
                <anchor moveWithCells="1">
                  <from>
                    <xdr:col>3</xdr:col>
                    <xdr:colOff>142875</xdr:colOff>
                    <xdr:row>12</xdr:row>
                    <xdr:rowOff>114300</xdr:rowOff>
                  </from>
                  <to>
                    <xdr:col>3</xdr:col>
                    <xdr:colOff>361950</xdr:colOff>
                    <xdr:row>12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5" name="Check Box 4">
              <controlPr defaultSize="0" autoFill="0" autoLine="0" autoPict="0">
                <anchor moveWithCells="1">
                  <from>
                    <xdr:col>5</xdr:col>
                    <xdr:colOff>133350</xdr:colOff>
                    <xdr:row>12</xdr:row>
                    <xdr:rowOff>123825</xdr:rowOff>
                  </from>
                  <to>
                    <xdr:col>5</xdr:col>
                    <xdr:colOff>352425</xdr:colOff>
                    <xdr:row>12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6" name="Check Box 5">
              <controlPr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104775</xdr:rowOff>
                  </from>
                  <to>
                    <xdr:col>4</xdr:col>
                    <xdr:colOff>352425</xdr:colOff>
                    <xdr:row>13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79DD-53B0-48F3-979F-0B13A586C3A2}">
  <sheetPr codeName="Sheet1"/>
  <dimension ref="A1:IV257"/>
  <sheetViews>
    <sheetView workbookViewId="0">
      <selection sqref="A1:IV257"/>
    </sheetView>
  </sheetViews>
  <sheetFormatPr defaultRowHeight="15" x14ac:dyDescent="0.25"/>
  <cols>
    <col min="1" max="9" width="11.140625" bestFit="1" customWidth="1"/>
    <col min="10" max="99" width="12.140625" bestFit="1" customWidth="1"/>
    <col min="100" max="256" width="13.140625" bestFit="1" customWidth="1"/>
  </cols>
  <sheetData>
    <row r="1" spans="1:256" x14ac:dyDescent="0.25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  <c r="J1" t="s">
        <v>325</v>
      </c>
      <c r="K1" t="s">
        <v>326</v>
      </c>
      <c r="L1" t="s">
        <v>327</v>
      </c>
      <c r="M1" t="s">
        <v>328</v>
      </c>
      <c r="N1" t="s">
        <v>329</v>
      </c>
      <c r="O1" t="s">
        <v>330</v>
      </c>
      <c r="P1" t="s">
        <v>331</v>
      </c>
      <c r="Q1" t="s">
        <v>332</v>
      </c>
      <c r="R1" t="s">
        <v>333</v>
      </c>
      <c r="S1" t="s">
        <v>334</v>
      </c>
      <c r="T1" t="s">
        <v>335</v>
      </c>
      <c r="U1" t="s">
        <v>336</v>
      </c>
      <c r="V1" t="s">
        <v>337</v>
      </c>
      <c r="W1" t="s">
        <v>338</v>
      </c>
      <c r="X1" t="s">
        <v>339</v>
      </c>
      <c r="Y1" t="s">
        <v>340</v>
      </c>
      <c r="Z1" t="s">
        <v>341</v>
      </c>
      <c r="AA1" t="s">
        <v>342</v>
      </c>
      <c r="AB1" t="s">
        <v>343</v>
      </c>
      <c r="AC1" t="s">
        <v>344</v>
      </c>
      <c r="AD1" t="s">
        <v>345</v>
      </c>
      <c r="AE1" t="s">
        <v>346</v>
      </c>
      <c r="AF1" t="s">
        <v>347</v>
      </c>
      <c r="AG1" t="s">
        <v>348</v>
      </c>
      <c r="AH1" t="s">
        <v>349</v>
      </c>
      <c r="AI1" t="s">
        <v>350</v>
      </c>
      <c r="AJ1" t="s">
        <v>351</v>
      </c>
      <c r="AK1" t="s">
        <v>352</v>
      </c>
      <c r="AL1" t="s">
        <v>353</v>
      </c>
      <c r="AM1" t="s">
        <v>354</v>
      </c>
      <c r="AN1" t="s">
        <v>355</v>
      </c>
      <c r="AO1" t="s">
        <v>356</v>
      </c>
      <c r="AP1" t="s">
        <v>357</v>
      </c>
      <c r="AQ1" t="s">
        <v>358</v>
      </c>
      <c r="AR1" t="s">
        <v>359</v>
      </c>
      <c r="AS1" t="s">
        <v>360</v>
      </c>
      <c r="AT1" t="s">
        <v>361</v>
      </c>
      <c r="AU1" t="s">
        <v>362</v>
      </c>
      <c r="AV1" t="s">
        <v>363</v>
      </c>
      <c r="AW1" t="s">
        <v>364</v>
      </c>
      <c r="AX1" t="s">
        <v>365</v>
      </c>
      <c r="AY1" t="s">
        <v>366</v>
      </c>
      <c r="AZ1" t="s">
        <v>367</v>
      </c>
      <c r="BA1" t="s">
        <v>368</v>
      </c>
      <c r="BB1" t="s">
        <v>369</v>
      </c>
      <c r="BC1" t="s">
        <v>370</v>
      </c>
      <c r="BD1" t="s">
        <v>371</v>
      </c>
      <c r="BE1" t="s">
        <v>372</v>
      </c>
      <c r="BF1" t="s">
        <v>373</v>
      </c>
      <c r="BG1" t="s">
        <v>374</v>
      </c>
      <c r="BH1" t="s">
        <v>375</v>
      </c>
      <c r="BI1" t="s">
        <v>376</v>
      </c>
      <c r="BJ1" t="s">
        <v>377</v>
      </c>
      <c r="BK1" t="s">
        <v>378</v>
      </c>
      <c r="BL1" t="s">
        <v>379</v>
      </c>
      <c r="BM1" t="s">
        <v>380</v>
      </c>
      <c r="BN1" t="s">
        <v>381</v>
      </c>
      <c r="BO1" t="s">
        <v>382</v>
      </c>
      <c r="BP1" t="s">
        <v>383</v>
      </c>
      <c r="BQ1" t="s">
        <v>384</v>
      </c>
      <c r="BR1" t="s">
        <v>385</v>
      </c>
      <c r="BS1" t="s">
        <v>386</v>
      </c>
      <c r="BT1" t="s">
        <v>387</v>
      </c>
      <c r="BU1" t="s">
        <v>388</v>
      </c>
      <c r="BV1" t="s">
        <v>389</v>
      </c>
      <c r="BW1" t="s">
        <v>390</v>
      </c>
      <c r="BX1" t="s">
        <v>391</v>
      </c>
      <c r="BY1" t="s">
        <v>392</v>
      </c>
      <c r="BZ1" t="s">
        <v>393</v>
      </c>
      <c r="CA1" t="s">
        <v>394</v>
      </c>
      <c r="CB1" t="s">
        <v>395</v>
      </c>
      <c r="CC1" t="s">
        <v>396</v>
      </c>
      <c r="CD1" t="s">
        <v>397</v>
      </c>
      <c r="CE1" t="s">
        <v>398</v>
      </c>
      <c r="CF1" t="s">
        <v>399</v>
      </c>
      <c r="CG1" t="s">
        <v>400</v>
      </c>
      <c r="CH1" t="s">
        <v>401</v>
      </c>
      <c r="CI1" t="s">
        <v>402</v>
      </c>
      <c r="CJ1" t="s">
        <v>403</v>
      </c>
      <c r="CK1" t="s">
        <v>404</v>
      </c>
      <c r="CL1" t="s">
        <v>405</v>
      </c>
      <c r="CM1" t="s">
        <v>406</v>
      </c>
      <c r="CN1" t="s">
        <v>407</v>
      </c>
      <c r="CO1" t="s">
        <v>408</v>
      </c>
      <c r="CP1" t="s">
        <v>409</v>
      </c>
      <c r="CQ1" t="s">
        <v>410</v>
      </c>
      <c r="CR1" t="s">
        <v>411</v>
      </c>
      <c r="CS1" t="s">
        <v>412</v>
      </c>
      <c r="CT1" t="s">
        <v>413</v>
      </c>
      <c r="CU1" t="s">
        <v>414</v>
      </c>
      <c r="CV1" t="s">
        <v>415</v>
      </c>
      <c r="CW1" t="s">
        <v>416</v>
      </c>
      <c r="CX1" t="s">
        <v>417</v>
      </c>
      <c r="CY1" t="s">
        <v>418</v>
      </c>
      <c r="CZ1" t="s">
        <v>419</v>
      </c>
      <c r="DA1" t="s">
        <v>420</v>
      </c>
      <c r="DB1" t="s">
        <v>421</v>
      </c>
      <c r="DC1" t="s">
        <v>422</v>
      </c>
      <c r="DD1" t="s">
        <v>423</v>
      </c>
      <c r="DE1" t="s">
        <v>424</v>
      </c>
      <c r="DF1" t="s">
        <v>425</v>
      </c>
      <c r="DG1" t="s">
        <v>426</v>
      </c>
      <c r="DH1" t="s">
        <v>427</v>
      </c>
      <c r="DI1" t="s">
        <v>428</v>
      </c>
      <c r="DJ1" t="s">
        <v>429</v>
      </c>
      <c r="DK1" t="s">
        <v>430</v>
      </c>
      <c r="DL1" t="s">
        <v>431</v>
      </c>
      <c r="DM1" t="s">
        <v>432</v>
      </c>
      <c r="DN1" t="s">
        <v>433</v>
      </c>
      <c r="DO1" t="s">
        <v>434</v>
      </c>
      <c r="DP1" t="s">
        <v>435</v>
      </c>
      <c r="DQ1" t="s">
        <v>436</v>
      </c>
      <c r="DR1" t="s">
        <v>437</v>
      </c>
      <c r="DS1" t="s">
        <v>438</v>
      </c>
      <c r="DT1" t="s">
        <v>439</v>
      </c>
      <c r="DU1" t="s">
        <v>440</v>
      </c>
      <c r="DV1" t="s">
        <v>441</v>
      </c>
      <c r="DW1" t="s">
        <v>442</v>
      </c>
      <c r="DX1" t="s">
        <v>443</v>
      </c>
      <c r="DY1" t="s">
        <v>444</v>
      </c>
      <c r="DZ1" t="s">
        <v>445</v>
      </c>
      <c r="EA1" t="s">
        <v>446</v>
      </c>
      <c r="EB1" t="s">
        <v>447</v>
      </c>
      <c r="EC1" t="s">
        <v>448</v>
      </c>
      <c r="ED1" t="s">
        <v>449</v>
      </c>
      <c r="EE1" t="s">
        <v>450</v>
      </c>
      <c r="EF1" t="s">
        <v>451</v>
      </c>
      <c r="EG1" t="s">
        <v>452</v>
      </c>
      <c r="EH1" t="s">
        <v>453</v>
      </c>
      <c r="EI1" t="s">
        <v>454</v>
      </c>
      <c r="EJ1" t="s">
        <v>455</v>
      </c>
      <c r="EK1" t="s">
        <v>456</v>
      </c>
      <c r="EL1" t="s">
        <v>457</v>
      </c>
      <c r="EM1" t="s">
        <v>458</v>
      </c>
      <c r="EN1" t="s">
        <v>459</v>
      </c>
      <c r="EO1" t="s">
        <v>460</v>
      </c>
      <c r="EP1" t="s">
        <v>461</v>
      </c>
      <c r="EQ1" t="s">
        <v>462</v>
      </c>
      <c r="ER1" t="s">
        <v>463</v>
      </c>
      <c r="ES1" t="s">
        <v>464</v>
      </c>
      <c r="ET1" t="s">
        <v>465</v>
      </c>
      <c r="EU1" t="s">
        <v>466</v>
      </c>
      <c r="EV1" t="s">
        <v>467</v>
      </c>
      <c r="EW1" t="s">
        <v>468</v>
      </c>
      <c r="EX1" t="s">
        <v>469</v>
      </c>
      <c r="EY1" t="s">
        <v>470</v>
      </c>
      <c r="EZ1" t="s">
        <v>471</v>
      </c>
      <c r="FA1" t="s">
        <v>472</v>
      </c>
      <c r="FB1" t="s">
        <v>473</v>
      </c>
      <c r="FC1" t="s">
        <v>474</v>
      </c>
      <c r="FD1" t="s">
        <v>475</v>
      </c>
      <c r="FE1" t="s">
        <v>476</v>
      </c>
      <c r="FF1" t="s">
        <v>477</v>
      </c>
      <c r="FG1" t="s">
        <v>478</v>
      </c>
      <c r="FH1" t="s">
        <v>479</v>
      </c>
      <c r="FI1" t="s">
        <v>480</v>
      </c>
      <c r="FJ1" t="s">
        <v>481</v>
      </c>
      <c r="FK1" t="s">
        <v>482</v>
      </c>
      <c r="FL1" t="s">
        <v>483</v>
      </c>
      <c r="FM1" t="s">
        <v>484</v>
      </c>
      <c r="FN1" t="s">
        <v>485</v>
      </c>
      <c r="FO1" t="s">
        <v>486</v>
      </c>
      <c r="FP1" t="s">
        <v>487</v>
      </c>
      <c r="FQ1" t="s">
        <v>488</v>
      </c>
      <c r="FR1" t="s">
        <v>489</v>
      </c>
      <c r="FS1" t="s">
        <v>490</v>
      </c>
      <c r="FT1" t="s">
        <v>491</v>
      </c>
      <c r="FU1" t="s">
        <v>492</v>
      </c>
      <c r="FV1" t="s">
        <v>493</v>
      </c>
      <c r="FW1" t="s">
        <v>494</v>
      </c>
      <c r="FX1" t="s">
        <v>495</v>
      </c>
      <c r="FY1" t="s">
        <v>496</v>
      </c>
      <c r="FZ1" t="s">
        <v>497</v>
      </c>
      <c r="GA1" t="s">
        <v>498</v>
      </c>
      <c r="GB1" t="s">
        <v>499</v>
      </c>
      <c r="GC1" t="s">
        <v>500</v>
      </c>
      <c r="GD1" t="s">
        <v>501</v>
      </c>
      <c r="GE1" t="s">
        <v>502</v>
      </c>
      <c r="GF1" t="s">
        <v>503</v>
      </c>
      <c r="GG1" t="s">
        <v>504</v>
      </c>
      <c r="GH1" t="s">
        <v>505</v>
      </c>
      <c r="GI1" t="s">
        <v>506</v>
      </c>
      <c r="GJ1" t="s">
        <v>507</v>
      </c>
      <c r="GK1" t="s">
        <v>508</v>
      </c>
      <c r="GL1" t="s">
        <v>509</v>
      </c>
      <c r="GM1" t="s">
        <v>510</v>
      </c>
      <c r="GN1" t="s">
        <v>511</v>
      </c>
      <c r="GO1" t="s">
        <v>512</v>
      </c>
      <c r="GP1" t="s">
        <v>513</v>
      </c>
      <c r="GQ1" t="s">
        <v>514</v>
      </c>
      <c r="GR1" t="s">
        <v>515</v>
      </c>
      <c r="GS1" t="s">
        <v>516</v>
      </c>
      <c r="GT1" t="s">
        <v>517</v>
      </c>
      <c r="GU1" t="s">
        <v>518</v>
      </c>
      <c r="GV1" t="s">
        <v>519</v>
      </c>
      <c r="GW1" t="s">
        <v>520</v>
      </c>
      <c r="GX1" t="s">
        <v>521</v>
      </c>
      <c r="GY1" t="s">
        <v>522</v>
      </c>
      <c r="GZ1" t="s">
        <v>523</v>
      </c>
      <c r="HA1" t="s">
        <v>524</v>
      </c>
      <c r="HB1" t="s">
        <v>525</v>
      </c>
      <c r="HC1" t="s">
        <v>526</v>
      </c>
      <c r="HD1" t="s">
        <v>527</v>
      </c>
      <c r="HE1" t="s">
        <v>528</v>
      </c>
      <c r="HF1" t="s">
        <v>529</v>
      </c>
      <c r="HG1" t="s">
        <v>530</v>
      </c>
      <c r="HH1" t="s">
        <v>531</v>
      </c>
      <c r="HI1" t="s">
        <v>532</v>
      </c>
      <c r="HJ1" t="s">
        <v>533</v>
      </c>
      <c r="HK1" t="s">
        <v>534</v>
      </c>
      <c r="HL1" t="s">
        <v>535</v>
      </c>
      <c r="HM1" t="s">
        <v>536</v>
      </c>
      <c r="HN1" t="s">
        <v>537</v>
      </c>
      <c r="HO1" t="s">
        <v>538</v>
      </c>
      <c r="HP1" t="s">
        <v>539</v>
      </c>
      <c r="HQ1" t="s">
        <v>540</v>
      </c>
      <c r="HR1" t="s">
        <v>541</v>
      </c>
      <c r="HS1" t="s">
        <v>542</v>
      </c>
      <c r="HT1" t="s">
        <v>543</v>
      </c>
      <c r="HU1" t="s">
        <v>544</v>
      </c>
      <c r="HV1" t="s">
        <v>545</v>
      </c>
      <c r="HW1" t="s">
        <v>546</v>
      </c>
      <c r="HX1" t="s">
        <v>547</v>
      </c>
      <c r="HY1" t="s">
        <v>548</v>
      </c>
      <c r="HZ1" t="s">
        <v>549</v>
      </c>
      <c r="IA1" t="s">
        <v>550</v>
      </c>
      <c r="IB1" t="s">
        <v>551</v>
      </c>
      <c r="IC1" t="s">
        <v>552</v>
      </c>
      <c r="ID1" t="s">
        <v>553</v>
      </c>
      <c r="IE1" t="s">
        <v>554</v>
      </c>
      <c r="IF1" t="s">
        <v>555</v>
      </c>
      <c r="IG1" t="s">
        <v>556</v>
      </c>
      <c r="IH1" t="s">
        <v>557</v>
      </c>
      <c r="II1" t="s">
        <v>558</v>
      </c>
      <c r="IJ1" t="s">
        <v>559</v>
      </c>
      <c r="IK1" t="s">
        <v>560</v>
      </c>
      <c r="IL1" t="s">
        <v>561</v>
      </c>
      <c r="IM1" t="s">
        <v>562</v>
      </c>
      <c r="IN1" t="s">
        <v>563</v>
      </c>
      <c r="IO1" t="s">
        <v>564</v>
      </c>
      <c r="IP1" t="s">
        <v>565</v>
      </c>
      <c r="IQ1" t="s">
        <v>566</v>
      </c>
      <c r="IR1" t="s">
        <v>567</v>
      </c>
      <c r="IS1" t="s">
        <v>568</v>
      </c>
      <c r="IT1" t="s">
        <v>569</v>
      </c>
      <c r="IU1" t="s">
        <v>570</v>
      </c>
      <c r="IV1" t="s">
        <v>571</v>
      </c>
    </row>
    <row r="2" spans="1:256" x14ac:dyDescent="0.25">
      <c r="A2">
        <v>0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0</v>
      </c>
      <c r="CL2">
        <v>1</v>
      </c>
      <c r="CM2">
        <v>1</v>
      </c>
      <c r="CN2">
        <v>1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1</v>
      </c>
      <c r="CV2">
        <v>0</v>
      </c>
      <c r="CW2">
        <v>1</v>
      </c>
      <c r="CX2">
        <v>1</v>
      </c>
      <c r="CY2">
        <v>1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1</v>
      </c>
      <c r="DL2">
        <v>0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1</v>
      </c>
      <c r="DX2">
        <v>1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</row>
    <row r="125" spans="1:25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  <row r="257" spans="1:256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35ED-EA8B-4664-9DC2-81BBECB28638}">
  <sheetPr>
    <pageSetUpPr fitToPage="1"/>
  </sheetPr>
  <dimension ref="B2:CF62"/>
  <sheetViews>
    <sheetView zoomScale="102" zoomScaleNormal="200" workbookViewId="0">
      <selection activeCell="R39" sqref="R39"/>
    </sheetView>
  </sheetViews>
  <sheetFormatPr defaultRowHeight="15" x14ac:dyDescent="0.25"/>
  <cols>
    <col min="1" max="11" width="9.140625" style="1"/>
    <col min="12" max="12" width="9.140625" style="1" customWidth="1"/>
    <col min="13" max="17" width="9.140625" style="1"/>
    <col min="18" max="18" width="18" style="1" customWidth="1"/>
    <col min="19" max="19" width="13.7109375" style="1" customWidth="1"/>
    <col min="20" max="20" width="27.85546875" style="1" customWidth="1"/>
    <col min="21" max="21" width="24.7109375" style="1" customWidth="1"/>
    <col min="22" max="22" width="37.140625" style="1" customWidth="1"/>
    <col min="23" max="23" width="22.5703125" style="1" customWidth="1"/>
    <col min="24" max="24" width="23.85546875" style="1" customWidth="1"/>
    <col min="25" max="27" width="9.140625" style="1"/>
    <col min="28" max="28" width="11.42578125" style="1" customWidth="1"/>
    <col min="29" max="29" width="10.42578125" style="1" customWidth="1"/>
    <col min="30" max="31" width="11.85546875" style="1" customWidth="1"/>
    <col min="32" max="32" width="12.85546875" style="1" customWidth="1"/>
    <col min="33" max="33" width="9.5703125" style="1" customWidth="1"/>
    <col min="34" max="34" width="10.28515625" style="1" customWidth="1"/>
    <col min="35" max="35" width="9.7109375" style="1" customWidth="1"/>
    <col min="36" max="36" width="7.42578125" style="1" customWidth="1"/>
    <col min="37" max="37" width="7.7109375" style="1" customWidth="1"/>
    <col min="38" max="39" width="14.28515625" style="1" customWidth="1"/>
    <col min="40" max="40" width="13.5703125" style="1" customWidth="1"/>
    <col min="41" max="42" width="12.7109375" style="1" customWidth="1"/>
    <col min="43" max="44" width="9.140625" style="1"/>
    <col min="45" max="45" width="14.42578125" style="1" customWidth="1"/>
    <col min="46" max="46" width="13.42578125" style="1" customWidth="1"/>
    <col min="47" max="48" width="12" style="1" customWidth="1"/>
    <col min="49" max="50" width="18.7109375" style="1" customWidth="1"/>
    <col min="51" max="16384" width="9.140625" style="1"/>
  </cols>
  <sheetData>
    <row r="2" spans="2:62" ht="15.75" thickBot="1" x14ac:dyDescent="0.3">
      <c r="B2" s="47" t="s">
        <v>48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S2" s="1" t="s">
        <v>123</v>
      </c>
      <c r="T2" s="1" t="s">
        <v>57</v>
      </c>
      <c r="U2" s="1" t="s">
        <v>62</v>
      </c>
      <c r="V2" s="1" t="s">
        <v>63</v>
      </c>
      <c r="W2" s="1" t="s">
        <v>67</v>
      </c>
      <c r="X2" s="1" t="s">
        <v>171</v>
      </c>
      <c r="AA2" s="54" t="s">
        <v>56</v>
      </c>
      <c r="AB2" s="54"/>
      <c r="AC2" s="54"/>
      <c r="AD2" s="54"/>
      <c r="AE2" s="54"/>
      <c r="AF2" s="54"/>
      <c r="AG2" s="1" t="s">
        <v>209</v>
      </c>
      <c r="AH2" s="54" t="s">
        <v>212</v>
      </c>
      <c r="AI2" s="54"/>
      <c r="AJ2" s="54" t="s">
        <v>184</v>
      </c>
      <c r="AK2" s="54"/>
      <c r="AL2" s="54"/>
      <c r="AM2" s="54"/>
      <c r="AN2" s="54"/>
      <c r="AO2" s="54"/>
      <c r="AQ2" s="1" t="s">
        <v>207</v>
      </c>
      <c r="AS2" s="1" t="s">
        <v>217</v>
      </c>
      <c r="AT2" s="54" t="s">
        <v>236</v>
      </c>
      <c r="AU2" s="54"/>
      <c r="AV2" s="54"/>
      <c r="AW2" s="54"/>
      <c r="AX2" s="54" t="s">
        <v>242</v>
      </c>
      <c r="AY2" s="54"/>
      <c r="AZ2" s="54" t="s">
        <v>245</v>
      </c>
      <c r="BA2" s="54"/>
      <c r="BB2" s="54" t="s">
        <v>250</v>
      </c>
      <c r="BC2" s="54"/>
      <c r="BD2" s="54"/>
      <c r="BE2" s="54"/>
      <c r="BF2" s="54"/>
      <c r="BG2" s="54"/>
      <c r="BH2" s="54"/>
      <c r="BI2" s="54"/>
      <c r="BJ2" s="54"/>
    </row>
    <row r="3" spans="2:62" x14ac:dyDescent="0.25">
      <c r="B3" s="44">
        <v>15</v>
      </c>
      <c r="C3" s="45">
        <v>14</v>
      </c>
      <c r="D3" s="45">
        <v>13</v>
      </c>
      <c r="E3" s="46">
        <v>12</v>
      </c>
      <c r="F3" s="44">
        <v>11</v>
      </c>
      <c r="G3" s="45">
        <v>10</v>
      </c>
      <c r="H3" s="45">
        <v>9</v>
      </c>
      <c r="I3" s="46">
        <v>8</v>
      </c>
      <c r="J3" s="44">
        <v>7</v>
      </c>
      <c r="K3" s="45">
        <v>6</v>
      </c>
      <c r="L3" s="45">
        <v>5</v>
      </c>
      <c r="M3" s="45">
        <v>4</v>
      </c>
      <c r="N3" s="45">
        <v>3</v>
      </c>
      <c r="O3" s="45">
        <v>2</v>
      </c>
      <c r="P3" s="45">
        <v>1</v>
      </c>
      <c r="Q3" s="46">
        <v>0</v>
      </c>
      <c r="AA3" s="1" t="s">
        <v>223</v>
      </c>
      <c r="AB3" s="1" t="s">
        <v>176</v>
      </c>
      <c r="AC3" s="1" t="s">
        <v>222</v>
      </c>
      <c r="AD3" s="1" t="s">
        <v>177</v>
      </c>
      <c r="AE3" s="1" t="s">
        <v>281</v>
      </c>
      <c r="AF3" s="1" t="s">
        <v>183</v>
      </c>
      <c r="AG3" s="1" t="s">
        <v>22</v>
      </c>
      <c r="AH3" s="1" t="s">
        <v>22</v>
      </c>
      <c r="AI3" s="1" t="s">
        <v>181</v>
      </c>
      <c r="AJ3" s="1" t="s">
        <v>205</v>
      </c>
      <c r="AK3" s="1" t="s">
        <v>206</v>
      </c>
      <c r="AL3" s="1" t="s">
        <v>207</v>
      </c>
      <c r="AM3" s="1" t="s">
        <v>278</v>
      </c>
      <c r="AN3" s="1" t="s">
        <v>300</v>
      </c>
      <c r="AO3" s="1" t="s">
        <v>301</v>
      </c>
      <c r="AP3" s="1" t="s">
        <v>627</v>
      </c>
      <c r="AQ3" s="1" t="s">
        <v>22</v>
      </c>
      <c r="AR3" s="1" t="s">
        <v>181</v>
      </c>
      <c r="AS3" s="1" t="s">
        <v>22</v>
      </c>
      <c r="AT3" s="1" t="s">
        <v>294</v>
      </c>
      <c r="AU3" s="1" t="s">
        <v>288</v>
      </c>
      <c r="AV3" s="1" t="s">
        <v>290</v>
      </c>
      <c r="AX3" s="1" t="s">
        <v>22</v>
      </c>
      <c r="AY3" s="1" t="s">
        <v>289</v>
      </c>
      <c r="AZ3" s="1" t="s">
        <v>22</v>
      </c>
      <c r="BA3" s="1" t="s">
        <v>181</v>
      </c>
      <c r="BB3" s="1" t="s">
        <v>22</v>
      </c>
      <c r="BC3" s="1" t="s">
        <v>10</v>
      </c>
      <c r="BG3" s="1" t="s">
        <v>0</v>
      </c>
      <c r="BH3" s="1" t="s">
        <v>6</v>
      </c>
      <c r="BI3" s="1" t="s">
        <v>4</v>
      </c>
      <c r="BJ3" s="1" t="s">
        <v>5</v>
      </c>
    </row>
    <row r="4" spans="2:62" x14ac:dyDescent="0.25">
      <c r="B4" s="42">
        <v>0</v>
      </c>
      <c r="C4" s="1">
        <v>0</v>
      </c>
      <c r="D4" s="1">
        <v>0</v>
      </c>
      <c r="E4" s="16">
        <v>0</v>
      </c>
      <c r="F4" s="42">
        <v>0</v>
      </c>
      <c r="G4" s="1">
        <v>0</v>
      </c>
      <c r="H4" s="1">
        <v>0</v>
      </c>
      <c r="I4" s="16">
        <v>0</v>
      </c>
      <c r="J4" s="42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6">
        <v>0</v>
      </c>
      <c r="S4" s="1" t="s">
        <v>43</v>
      </c>
      <c r="T4" s="1" t="s">
        <v>44</v>
      </c>
      <c r="U4" s="1" t="s">
        <v>64</v>
      </c>
      <c r="V4" s="1" t="s">
        <v>64</v>
      </c>
      <c r="W4" s="1" t="s">
        <v>64</v>
      </c>
      <c r="AA4" s="1" t="s">
        <v>64</v>
      </c>
      <c r="AB4" s="1" t="s">
        <v>64</v>
      </c>
      <c r="AC4" s="1" t="s">
        <v>64</v>
      </c>
      <c r="AD4" s="1" t="s">
        <v>64</v>
      </c>
      <c r="AE4" s="1" t="s">
        <v>64</v>
      </c>
      <c r="AF4" s="1" t="s">
        <v>64</v>
      </c>
      <c r="AG4" s="1" t="s">
        <v>64</v>
      </c>
      <c r="AH4" s="1" t="s">
        <v>64</v>
      </c>
      <c r="AI4" s="1" t="s">
        <v>64</v>
      </c>
      <c r="AJ4" s="1" t="s">
        <v>64</v>
      </c>
      <c r="AK4" s="1" t="s">
        <v>64</v>
      </c>
      <c r="AL4" s="1" t="s">
        <v>64</v>
      </c>
      <c r="AM4" s="1" t="s">
        <v>64</v>
      </c>
      <c r="AN4" s="1" t="s">
        <v>64</v>
      </c>
      <c r="AO4" s="1" t="s">
        <v>64</v>
      </c>
      <c r="AP4" s="1" t="s">
        <v>64</v>
      </c>
      <c r="AQ4" s="1" t="s">
        <v>64</v>
      </c>
      <c r="AR4" s="1" t="s">
        <v>64</v>
      </c>
      <c r="AS4" s="1" t="s">
        <v>64</v>
      </c>
      <c r="AT4" s="1" t="s">
        <v>64</v>
      </c>
      <c r="AU4" s="1" t="s">
        <v>64</v>
      </c>
      <c r="AV4" s="1" t="s">
        <v>64</v>
      </c>
      <c r="AW4" s="1" t="s">
        <v>238</v>
      </c>
      <c r="AX4" s="1" t="s">
        <v>64</v>
      </c>
      <c r="AY4" s="1" t="s">
        <v>64</v>
      </c>
      <c r="AZ4" s="1" t="s">
        <v>64</v>
      </c>
      <c r="BA4" s="1" t="s">
        <v>64</v>
      </c>
      <c r="BB4" s="1" t="s">
        <v>64</v>
      </c>
      <c r="BC4" s="1" t="s">
        <v>64</v>
      </c>
      <c r="BD4" s="1" t="s">
        <v>64</v>
      </c>
      <c r="BE4" s="1" t="s">
        <v>64</v>
      </c>
      <c r="BF4" s="1" t="s">
        <v>64</v>
      </c>
      <c r="BG4" s="1" t="s">
        <v>64</v>
      </c>
      <c r="BH4" s="1" t="s">
        <v>64</v>
      </c>
      <c r="BI4" s="1" t="s">
        <v>64</v>
      </c>
      <c r="BJ4" s="1" t="s">
        <v>64</v>
      </c>
    </row>
    <row r="5" spans="2:62" x14ac:dyDescent="0.25">
      <c r="B5" s="42">
        <v>0</v>
      </c>
      <c r="C5" s="1">
        <v>0</v>
      </c>
      <c r="D5" s="1">
        <v>0</v>
      </c>
      <c r="E5" s="16">
        <v>0</v>
      </c>
      <c r="F5" s="42">
        <v>0</v>
      </c>
      <c r="G5" s="1">
        <v>0</v>
      </c>
      <c r="H5" s="1">
        <v>0</v>
      </c>
      <c r="I5" s="16">
        <v>0</v>
      </c>
      <c r="J5" s="42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6">
        <v>1</v>
      </c>
      <c r="S5" s="1" t="s">
        <v>46</v>
      </c>
      <c r="T5" s="1" t="s">
        <v>47</v>
      </c>
      <c r="U5" s="1" t="s">
        <v>64</v>
      </c>
      <c r="V5" s="1" t="s">
        <v>64</v>
      </c>
      <c r="W5" s="1" t="s">
        <v>64</v>
      </c>
      <c r="AA5" s="1" t="s">
        <v>64</v>
      </c>
      <c r="AB5" s="1" t="s">
        <v>64</v>
      </c>
      <c r="AC5" s="1" t="s">
        <v>64</v>
      </c>
      <c r="AD5" s="1" t="s">
        <v>64</v>
      </c>
      <c r="AE5" s="1" t="s">
        <v>64</v>
      </c>
      <c r="AF5" s="1" t="s">
        <v>64</v>
      </c>
      <c r="AG5" s="1" t="s">
        <v>64</v>
      </c>
      <c r="AH5" s="1" t="s">
        <v>64</v>
      </c>
      <c r="AI5" s="1" t="s">
        <v>64</v>
      </c>
      <c r="AJ5" s="1" t="s">
        <v>64</v>
      </c>
      <c r="AK5" s="1" t="s">
        <v>64</v>
      </c>
      <c r="AL5" s="1" t="s">
        <v>64</v>
      </c>
      <c r="AM5" s="1" t="s">
        <v>64</v>
      </c>
      <c r="AN5" s="1" t="s">
        <v>64</v>
      </c>
      <c r="AO5" s="1" t="s">
        <v>64</v>
      </c>
      <c r="AP5" s="1" t="s">
        <v>64</v>
      </c>
      <c r="AQ5" s="1" t="s">
        <v>64</v>
      </c>
      <c r="AR5" s="1" t="s">
        <v>64</v>
      </c>
      <c r="AS5" s="1" t="s">
        <v>64</v>
      </c>
      <c r="AT5" s="1" t="s">
        <v>64</v>
      </c>
      <c r="AU5" s="1" t="s">
        <v>64</v>
      </c>
      <c r="AV5" s="1" t="s">
        <v>64</v>
      </c>
      <c r="AW5" s="1" t="s">
        <v>240</v>
      </c>
      <c r="AX5" s="1" t="s">
        <v>64</v>
      </c>
      <c r="AY5" s="1" t="s">
        <v>64</v>
      </c>
      <c r="AZ5" s="1" t="s">
        <v>64</v>
      </c>
      <c r="BA5" s="1" t="s">
        <v>64</v>
      </c>
      <c r="BB5" s="1" t="s">
        <v>64</v>
      </c>
      <c r="BC5" s="1" t="s">
        <v>64</v>
      </c>
      <c r="BD5" s="1" t="s">
        <v>64</v>
      </c>
      <c r="BE5" s="1" t="s">
        <v>64</v>
      </c>
      <c r="BF5" s="1" t="s">
        <v>64</v>
      </c>
      <c r="BG5" s="1" t="s">
        <v>64</v>
      </c>
      <c r="BH5" s="1" t="s">
        <v>64</v>
      </c>
      <c r="BI5" s="1" t="s">
        <v>64</v>
      </c>
      <c r="BJ5" s="1" t="s">
        <v>64</v>
      </c>
    </row>
    <row r="6" spans="2:62" x14ac:dyDescent="0.25">
      <c r="B6" s="42">
        <v>0</v>
      </c>
      <c r="C6" s="1">
        <v>0</v>
      </c>
      <c r="D6" s="1">
        <v>0</v>
      </c>
      <c r="E6" s="16">
        <v>1</v>
      </c>
      <c r="F6" s="42" t="s">
        <v>72</v>
      </c>
      <c r="G6" s="1" t="s">
        <v>72</v>
      </c>
      <c r="H6" s="1" t="s">
        <v>72</v>
      </c>
      <c r="I6" s="16" t="s">
        <v>72</v>
      </c>
      <c r="J6" s="42" t="s">
        <v>84</v>
      </c>
      <c r="K6" s="1" t="s">
        <v>84</v>
      </c>
      <c r="L6" s="1" t="s">
        <v>84</v>
      </c>
      <c r="M6" s="1" t="s">
        <v>84</v>
      </c>
      <c r="N6" s="1">
        <v>0</v>
      </c>
      <c r="O6" s="1">
        <v>0</v>
      </c>
      <c r="P6" s="1">
        <v>0</v>
      </c>
      <c r="Q6" s="16">
        <v>0</v>
      </c>
      <c r="S6" s="1" t="s">
        <v>60</v>
      </c>
      <c r="T6" s="1" t="s">
        <v>61</v>
      </c>
      <c r="U6" s="1" t="s">
        <v>65</v>
      </c>
      <c r="V6" s="1" t="s">
        <v>66</v>
      </c>
      <c r="W6" s="1" t="s">
        <v>64</v>
      </c>
      <c r="AA6" s="1" t="s">
        <v>64</v>
      </c>
      <c r="AB6" s="1" t="s">
        <v>64</v>
      </c>
      <c r="AC6" s="1">
        <v>1</v>
      </c>
      <c r="AD6" s="1" t="s">
        <v>179</v>
      </c>
      <c r="AE6" s="1" t="s">
        <v>64</v>
      </c>
      <c r="AF6" s="1" t="s">
        <v>64</v>
      </c>
      <c r="AG6" s="1" t="s">
        <v>64</v>
      </c>
      <c r="AH6" s="1" t="s">
        <v>64</v>
      </c>
      <c r="AI6" s="1" t="s">
        <v>64</v>
      </c>
      <c r="AJ6" s="1" t="s">
        <v>64</v>
      </c>
      <c r="AK6" s="1" t="s">
        <v>203</v>
      </c>
      <c r="AL6" s="1" t="s">
        <v>64</v>
      </c>
      <c r="AM6" s="1" t="s">
        <v>64</v>
      </c>
      <c r="AN6" s="1" t="s">
        <v>64</v>
      </c>
      <c r="AO6" s="1" t="s">
        <v>64</v>
      </c>
      <c r="AP6" s="1" t="s">
        <v>64</v>
      </c>
      <c r="AQ6" s="1">
        <v>1</v>
      </c>
      <c r="AR6" s="1" t="s">
        <v>178</v>
      </c>
      <c r="AS6" s="1" t="s">
        <v>64</v>
      </c>
      <c r="AT6" s="1" t="s">
        <v>64</v>
      </c>
      <c r="AU6" s="1" t="s">
        <v>64</v>
      </c>
      <c r="AV6" s="1" t="s">
        <v>64</v>
      </c>
      <c r="AW6" s="1" t="s">
        <v>238</v>
      </c>
      <c r="AX6" s="1" t="s">
        <v>64</v>
      </c>
      <c r="AY6" s="1" t="s">
        <v>64</v>
      </c>
      <c r="AZ6" s="1" t="s">
        <v>64</v>
      </c>
      <c r="BA6" s="1" t="s">
        <v>64</v>
      </c>
      <c r="BB6" s="1" t="s">
        <v>64</v>
      </c>
      <c r="BC6" s="1" t="s">
        <v>64</v>
      </c>
      <c r="BD6" s="1" t="s">
        <v>64</v>
      </c>
      <c r="BE6" s="1" t="s">
        <v>64</v>
      </c>
      <c r="BF6" s="1" t="s">
        <v>64</v>
      </c>
      <c r="BG6" s="1" t="s">
        <v>64</v>
      </c>
      <c r="BH6" s="1" t="s">
        <v>64</v>
      </c>
      <c r="BI6" s="1" t="s">
        <v>64</v>
      </c>
      <c r="BJ6" s="1" t="s">
        <v>64</v>
      </c>
    </row>
    <row r="7" spans="2:62" x14ac:dyDescent="0.25">
      <c r="B7" s="42">
        <v>0</v>
      </c>
      <c r="C7" s="1">
        <v>0</v>
      </c>
      <c r="D7" s="1">
        <v>0</v>
      </c>
      <c r="E7" s="16">
        <v>1</v>
      </c>
      <c r="F7" s="42" t="s">
        <v>72</v>
      </c>
      <c r="G7" s="1" t="s">
        <v>72</v>
      </c>
      <c r="H7" s="1" t="s">
        <v>72</v>
      </c>
      <c r="I7" s="16" t="s">
        <v>72</v>
      </c>
      <c r="J7" s="42" t="s">
        <v>84</v>
      </c>
      <c r="K7" s="1" t="s">
        <v>84</v>
      </c>
      <c r="L7" s="1" t="s">
        <v>84</v>
      </c>
      <c r="M7" s="1" t="s">
        <v>84</v>
      </c>
      <c r="N7" s="1">
        <v>0</v>
      </c>
      <c r="O7" s="1">
        <v>0</v>
      </c>
      <c r="P7" s="1">
        <v>0</v>
      </c>
      <c r="Q7" s="16">
        <v>1</v>
      </c>
      <c r="S7" s="1" t="s">
        <v>148</v>
      </c>
      <c r="T7" s="1" t="s">
        <v>69</v>
      </c>
      <c r="U7" s="1" t="s">
        <v>65</v>
      </c>
      <c r="V7" s="1" t="s">
        <v>66</v>
      </c>
      <c r="W7" s="1" t="s">
        <v>64</v>
      </c>
      <c r="X7" s="1" t="s">
        <v>180</v>
      </c>
      <c r="AA7" s="1">
        <v>1</v>
      </c>
      <c r="AB7" s="1" t="s">
        <v>178</v>
      </c>
      <c r="AC7" s="1">
        <v>1</v>
      </c>
      <c r="AD7" s="1" t="s">
        <v>179</v>
      </c>
      <c r="AE7" s="1" t="s">
        <v>64</v>
      </c>
      <c r="AF7" s="1" t="s">
        <v>64</v>
      </c>
      <c r="AG7" s="1" t="s">
        <v>64</v>
      </c>
      <c r="AH7" s="1" t="s">
        <v>64</v>
      </c>
      <c r="AI7" s="1" t="s">
        <v>64</v>
      </c>
      <c r="AJ7" s="1" t="s">
        <v>204</v>
      </c>
      <c r="AK7" s="1" t="s">
        <v>203</v>
      </c>
      <c r="AL7" s="1" t="s">
        <v>64</v>
      </c>
      <c r="AM7" s="1" t="s">
        <v>64</v>
      </c>
      <c r="AN7" s="1" t="s">
        <v>64</v>
      </c>
      <c r="AO7" s="1" t="s">
        <v>64</v>
      </c>
      <c r="AP7" s="1" t="s">
        <v>64</v>
      </c>
      <c r="AQ7" s="1" t="s">
        <v>64</v>
      </c>
      <c r="AR7" s="1" t="s">
        <v>64</v>
      </c>
      <c r="AS7" s="1" t="s">
        <v>64</v>
      </c>
      <c r="AT7" s="1" t="s">
        <v>64</v>
      </c>
      <c r="AU7" s="1" t="s">
        <v>64</v>
      </c>
      <c r="AV7" s="1" t="s">
        <v>64</v>
      </c>
      <c r="AW7" s="1" t="s">
        <v>238</v>
      </c>
      <c r="AX7" s="1" t="s">
        <v>64</v>
      </c>
      <c r="AY7" s="1" t="s">
        <v>64</v>
      </c>
      <c r="AZ7" s="1" t="s">
        <v>64</v>
      </c>
      <c r="BA7" s="1" t="s">
        <v>64</v>
      </c>
      <c r="BB7" s="1">
        <v>1</v>
      </c>
      <c r="BC7" s="1">
        <v>0</v>
      </c>
      <c r="BD7" s="1">
        <v>0</v>
      </c>
      <c r="BE7" s="1">
        <v>0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</row>
    <row r="8" spans="2:62" x14ac:dyDescent="0.25">
      <c r="B8" s="42">
        <v>0</v>
      </c>
      <c r="C8" s="1">
        <v>0</v>
      </c>
      <c r="D8" s="1">
        <v>0</v>
      </c>
      <c r="E8" s="16">
        <v>1</v>
      </c>
      <c r="F8" s="42" t="s">
        <v>84</v>
      </c>
      <c r="G8" s="1" t="s">
        <v>84</v>
      </c>
      <c r="H8" s="1" t="s">
        <v>84</v>
      </c>
      <c r="I8" s="16" t="s">
        <v>84</v>
      </c>
      <c r="J8" s="42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6">
        <v>0</v>
      </c>
      <c r="S8" s="1" t="s">
        <v>96</v>
      </c>
      <c r="T8" s="1" t="s">
        <v>102</v>
      </c>
      <c r="U8" s="1" t="s">
        <v>66</v>
      </c>
      <c r="V8" s="1" t="s">
        <v>64</v>
      </c>
      <c r="W8" s="1" t="s">
        <v>64</v>
      </c>
      <c r="AA8" s="1">
        <v>1</v>
      </c>
      <c r="AB8" s="1" t="s">
        <v>179</v>
      </c>
      <c r="AC8" s="1" t="s">
        <v>64</v>
      </c>
      <c r="AD8" s="1" t="s">
        <v>64</v>
      </c>
      <c r="AE8" s="1" t="s">
        <v>64</v>
      </c>
      <c r="AF8" s="1" t="s">
        <v>64</v>
      </c>
      <c r="AG8" s="1" t="s">
        <v>64</v>
      </c>
      <c r="AH8" s="1" t="s">
        <v>64</v>
      </c>
      <c r="AI8" s="1" t="s">
        <v>64</v>
      </c>
      <c r="AJ8" s="1" t="s">
        <v>64</v>
      </c>
      <c r="AK8" s="1" t="s">
        <v>64</v>
      </c>
      <c r="AL8" s="1" t="s">
        <v>64</v>
      </c>
      <c r="AM8" s="1" t="s">
        <v>64</v>
      </c>
      <c r="AN8" s="1" t="s">
        <v>203</v>
      </c>
      <c r="AO8" s="1" t="s">
        <v>202</v>
      </c>
      <c r="AP8" s="1" t="s">
        <v>64</v>
      </c>
      <c r="AQ8" s="1" t="s">
        <v>64</v>
      </c>
      <c r="AR8" s="1" t="s">
        <v>64</v>
      </c>
      <c r="AS8" s="1">
        <v>1</v>
      </c>
      <c r="AT8" s="1" t="s">
        <v>64</v>
      </c>
      <c r="AU8" s="1" t="s">
        <v>64</v>
      </c>
      <c r="AV8" s="1" t="s">
        <v>64</v>
      </c>
      <c r="AW8" s="1" t="s">
        <v>238</v>
      </c>
      <c r="AX8" s="1" t="s">
        <v>64</v>
      </c>
      <c r="AY8" s="1" t="s">
        <v>220</v>
      </c>
      <c r="AZ8" s="1" t="s">
        <v>64</v>
      </c>
      <c r="BA8" s="1" t="s">
        <v>64</v>
      </c>
      <c r="BB8" s="1" t="s">
        <v>64</v>
      </c>
      <c r="BC8" s="1" t="s">
        <v>64</v>
      </c>
      <c r="BD8" s="1" t="s">
        <v>64</v>
      </c>
      <c r="BE8" s="1" t="s">
        <v>64</v>
      </c>
      <c r="BF8" s="1" t="s">
        <v>64</v>
      </c>
      <c r="BG8" s="1" t="s">
        <v>64</v>
      </c>
      <c r="BH8" s="1" t="s">
        <v>64</v>
      </c>
      <c r="BI8" s="1" t="s">
        <v>64</v>
      </c>
      <c r="BJ8" s="1" t="s">
        <v>64</v>
      </c>
    </row>
    <row r="9" spans="2:62" x14ac:dyDescent="0.25">
      <c r="B9" s="42">
        <v>0</v>
      </c>
      <c r="C9" s="1">
        <v>0</v>
      </c>
      <c r="D9" s="1">
        <v>0</v>
      </c>
      <c r="E9" s="16">
        <v>1</v>
      </c>
      <c r="F9" s="42" t="s">
        <v>72</v>
      </c>
      <c r="G9" s="1" t="s">
        <v>72</v>
      </c>
      <c r="H9" s="1" t="s">
        <v>72</v>
      </c>
      <c r="I9" s="16" t="s">
        <v>72</v>
      </c>
      <c r="J9" s="42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6">
        <v>1</v>
      </c>
      <c r="S9" s="1" t="s">
        <v>97</v>
      </c>
      <c r="T9" s="1" t="s">
        <v>103</v>
      </c>
      <c r="U9" s="1" t="s">
        <v>65</v>
      </c>
      <c r="V9" s="1" t="s">
        <v>64</v>
      </c>
      <c r="W9" s="1" t="s">
        <v>64</v>
      </c>
      <c r="AA9" s="1" t="s">
        <v>64</v>
      </c>
      <c r="AB9" s="1" t="s">
        <v>64</v>
      </c>
      <c r="AC9" s="1" t="s">
        <v>64</v>
      </c>
      <c r="AD9" s="1" t="s">
        <v>64</v>
      </c>
      <c r="AE9" s="1" t="s">
        <v>64</v>
      </c>
      <c r="AF9" s="1" t="s">
        <v>64</v>
      </c>
      <c r="AG9" s="1">
        <v>1</v>
      </c>
      <c r="AH9" s="1" t="s">
        <v>64</v>
      </c>
      <c r="AI9" s="1" t="s">
        <v>64</v>
      </c>
      <c r="AJ9" s="1" t="s">
        <v>64</v>
      </c>
      <c r="AK9" s="1" t="s">
        <v>64</v>
      </c>
      <c r="AL9" s="1">
        <v>10</v>
      </c>
      <c r="AM9" s="1" t="s">
        <v>203</v>
      </c>
      <c r="AN9" s="1" t="s">
        <v>64</v>
      </c>
      <c r="AO9" s="1" t="s">
        <v>64</v>
      </c>
      <c r="AP9" s="1" t="s">
        <v>64</v>
      </c>
      <c r="AQ9" s="1">
        <v>1</v>
      </c>
      <c r="AR9" s="1" t="s">
        <v>178</v>
      </c>
      <c r="AS9" s="1" t="s">
        <v>64</v>
      </c>
      <c r="AT9" s="1" t="s">
        <v>64</v>
      </c>
      <c r="AU9" s="1" t="s">
        <v>64</v>
      </c>
      <c r="AV9" s="1" t="s">
        <v>64</v>
      </c>
      <c r="AW9" s="1" t="s">
        <v>238</v>
      </c>
      <c r="AX9" s="1" t="s">
        <v>64</v>
      </c>
      <c r="AY9" s="1" t="s">
        <v>219</v>
      </c>
      <c r="AZ9" s="1" t="s">
        <v>64</v>
      </c>
      <c r="BA9" s="1" t="s">
        <v>64</v>
      </c>
      <c r="BB9" s="1" t="s">
        <v>64</v>
      </c>
      <c r="BC9" s="1" t="s">
        <v>64</v>
      </c>
      <c r="BD9" s="1" t="s">
        <v>64</v>
      </c>
      <c r="BE9" s="1" t="s">
        <v>64</v>
      </c>
      <c r="BF9" s="1" t="s">
        <v>64</v>
      </c>
      <c r="BG9" s="1" t="s">
        <v>64</v>
      </c>
      <c r="BH9" s="1" t="s">
        <v>64</v>
      </c>
      <c r="BI9" s="1" t="s">
        <v>64</v>
      </c>
      <c r="BJ9" s="1" t="s">
        <v>64</v>
      </c>
    </row>
    <row r="10" spans="2:62" x14ac:dyDescent="0.25">
      <c r="B10" s="42">
        <v>0</v>
      </c>
      <c r="C10" s="1">
        <v>0</v>
      </c>
      <c r="D10" s="1">
        <v>0</v>
      </c>
      <c r="E10" s="16">
        <v>1</v>
      </c>
      <c r="F10" s="42" t="s">
        <v>72</v>
      </c>
      <c r="G10" s="1" t="s">
        <v>72</v>
      </c>
      <c r="H10" s="1" t="s">
        <v>72</v>
      </c>
      <c r="I10" s="16" t="s">
        <v>72</v>
      </c>
      <c r="J10" s="42" t="s">
        <v>157</v>
      </c>
      <c r="K10" s="1" t="s">
        <v>157</v>
      </c>
      <c r="L10" s="1" t="s">
        <v>157</v>
      </c>
      <c r="M10" s="1" t="s">
        <v>157</v>
      </c>
      <c r="N10" s="1">
        <v>0</v>
      </c>
      <c r="O10" s="1">
        <v>1</v>
      </c>
      <c r="P10" s="1">
        <v>0</v>
      </c>
      <c r="Q10" s="16">
        <v>0</v>
      </c>
      <c r="S10" s="1" t="s">
        <v>155</v>
      </c>
      <c r="T10" s="1" t="s">
        <v>158</v>
      </c>
      <c r="U10" s="1" t="s">
        <v>65</v>
      </c>
      <c r="V10" s="1" t="s">
        <v>160</v>
      </c>
      <c r="W10" s="1" t="s">
        <v>64</v>
      </c>
      <c r="AA10" s="1" t="s">
        <v>64</v>
      </c>
      <c r="AB10" s="1" t="s">
        <v>64</v>
      </c>
      <c r="AC10" s="1" t="s">
        <v>64</v>
      </c>
      <c r="AD10" s="1" t="s">
        <v>64</v>
      </c>
      <c r="AE10" s="1" t="s">
        <v>64</v>
      </c>
      <c r="AF10" s="1" t="s">
        <v>64</v>
      </c>
      <c r="AG10" s="1" t="s">
        <v>64</v>
      </c>
      <c r="AH10" s="1">
        <v>1</v>
      </c>
      <c r="AI10" s="1" t="s">
        <v>246</v>
      </c>
      <c r="AJ10" s="1" t="s">
        <v>64</v>
      </c>
      <c r="AK10" s="1" t="s">
        <v>64</v>
      </c>
      <c r="AL10" s="1" t="s">
        <v>203</v>
      </c>
      <c r="AM10" s="1" t="s">
        <v>64</v>
      </c>
      <c r="AN10" s="1" t="s">
        <v>64</v>
      </c>
      <c r="AO10" s="1" t="s">
        <v>64</v>
      </c>
      <c r="AP10" s="1" t="s">
        <v>64</v>
      </c>
      <c r="AQ10" s="1">
        <v>1</v>
      </c>
      <c r="AR10" s="1" t="s">
        <v>178</v>
      </c>
      <c r="AS10" s="1" t="s">
        <v>64</v>
      </c>
      <c r="AT10" s="1" t="s">
        <v>64</v>
      </c>
      <c r="AU10" s="1" t="s">
        <v>64</v>
      </c>
      <c r="AV10" s="1" t="s">
        <v>64</v>
      </c>
      <c r="AW10" s="1" t="s">
        <v>238</v>
      </c>
      <c r="AX10" s="1" t="s">
        <v>64</v>
      </c>
      <c r="AY10" s="1" t="s">
        <v>64</v>
      </c>
      <c r="AZ10" s="1" t="s">
        <v>64</v>
      </c>
      <c r="BA10" s="1" t="s">
        <v>64</v>
      </c>
      <c r="BB10" s="1" t="s">
        <v>64</v>
      </c>
      <c r="BC10" s="1" t="s">
        <v>64</v>
      </c>
      <c r="BD10" s="1" t="s">
        <v>64</v>
      </c>
      <c r="BE10" s="1" t="s">
        <v>64</v>
      </c>
      <c r="BF10" s="1" t="s">
        <v>64</v>
      </c>
      <c r="BG10" s="1" t="s">
        <v>64</v>
      </c>
      <c r="BH10" s="1" t="s">
        <v>64</v>
      </c>
      <c r="BI10" s="1" t="s">
        <v>64</v>
      </c>
      <c r="BJ10" s="1" t="s">
        <v>64</v>
      </c>
    </row>
    <row r="11" spans="2:62" x14ac:dyDescent="0.25">
      <c r="B11" s="42">
        <v>0</v>
      </c>
      <c r="C11" s="1">
        <v>0</v>
      </c>
      <c r="D11" s="1">
        <v>0</v>
      </c>
      <c r="E11" s="16">
        <v>1</v>
      </c>
      <c r="F11" s="42" t="s">
        <v>84</v>
      </c>
      <c r="G11" s="1" t="s">
        <v>84</v>
      </c>
      <c r="H11" s="1" t="s">
        <v>84</v>
      </c>
      <c r="I11" s="16" t="s">
        <v>84</v>
      </c>
      <c r="J11" s="42" t="s">
        <v>157</v>
      </c>
      <c r="K11" s="1" t="s">
        <v>157</v>
      </c>
      <c r="L11" s="1" t="s">
        <v>157</v>
      </c>
      <c r="M11" s="1" t="s">
        <v>157</v>
      </c>
      <c r="N11" s="1">
        <v>0</v>
      </c>
      <c r="O11" s="1">
        <v>1</v>
      </c>
      <c r="P11" s="1">
        <v>0</v>
      </c>
      <c r="Q11" s="16">
        <v>1</v>
      </c>
      <c r="S11" s="1" t="s">
        <v>156</v>
      </c>
      <c r="T11" s="1" t="s">
        <v>159</v>
      </c>
      <c r="U11" s="1" t="s">
        <v>66</v>
      </c>
      <c r="V11" s="1" t="s">
        <v>160</v>
      </c>
      <c r="W11" s="1" t="s">
        <v>64</v>
      </c>
      <c r="AA11" s="1">
        <v>1</v>
      </c>
      <c r="AB11" s="1" t="s">
        <v>179</v>
      </c>
      <c r="AC11" s="1" t="s">
        <v>64</v>
      </c>
      <c r="AD11" s="1" t="s">
        <v>64</v>
      </c>
      <c r="AE11" s="1" t="s">
        <v>64</v>
      </c>
      <c r="AF11" s="1" t="s">
        <v>64</v>
      </c>
      <c r="AG11" s="1" t="s">
        <v>64</v>
      </c>
      <c r="AH11" s="1" t="s">
        <v>64</v>
      </c>
      <c r="AI11" s="1" t="s">
        <v>64</v>
      </c>
      <c r="AJ11" s="1" t="s">
        <v>64</v>
      </c>
      <c r="AK11" s="1" t="s">
        <v>64</v>
      </c>
      <c r="AL11" s="1" t="s">
        <v>64</v>
      </c>
      <c r="AM11" s="1" t="s">
        <v>64</v>
      </c>
      <c r="AN11" s="1" t="s">
        <v>64</v>
      </c>
      <c r="AO11" s="1" t="s">
        <v>64</v>
      </c>
      <c r="AP11" s="1" t="s">
        <v>64</v>
      </c>
      <c r="AQ11" s="1" t="s">
        <v>64</v>
      </c>
      <c r="AR11" s="1" t="s">
        <v>64</v>
      </c>
      <c r="AS11" s="1" t="s">
        <v>64</v>
      </c>
      <c r="AT11" s="1" t="s">
        <v>64</v>
      </c>
      <c r="AU11" s="1" t="s">
        <v>64</v>
      </c>
      <c r="AV11" s="1" t="s">
        <v>64</v>
      </c>
      <c r="AW11" s="1" t="s">
        <v>238</v>
      </c>
      <c r="AX11" s="1" t="s">
        <v>64</v>
      </c>
      <c r="AY11" s="1" t="s">
        <v>64</v>
      </c>
      <c r="AZ11" s="1">
        <v>1</v>
      </c>
      <c r="BA11" s="1" t="s">
        <v>246</v>
      </c>
      <c r="BB11" s="1" t="s">
        <v>64</v>
      </c>
      <c r="BC11" s="1" t="s">
        <v>64</v>
      </c>
      <c r="BD11" s="1" t="s">
        <v>64</v>
      </c>
      <c r="BE11" s="1" t="s">
        <v>64</v>
      </c>
      <c r="BF11" s="1" t="s">
        <v>64</v>
      </c>
      <c r="BG11" s="1" t="s">
        <v>64</v>
      </c>
      <c r="BH11" s="1" t="s">
        <v>64</v>
      </c>
      <c r="BI11" s="1" t="s">
        <v>64</v>
      </c>
      <c r="BJ11" s="1" t="s">
        <v>64</v>
      </c>
    </row>
    <row r="12" spans="2:62" x14ac:dyDescent="0.25">
      <c r="B12" s="42">
        <v>0</v>
      </c>
      <c r="C12" s="1">
        <v>0</v>
      </c>
      <c r="D12" s="1">
        <v>1</v>
      </c>
      <c r="E12" s="16">
        <v>0</v>
      </c>
      <c r="F12" s="42" t="s">
        <v>72</v>
      </c>
      <c r="G12" s="1" t="s">
        <v>72</v>
      </c>
      <c r="H12" s="1" t="s">
        <v>72</v>
      </c>
      <c r="I12" s="16" t="s">
        <v>72</v>
      </c>
      <c r="J12" s="42" t="s">
        <v>84</v>
      </c>
      <c r="K12" s="1" t="s">
        <v>84</v>
      </c>
      <c r="L12" s="1" t="s">
        <v>84</v>
      </c>
      <c r="M12" s="1" t="s">
        <v>84</v>
      </c>
      <c r="N12" s="1">
        <v>0</v>
      </c>
      <c r="O12" s="1">
        <v>0</v>
      </c>
      <c r="P12" s="1">
        <v>0</v>
      </c>
      <c r="Q12" s="16">
        <v>0</v>
      </c>
      <c r="S12" s="1" t="s">
        <v>45</v>
      </c>
      <c r="T12" s="1" t="s">
        <v>92</v>
      </c>
      <c r="U12" s="1" t="s">
        <v>65</v>
      </c>
      <c r="V12" s="1" t="s">
        <v>64</v>
      </c>
      <c r="W12" s="1" t="s">
        <v>64</v>
      </c>
      <c r="X12" s="1" t="s">
        <v>174</v>
      </c>
      <c r="AA12" s="1" t="s">
        <v>64</v>
      </c>
      <c r="AB12" s="1" t="s">
        <v>64</v>
      </c>
      <c r="AC12" s="1">
        <v>1</v>
      </c>
      <c r="AD12" s="1" t="s">
        <v>179</v>
      </c>
      <c r="AE12" s="1" t="s">
        <v>64</v>
      </c>
      <c r="AF12" s="1" t="s">
        <v>64</v>
      </c>
      <c r="AG12" s="1" t="s">
        <v>64</v>
      </c>
      <c r="AH12" s="1" t="s">
        <v>64</v>
      </c>
      <c r="AI12" s="1" t="s">
        <v>64</v>
      </c>
      <c r="AJ12" s="1" t="s">
        <v>203</v>
      </c>
      <c r="AK12" s="1" t="s">
        <v>203</v>
      </c>
      <c r="AL12" s="1" t="s">
        <v>202</v>
      </c>
      <c r="AM12" s="1" t="s">
        <v>64</v>
      </c>
      <c r="AN12" s="1" t="s">
        <v>64</v>
      </c>
      <c r="AO12" s="1" t="s">
        <v>64</v>
      </c>
      <c r="AP12" s="1" t="s">
        <v>64</v>
      </c>
      <c r="AQ12" s="1">
        <v>1</v>
      </c>
      <c r="AR12" s="1" t="s">
        <v>178</v>
      </c>
      <c r="AS12" s="1" t="s">
        <v>64</v>
      </c>
      <c r="AT12" s="1" t="s">
        <v>64</v>
      </c>
      <c r="AU12" s="1" t="s">
        <v>64</v>
      </c>
      <c r="AV12" s="1" t="s">
        <v>64</v>
      </c>
      <c r="AW12" s="1" t="s">
        <v>238</v>
      </c>
      <c r="AX12" s="1" t="s">
        <v>64</v>
      </c>
      <c r="AY12" s="1" t="s">
        <v>64</v>
      </c>
      <c r="AZ12" s="1" t="s">
        <v>64</v>
      </c>
      <c r="BA12" s="1" t="s">
        <v>64</v>
      </c>
      <c r="BB12" s="1">
        <v>1</v>
      </c>
      <c r="BC12" s="1">
        <v>0</v>
      </c>
      <c r="BD12" s="1">
        <v>0</v>
      </c>
      <c r="BE12" s="1">
        <v>0</v>
      </c>
      <c r="BF12" s="1">
        <v>1</v>
      </c>
      <c r="BG12" s="1">
        <v>0</v>
      </c>
      <c r="BH12" s="1">
        <v>1</v>
      </c>
      <c r="BI12" s="1">
        <v>0</v>
      </c>
      <c r="BJ12" s="1">
        <v>1</v>
      </c>
    </row>
    <row r="13" spans="2:62" x14ac:dyDescent="0.25">
      <c r="B13" s="42">
        <v>0</v>
      </c>
      <c r="C13" s="1">
        <v>0</v>
      </c>
      <c r="D13" s="1">
        <v>1</v>
      </c>
      <c r="E13" s="16">
        <v>0</v>
      </c>
      <c r="F13" s="42" t="s">
        <v>72</v>
      </c>
      <c r="G13" s="1" t="s">
        <v>72</v>
      </c>
      <c r="H13" s="1" t="s">
        <v>72</v>
      </c>
      <c r="I13" s="16" t="s">
        <v>72</v>
      </c>
      <c r="J13" s="42" t="s">
        <v>84</v>
      </c>
      <c r="K13" s="1" t="s">
        <v>84</v>
      </c>
      <c r="L13" s="1" t="s">
        <v>84</v>
      </c>
      <c r="M13" s="1" t="s">
        <v>84</v>
      </c>
      <c r="N13" s="1">
        <v>0</v>
      </c>
      <c r="O13" s="1">
        <v>0</v>
      </c>
      <c r="P13" s="1">
        <v>0</v>
      </c>
      <c r="Q13" s="16">
        <v>1</v>
      </c>
      <c r="S13" s="1" t="s">
        <v>21</v>
      </c>
      <c r="T13" s="1" t="s">
        <v>93</v>
      </c>
      <c r="U13" s="1" t="s">
        <v>65</v>
      </c>
      <c r="V13" s="1" t="s">
        <v>64</v>
      </c>
      <c r="W13" s="1" t="s">
        <v>64</v>
      </c>
      <c r="X13" s="1" t="s">
        <v>175</v>
      </c>
      <c r="AA13" s="1" t="s">
        <v>64</v>
      </c>
      <c r="AB13" s="1" t="s">
        <v>64</v>
      </c>
      <c r="AC13" s="1">
        <v>1</v>
      </c>
      <c r="AD13" s="1" t="s">
        <v>179</v>
      </c>
      <c r="AE13" s="1" t="s">
        <v>64</v>
      </c>
      <c r="AF13" s="1" t="s">
        <v>64</v>
      </c>
      <c r="AG13" s="1" t="s">
        <v>64</v>
      </c>
      <c r="AH13" s="1" t="s">
        <v>64</v>
      </c>
      <c r="AI13" s="1" t="s">
        <v>64</v>
      </c>
      <c r="AJ13" s="1" t="s">
        <v>202</v>
      </c>
      <c r="AK13" s="1" t="s">
        <v>203</v>
      </c>
      <c r="AL13" s="1" t="s">
        <v>202</v>
      </c>
      <c r="AM13" s="1" t="s">
        <v>64</v>
      </c>
      <c r="AN13" s="1" t="s">
        <v>64</v>
      </c>
      <c r="AO13" s="1" t="s">
        <v>64</v>
      </c>
      <c r="AP13" s="1" t="s">
        <v>64</v>
      </c>
      <c r="AQ13" s="1">
        <v>1</v>
      </c>
      <c r="AR13" s="1" t="s">
        <v>178</v>
      </c>
      <c r="AS13" s="1" t="s">
        <v>64</v>
      </c>
      <c r="AT13" s="1" t="s">
        <v>64</v>
      </c>
      <c r="AU13" s="1" t="s">
        <v>64</v>
      </c>
      <c r="AV13" s="1" t="s">
        <v>64</v>
      </c>
      <c r="AW13" s="1" t="s">
        <v>238</v>
      </c>
      <c r="AX13" s="1" t="s">
        <v>64</v>
      </c>
      <c r="AY13" s="1" t="s">
        <v>64</v>
      </c>
      <c r="AZ13" s="1" t="s">
        <v>64</v>
      </c>
      <c r="BA13" s="1" t="s">
        <v>64</v>
      </c>
      <c r="BB13" s="1">
        <v>1</v>
      </c>
      <c r="BC13" s="1">
        <v>0</v>
      </c>
      <c r="BD13" s="1">
        <v>0</v>
      </c>
      <c r="BE13" s="1">
        <v>0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</row>
    <row r="14" spans="2:62" x14ac:dyDescent="0.25">
      <c r="B14" s="42">
        <v>0</v>
      </c>
      <c r="C14" s="1">
        <v>0</v>
      </c>
      <c r="D14" s="1">
        <v>1</v>
      </c>
      <c r="E14" s="16">
        <v>0</v>
      </c>
      <c r="F14" s="42" t="s">
        <v>72</v>
      </c>
      <c r="G14" s="1" t="s">
        <v>72</v>
      </c>
      <c r="H14" s="1" t="s">
        <v>72</v>
      </c>
      <c r="I14" s="16" t="s">
        <v>72</v>
      </c>
      <c r="J14" s="42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6">
        <v>0</v>
      </c>
      <c r="S14" s="1" t="s">
        <v>51</v>
      </c>
      <c r="T14" s="1" t="s">
        <v>18</v>
      </c>
      <c r="U14" s="1" t="s">
        <v>65</v>
      </c>
      <c r="V14" s="1" t="s">
        <v>64</v>
      </c>
      <c r="W14" s="1" t="s">
        <v>64</v>
      </c>
      <c r="X14" s="1" t="s">
        <v>173</v>
      </c>
      <c r="AA14" s="1">
        <v>1</v>
      </c>
      <c r="AB14" s="1" t="s">
        <v>178</v>
      </c>
      <c r="AC14" s="1" t="s">
        <v>64</v>
      </c>
      <c r="AD14" s="1" t="s">
        <v>64</v>
      </c>
      <c r="AE14" s="1" t="s">
        <v>64</v>
      </c>
      <c r="AF14" s="1" t="s">
        <v>64</v>
      </c>
      <c r="AG14" s="1" t="s">
        <v>64</v>
      </c>
      <c r="AH14" s="1" t="s">
        <v>64</v>
      </c>
      <c r="AI14" s="1" t="s">
        <v>64</v>
      </c>
      <c r="AJ14" s="1" t="s">
        <v>204</v>
      </c>
      <c r="AK14" s="1" t="s">
        <v>202</v>
      </c>
      <c r="AL14" s="1" t="s">
        <v>202</v>
      </c>
      <c r="AM14" s="1" t="s">
        <v>64</v>
      </c>
      <c r="AN14" s="1" t="s">
        <v>64</v>
      </c>
      <c r="AO14" s="1" t="s">
        <v>64</v>
      </c>
      <c r="AP14" s="1" t="s">
        <v>64</v>
      </c>
      <c r="AQ14" s="1">
        <v>1</v>
      </c>
      <c r="AR14" s="1" t="s">
        <v>178</v>
      </c>
      <c r="AS14" s="1" t="s">
        <v>64</v>
      </c>
      <c r="AT14" s="1" t="s">
        <v>64</v>
      </c>
      <c r="AU14" s="1" t="s">
        <v>64</v>
      </c>
      <c r="AV14" s="1" t="s">
        <v>64</v>
      </c>
      <c r="AW14" s="1" t="s">
        <v>238</v>
      </c>
      <c r="AX14" s="1" t="s">
        <v>64</v>
      </c>
      <c r="AY14" s="1" t="s">
        <v>64</v>
      </c>
      <c r="AZ14" s="1" t="s">
        <v>64</v>
      </c>
      <c r="BA14" s="1" t="s">
        <v>64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1</v>
      </c>
      <c r="BI14" s="1">
        <v>1</v>
      </c>
      <c r="BJ14" s="1">
        <v>1</v>
      </c>
    </row>
    <row r="15" spans="2:62" x14ac:dyDescent="0.25">
      <c r="B15" s="42">
        <v>0</v>
      </c>
      <c r="C15" s="1">
        <v>0</v>
      </c>
      <c r="D15" s="1">
        <v>1</v>
      </c>
      <c r="E15" s="16">
        <v>0</v>
      </c>
      <c r="F15" s="42" t="s">
        <v>72</v>
      </c>
      <c r="G15" s="1" t="s">
        <v>72</v>
      </c>
      <c r="H15" s="1" t="s">
        <v>72</v>
      </c>
      <c r="I15" s="16" t="s">
        <v>72</v>
      </c>
      <c r="J15" s="42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6">
        <v>1</v>
      </c>
      <c r="S15" s="1" t="s">
        <v>52</v>
      </c>
      <c r="T15" s="1" t="s">
        <v>19</v>
      </c>
      <c r="U15" s="1" t="s">
        <v>65</v>
      </c>
      <c r="V15" s="1" t="s">
        <v>64</v>
      </c>
      <c r="W15" s="1" t="s">
        <v>64</v>
      </c>
      <c r="X15" s="1" t="s">
        <v>172</v>
      </c>
      <c r="AA15" s="1">
        <v>1</v>
      </c>
      <c r="AB15" s="1" t="s">
        <v>178</v>
      </c>
      <c r="AC15" s="1" t="s">
        <v>64</v>
      </c>
      <c r="AD15" s="1" t="s">
        <v>64</v>
      </c>
      <c r="AE15" s="1" t="s">
        <v>64</v>
      </c>
      <c r="AF15" s="1" t="s">
        <v>64</v>
      </c>
      <c r="AG15" s="1" t="s">
        <v>64</v>
      </c>
      <c r="AH15" s="1" t="s">
        <v>64</v>
      </c>
      <c r="AI15" s="1" t="s">
        <v>64</v>
      </c>
      <c r="AJ15" s="1" t="s">
        <v>204</v>
      </c>
      <c r="AK15" s="1" t="s">
        <v>202</v>
      </c>
      <c r="AL15" s="1" t="s">
        <v>202</v>
      </c>
      <c r="AM15" s="1" t="s">
        <v>64</v>
      </c>
      <c r="AN15" s="1" t="s">
        <v>64</v>
      </c>
      <c r="AO15" s="1" t="s">
        <v>64</v>
      </c>
      <c r="AP15" s="1" t="s">
        <v>64</v>
      </c>
      <c r="AQ15" s="1">
        <v>1</v>
      </c>
      <c r="AR15" s="1" t="s">
        <v>178</v>
      </c>
      <c r="AS15" s="1" t="s">
        <v>64</v>
      </c>
      <c r="AT15" s="1" t="s">
        <v>64</v>
      </c>
      <c r="AU15" s="1" t="s">
        <v>64</v>
      </c>
      <c r="AV15" s="1" t="s">
        <v>64</v>
      </c>
      <c r="AW15" s="1" t="s">
        <v>238</v>
      </c>
      <c r="AX15" s="1" t="s">
        <v>64</v>
      </c>
      <c r="AY15" s="1" t="s">
        <v>64</v>
      </c>
      <c r="AZ15" s="1" t="s">
        <v>64</v>
      </c>
      <c r="BA15" s="1" t="s">
        <v>64</v>
      </c>
      <c r="BB15" s="1">
        <v>1</v>
      </c>
      <c r="BC15" s="1">
        <v>0</v>
      </c>
      <c r="BD15" s="1">
        <v>0</v>
      </c>
      <c r="BE15" s="1">
        <v>0</v>
      </c>
      <c r="BF15" s="1">
        <v>1</v>
      </c>
      <c r="BG15" s="1">
        <v>0</v>
      </c>
      <c r="BH15" s="1">
        <v>1</v>
      </c>
      <c r="BI15" s="1">
        <v>1</v>
      </c>
      <c r="BJ15" s="1">
        <v>1</v>
      </c>
    </row>
    <row r="16" spans="2:62" x14ac:dyDescent="0.25">
      <c r="B16" s="42">
        <v>0</v>
      </c>
      <c r="C16" s="1">
        <v>0</v>
      </c>
      <c r="D16" s="1">
        <v>1</v>
      </c>
      <c r="E16" s="16">
        <v>0</v>
      </c>
      <c r="F16" s="42" t="s">
        <v>72</v>
      </c>
      <c r="G16" s="1" t="s">
        <v>72</v>
      </c>
      <c r="H16" s="1" t="s">
        <v>72</v>
      </c>
      <c r="I16" s="16" t="s">
        <v>72</v>
      </c>
      <c r="J16" s="42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6">
        <v>0</v>
      </c>
      <c r="S16" s="1" t="s">
        <v>162</v>
      </c>
      <c r="T16" s="1" t="s">
        <v>164</v>
      </c>
      <c r="U16" s="1" t="s">
        <v>65</v>
      </c>
      <c r="V16" s="1" t="s">
        <v>64</v>
      </c>
      <c r="W16" s="1" t="s">
        <v>64</v>
      </c>
      <c r="AA16" s="1">
        <v>1</v>
      </c>
      <c r="AB16" s="1" t="s">
        <v>178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204</v>
      </c>
      <c r="AK16" s="1" t="s">
        <v>64</v>
      </c>
      <c r="AL16" s="1" t="s">
        <v>202</v>
      </c>
      <c r="AM16" s="1" t="s">
        <v>64</v>
      </c>
      <c r="AN16" s="1" t="s">
        <v>64</v>
      </c>
      <c r="AO16" s="1" t="s">
        <v>64</v>
      </c>
      <c r="AP16" s="1" t="s">
        <v>64</v>
      </c>
      <c r="AQ16" s="1">
        <v>1</v>
      </c>
      <c r="AR16" s="1" t="s">
        <v>178</v>
      </c>
      <c r="AS16" s="1" t="s">
        <v>64</v>
      </c>
      <c r="AT16" s="1" t="s">
        <v>64</v>
      </c>
      <c r="AU16" s="1" t="s">
        <v>64</v>
      </c>
      <c r="AV16" s="1" t="s">
        <v>64</v>
      </c>
      <c r="AW16" s="1" t="s">
        <v>238</v>
      </c>
      <c r="AX16" s="1" t="s">
        <v>64</v>
      </c>
      <c r="AY16" s="1" t="s">
        <v>64</v>
      </c>
      <c r="AZ16" s="1" t="s">
        <v>64</v>
      </c>
      <c r="BA16" s="1" t="s">
        <v>64</v>
      </c>
      <c r="BB16" s="1">
        <v>1</v>
      </c>
      <c r="BC16" s="1">
        <v>0</v>
      </c>
      <c r="BD16" s="1">
        <v>1</v>
      </c>
      <c r="BE16" s="1">
        <v>1</v>
      </c>
      <c r="BF16" s="1">
        <v>1</v>
      </c>
      <c r="BG16" s="1">
        <v>1</v>
      </c>
      <c r="BH16" s="1">
        <v>0</v>
      </c>
      <c r="BI16" s="1">
        <v>1</v>
      </c>
      <c r="BJ16" s="1">
        <v>1</v>
      </c>
    </row>
    <row r="17" spans="2:84" x14ac:dyDescent="0.25">
      <c r="B17" s="42">
        <v>0</v>
      </c>
      <c r="C17" s="1">
        <v>0</v>
      </c>
      <c r="D17" s="1">
        <v>1</v>
      </c>
      <c r="E17" s="16">
        <v>0</v>
      </c>
      <c r="F17" s="42" t="s">
        <v>72</v>
      </c>
      <c r="G17" s="1" t="s">
        <v>72</v>
      </c>
      <c r="H17" s="1" t="s">
        <v>72</v>
      </c>
      <c r="I17" s="16" t="s">
        <v>72</v>
      </c>
      <c r="J17" s="42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6">
        <v>1</v>
      </c>
      <c r="S17" s="1" t="s">
        <v>163</v>
      </c>
      <c r="T17" s="1" t="s">
        <v>165</v>
      </c>
      <c r="U17" s="1" t="s">
        <v>65</v>
      </c>
      <c r="V17" s="1" t="s">
        <v>64</v>
      </c>
      <c r="W17" s="1" t="s">
        <v>64</v>
      </c>
      <c r="AA17" s="1">
        <v>1</v>
      </c>
      <c r="AB17" s="1" t="s">
        <v>178</v>
      </c>
      <c r="AC17" s="1" t="s">
        <v>64</v>
      </c>
      <c r="AD17" s="1" t="s">
        <v>64</v>
      </c>
      <c r="AE17" s="1" t="s">
        <v>64</v>
      </c>
      <c r="AF17" s="1" t="s">
        <v>64</v>
      </c>
      <c r="AG17" s="1" t="s">
        <v>64</v>
      </c>
      <c r="AH17" s="1" t="s">
        <v>64</v>
      </c>
      <c r="AI17" s="1" t="s">
        <v>64</v>
      </c>
      <c r="AJ17" s="1" t="s">
        <v>204</v>
      </c>
      <c r="AK17" s="1" t="s">
        <v>64</v>
      </c>
      <c r="AL17" s="1" t="s">
        <v>202</v>
      </c>
      <c r="AM17" s="1" t="s">
        <v>64</v>
      </c>
      <c r="AN17" s="1" t="s">
        <v>64</v>
      </c>
      <c r="AO17" s="1" t="s">
        <v>64</v>
      </c>
      <c r="AP17" s="1" t="s">
        <v>64</v>
      </c>
      <c r="AQ17" s="1">
        <v>1</v>
      </c>
      <c r="AR17" s="1" t="s">
        <v>178</v>
      </c>
      <c r="AS17" s="1" t="s">
        <v>64</v>
      </c>
      <c r="AT17" s="1" t="s">
        <v>64</v>
      </c>
      <c r="AU17" s="1" t="s">
        <v>64</v>
      </c>
      <c r="AV17" s="1" t="s">
        <v>64</v>
      </c>
      <c r="AW17" s="1" t="s">
        <v>238</v>
      </c>
      <c r="AX17" s="1" t="s">
        <v>64</v>
      </c>
      <c r="AY17" s="1" t="s">
        <v>64</v>
      </c>
      <c r="AZ17" s="1" t="s">
        <v>64</v>
      </c>
      <c r="BA17" s="1" t="s">
        <v>64</v>
      </c>
      <c r="BB17" s="1">
        <v>1</v>
      </c>
      <c r="BC17" s="1">
        <v>1</v>
      </c>
      <c r="BD17" s="1">
        <v>0</v>
      </c>
      <c r="BE17" s="1">
        <v>0</v>
      </c>
      <c r="BF17" s="1">
        <v>0</v>
      </c>
      <c r="BG17" s="1">
        <v>1</v>
      </c>
      <c r="BH17" s="1">
        <v>0</v>
      </c>
      <c r="BI17" s="1">
        <v>0</v>
      </c>
      <c r="BJ17" s="1">
        <v>1</v>
      </c>
    </row>
    <row r="18" spans="2:84" x14ac:dyDescent="0.25">
      <c r="B18" s="42">
        <v>0</v>
      </c>
      <c r="C18" s="1">
        <v>0</v>
      </c>
      <c r="D18" s="1">
        <v>1</v>
      </c>
      <c r="E18" s="16">
        <v>0</v>
      </c>
      <c r="F18" s="42" t="s">
        <v>72</v>
      </c>
      <c r="G18" s="1" t="s">
        <v>72</v>
      </c>
      <c r="H18" s="1" t="s">
        <v>72</v>
      </c>
      <c r="I18" s="16" t="s">
        <v>72</v>
      </c>
      <c r="J18" s="42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1</v>
      </c>
      <c r="Q18" s="16">
        <v>0</v>
      </c>
      <c r="S18" s="1" t="s">
        <v>167</v>
      </c>
      <c r="T18" s="1" t="s">
        <v>168</v>
      </c>
      <c r="U18" s="1" t="s">
        <v>65</v>
      </c>
      <c r="V18" s="1" t="s">
        <v>64</v>
      </c>
      <c r="W18" s="1" t="s">
        <v>64</v>
      </c>
      <c r="X18" s="1" t="s">
        <v>170</v>
      </c>
      <c r="AA18" s="1">
        <v>1</v>
      </c>
      <c r="AB18" s="1" t="s">
        <v>178</v>
      </c>
      <c r="AC18" s="1" t="s">
        <v>64</v>
      </c>
      <c r="AD18" s="1" t="s">
        <v>64</v>
      </c>
      <c r="AE18" s="1" t="s">
        <v>64</v>
      </c>
      <c r="AF18" s="1" t="s">
        <v>64</v>
      </c>
      <c r="AG18" s="1" t="s">
        <v>64</v>
      </c>
      <c r="AH18" s="1" t="s">
        <v>64</v>
      </c>
      <c r="AI18" s="1" t="s">
        <v>64</v>
      </c>
      <c r="AJ18" s="1" t="s">
        <v>204</v>
      </c>
      <c r="AK18" s="1" t="s">
        <v>64</v>
      </c>
      <c r="AL18" s="1" t="s">
        <v>202</v>
      </c>
      <c r="AM18" s="1" t="s">
        <v>64</v>
      </c>
      <c r="AN18" s="1" t="s">
        <v>64</v>
      </c>
      <c r="AO18" s="1" t="s">
        <v>64</v>
      </c>
      <c r="AP18" s="1" t="s">
        <v>64</v>
      </c>
      <c r="AQ18" s="1">
        <v>1</v>
      </c>
      <c r="AR18" s="1" t="s">
        <v>178</v>
      </c>
      <c r="AS18" s="1" t="s">
        <v>64</v>
      </c>
      <c r="AT18" s="1" t="s">
        <v>64</v>
      </c>
      <c r="AU18" s="1" t="s">
        <v>64</v>
      </c>
      <c r="AV18" s="1" t="s">
        <v>64</v>
      </c>
      <c r="AW18" s="1" t="s">
        <v>238</v>
      </c>
      <c r="AX18" s="1" t="s">
        <v>64</v>
      </c>
      <c r="AY18" s="1" t="s">
        <v>64</v>
      </c>
      <c r="AZ18" s="1" t="s">
        <v>64</v>
      </c>
      <c r="BA18" s="1" t="s">
        <v>64</v>
      </c>
      <c r="BB18" s="1">
        <v>1</v>
      </c>
      <c r="BC18" s="1">
        <v>1</v>
      </c>
      <c r="BD18" s="1">
        <v>0</v>
      </c>
      <c r="BE18" s="1">
        <v>1</v>
      </c>
      <c r="BF18" s="1">
        <v>0</v>
      </c>
      <c r="BG18" s="1">
        <v>1</v>
      </c>
      <c r="BH18" s="1">
        <v>0</v>
      </c>
      <c r="BI18" s="1">
        <v>1</v>
      </c>
      <c r="BJ18" s="1">
        <v>0</v>
      </c>
    </row>
    <row r="19" spans="2:84" x14ac:dyDescent="0.25">
      <c r="B19" s="42">
        <v>0</v>
      </c>
      <c r="C19" s="1">
        <v>0</v>
      </c>
      <c r="D19" s="1">
        <v>1</v>
      </c>
      <c r="E19" s="16">
        <v>0</v>
      </c>
      <c r="F19" s="42" t="s">
        <v>72</v>
      </c>
      <c r="G19" s="1" t="s">
        <v>72</v>
      </c>
      <c r="H19" s="1" t="s">
        <v>72</v>
      </c>
      <c r="I19" s="16" t="s">
        <v>72</v>
      </c>
      <c r="J19" s="42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1</v>
      </c>
      <c r="Q19" s="16">
        <v>1</v>
      </c>
      <c r="S19" s="1" t="s">
        <v>166</v>
      </c>
      <c r="T19" s="1" t="s">
        <v>169</v>
      </c>
      <c r="U19" s="1" t="s">
        <v>65</v>
      </c>
      <c r="V19" s="1" t="s">
        <v>64</v>
      </c>
      <c r="W19" s="1" t="s">
        <v>64</v>
      </c>
      <c r="X19" s="1" t="s">
        <v>170</v>
      </c>
      <c r="AA19" s="1">
        <v>1</v>
      </c>
      <c r="AB19" s="1" t="s">
        <v>178</v>
      </c>
      <c r="AC19" s="1" t="s">
        <v>64</v>
      </c>
      <c r="AD19" s="1" t="s">
        <v>64</v>
      </c>
      <c r="AE19" s="1" t="s">
        <v>64</v>
      </c>
      <c r="AF19" s="1" t="s">
        <v>64</v>
      </c>
      <c r="AG19" s="1" t="s">
        <v>64</v>
      </c>
      <c r="AH19" s="1" t="s">
        <v>64</v>
      </c>
      <c r="AI19" s="1" t="s">
        <v>64</v>
      </c>
      <c r="AJ19" s="1" t="s">
        <v>204</v>
      </c>
      <c r="AK19" s="1" t="s">
        <v>64</v>
      </c>
      <c r="AL19" s="1" t="s">
        <v>202</v>
      </c>
      <c r="AM19" s="1" t="s">
        <v>64</v>
      </c>
      <c r="AN19" s="1" t="s">
        <v>64</v>
      </c>
      <c r="AO19" s="1" t="s">
        <v>64</v>
      </c>
      <c r="AP19" s="1" t="s">
        <v>64</v>
      </c>
      <c r="AQ19" s="1">
        <v>1</v>
      </c>
      <c r="AR19" s="1" t="s">
        <v>178</v>
      </c>
      <c r="AS19" s="1" t="s">
        <v>64</v>
      </c>
      <c r="AT19" s="1" t="s">
        <v>64</v>
      </c>
      <c r="AU19" s="1" t="s">
        <v>64</v>
      </c>
      <c r="AV19" s="1" t="s">
        <v>64</v>
      </c>
      <c r="AW19" s="1" t="s">
        <v>238</v>
      </c>
      <c r="AX19" s="1" t="s">
        <v>64</v>
      </c>
      <c r="AY19" s="1" t="s">
        <v>64</v>
      </c>
      <c r="AZ19" s="1" t="s">
        <v>64</v>
      </c>
      <c r="BA19" s="1" t="s">
        <v>64</v>
      </c>
      <c r="BB19" s="1">
        <v>1</v>
      </c>
      <c r="BC19" s="1">
        <v>1</v>
      </c>
      <c r="BD19" s="1">
        <v>0</v>
      </c>
      <c r="BE19" s="1">
        <v>1</v>
      </c>
      <c r="BF19" s="1">
        <v>1</v>
      </c>
      <c r="BG19" s="1">
        <v>1</v>
      </c>
      <c r="BH19" s="1">
        <v>0</v>
      </c>
      <c r="BI19" s="1">
        <v>1</v>
      </c>
      <c r="BJ19" s="1">
        <v>0</v>
      </c>
    </row>
    <row r="20" spans="2:84" x14ac:dyDescent="0.25">
      <c r="B20" s="42">
        <v>0</v>
      </c>
      <c r="C20" s="1">
        <v>0</v>
      </c>
      <c r="D20" s="1">
        <v>1</v>
      </c>
      <c r="E20" s="16">
        <v>0</v>
      </c>
      <c r="F20" s="42" t="s">
        <v>72</v>
      </c>
      <c r="G20" s="1" t="s">
        <v>72</v>
      </c>
      <c r="H20" s="1" t="s">
        <v>72</v>
      </c>
      <c r="I20" s="16" t="s">
        <v>72</v>
      </c>
      <c r="J20" s="42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6">
        <v>0</v>
      </c>
      <c r="S20" s="1" t="s">
        <v>53</v>
      </c>
      <c r="T20" s="1" t="s">
        <v>20</v>
      </c>
      <c r="U20" s="1" t="s">
        <v>65</v>
      </c>
      <c r="V20" s="1" t="s">
        <v>64</v>
      </c>
      <c r="W20" s="1" t="s">
        <v>64</v>
      </c>
      <c r="AA20" s="1">
        <v>1</v>
      </c>
      <c r="AB20" s="1" t="s">
        <v>178</v>
      </c>
      <c r="AC20" s="1" t="s">
        <v>64</v>
      </c>
      <c r="AD20" s="1" t="s">
        <v>64</v>
      </c>
      <c r="AE20" s="1" t="s">
        <v>64</v>
      </c>
      <c r="AF20" s="1" t="s">
        <v>64</v>
      </c>
      <c r="AG20" s="1" t="s">
        <v>64</v>
      </c>
      <c r="AH20" s="1" t="s">
        <v>64</v>
      </c>
      <c r="AI20" s="1" t="s">
        <v>64</v>
      </c>
      <c r="AJ20" s="1" t="s">
        <v>204</v>
      </c>
      <c r="AK20" s="1" t="s">
        <v>64</v>
      </c>
      <c r="AL20" s="1" t="s">
        <v>202</v>
      </c>
      <c r="AM20" s="1" t="s">
        <v>64</v>
      </c>
      <c r="AN20" s="1" t="s">
        <v>64</v>
      </c>
      <c r="AO20" s="1" t="s">
        <v>64</v>
      </c>
      <c r="AP20" s="1" t="s">
        <v>64</v>
      </c>
      <c r="AQ20" s="1">
        <v>1</v>
      </c>
      <c r="AR20" s="1" t="s">
        <v>178</v>
      </c>
      <c r="AS20" s="1" t="s">
        <v>64</v>
      </c>
      <c r="AT20" s="1" t="s">
        <v>64</v>
      </c>
      <c r="AU20" s="1" t="s">
        <v>64</v>
      </c>
      <c r="AV20" s="1" t="s">
        <v>64</v>
      </c>
      <c r="AW20" s="1" t="s">
        <v>238</v>
      </c>
      <c r="AX20" s="1" t="s">
        <v>64</v>
      </c>
      <c r="AY20" s="1" t="s">
        <v>64</v>
      </c>
      <c r="AZ20" s="1" t="s">
        <v>64</v>
      </c>
      <c r="BA20" s="1" t="s">
        <v>64</v>
      </c>
      <c r="BB20" s="1">
        <v>1</v>
      </c>
      <c r="BC20" s="1">
        <v>1</v>
      </c>
      <c r="BD20" s="1">
        <v>0</v>
      </c>
      <c r="BE20" s="1">
        <v>0</v>
      </c>
      <c r="BF20" s="1">
        <v>1</v>
      </c>
      <c r="BG20" s="1">
        <v>1</v>
      </c>
      <c r="BH20" s="1">
        <v>0</v>
      </c>
      <c r="BI20" s="1">
        <v>0</v>
      </c>
      <c r="BJ20" s="1">
        <v>1</v>
      </c>
    </row>
    <row r="21" spans="2:84" x14ac:dyDescent="0.25">
      <c r="B21" s="42">
        <v>0</v>
      </c>
      <c r="C21" s="1">
        <v>0</v>
      </c>
      <c r="D21" s="1">
        <v>1</v>
      </c>
      <c r="E21" s="16">
        <v>0</v>
      </c>
      <c r="F21" s="42" t="s">
        <v>72</v>
      </c>
      <c r="G21" s="1" t="s">
        <v>72</v>
      </c>
      <c r="H21" s="1" t="s">
        <v>72</v>
      </c>
      <c r="I21" s="16" t="s">
        <v>72</v>
      </c>
      <c r="J21" s="42" t="s">
        <v>84</v>
      </c>
      <c r="K21" s="1" t="s">
        <v>84</v>
      </c>
      <c r="L21" s="1" t="s">
        <v>84</v>
      </c>
      <c r="M21" s="1" t="s">
        <v>84</v>
      </c>
      <c r="N21" s="1">
        <v>1</v>
      </c>
      <c r="O21" s="1">
        <v>0</v>
      </c>
      <c r="P21" s="1">
        <v>0</v>
      </c>
      <c r="Q21" s="16">
        <v>1</v>
      </c>
      <c r="S21" s="1" t="s">
        <v>49</v>
      </c>
      <c r="T21" s="1" t="s">
        <v>11</v>
      </c>
      <c r="U21" s="1" t="s">
        <v>65</v>
      </c>
      <c r="V21" s="1" t="s">
        <v>66</v>
      </c>
      <c r="W21" s="1" t="s">
        <v>64</v>
      </c>
      <c r="AA21" s="1">
        <v>1</v>
      </c>
      <c r="AB21" s="1" t="s">
        <v>178</v>
      </c>
      <c r="AC21" s="1">
        <v>1</v>
      </c>
      <c r="AD21" s="1" t="s">
        <v>179</v>
      </c>
      <c r="AE21" s="1" t="s">
        <v>64</v>
      </c>
      <c r="AF21" s="1" t="s">
        <v>64</v>
      </c>
      <c r="AG21" s="1" t="s">
        <v>64</v>
      </c>
      <c r="AH21" s="1" t="s">
        <v>64</v>
      </c>
      <c r="AI21" s="1" t="s">
        <v>64</v>
      </c>
      <c r="AJ21" s="1" t="s">
        <v>204</v>
      </c>
      <c r="AK21" s="1" t="s">
        <v>203</v>
      </c>
      <c r="AL21" s="1" t="s">
        <v>202</v>
      </c>
      <c r="AM21" s="1" t="s">
        <v>64</v>
      </c>
      <c r="AN21" s="1" t="s">
        <v>64</v>
      </c>
      <c r="AO21" s="1" t="s">
        <v>64</v>
      </c>
      <c r="AP21" s="1" t="s">
        <v>64</v>
      </c>
      <c r="AQ21" s="1">
        <v>1</v>
      </c>
      <c r="AR21" s="1" t="s">
        <v>178</v>
      </c>
      <c r="AS21" s="1" t="s">
        <v>64</v>
      </c>
      <c r="AT21" s="1" t="s">
        <v>64</v>
      </c>
      <c r="AU21" s="1" t="s">
        <v>64</v>
      </c>
      <c r="AV21" s="1" t="s">
        <v>64</v>
      </c>
      <c r="AW21" s="1" t="s">
        <v>238</v>
      </c>
      <c r="AX21" s="1" t="s">
        <v>64</v>
      </c>
      <c r="AY21" s="1" t="s">
        <v>64</v>
      </c>
      <c r="AZ21" s="1" t="s">
        <v>64</v>
      </c>
      <c r="BA21" s="1" t="s">
        <v>64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1</v>
      </c>
      <c r="BH21" s="1">
        <v>1</v>
      </c>
      <c r="BI21" s="1">
        <v>1</v>
      </c>
      <c r="BJ21" s="1">
        <v>1</v>
      </c>
    </row>
    <row r="22" spans="2:84" x14ac:dyDescent="0.25">
      <c r="B22" s="42">
        <v>0</v>
      </c>
      <c r="C22" s="1">
        <v>0</v>
      </c>
      <c r="D22" s="1">
        <v>1</v>
      </c>
      <c r="E22" s="16">
        <v>0</v>
      </c>
      <c r="F22" s="42" t="s">
        <v>72</v>
      </c>
      <c r="G22" s="1" t="s">
        <v>72</v>
      </c>
      <c r="H22" s="1" t="s">
        <v>72</v>
      </c>
      <c r="I22" s="16" t="s">
        <v>72</v>
      </c>
      <c r="J22" s="42" t="s">
        <v>84</v>
      </c>
      <c r="K22" s="1" t="s">
        <v>84</v>
      </c>
      <c r="L22" s="1" t="s">
        <v>84</v>
      </c>
      <c r="M22" s="1" t="s">
        <v>84</v>
      </c>
      <c r="N22" s="1">
        <v>1</v>
      </c>
      <c r="O22" s="1">
        <v>0</v>
      </c>
      <c r="P22" s="1">
        <v>1</v>
      </c>
      <c r="Q22" s="16">
        <v>0</v>
      </c>
      <c r="S22" s="1" t="s">
        <v>50</v>
      </c>
      <c r="T22" s="1" t="s">
        <v>3</v>
      </c>
      <c r="U22" s="1" t="s">
        <v>65</v>
      </c>
      <c r="V22" s="1" t="s">
        <v>66</v>
      </c>
      <c r="W22" s="1" t="s">
        <v>64</v>
      </c>
      <c r="AA22" s="1">
        <v>1</v>
      </c>
      <c r="AB22" s="1" t="s">
        <v>178</v>
      </c>
      <c r="AC22" s="1">
        <v>1</v>
      </c>
      <c r="AD22" s="1" t="s">
        <v>179</v>
      </c>
      <c r="AE22" s="1" t="s">
        <v>64</v>
      </c>
      <c r="AF22" s="1" t="s">
        <v>64</v>
      </c>
      <c r="AG22" s="1" t="s">
        <v>64</v>
      </c>
      <c r="AH22" s="1" t="s">
        <v>64</v>
      </c>
      <c r="AI22" s="1" t="s">
        <v>64</v>
      </c>
      <c r="AJ22" s="1" t="s">
        <v>204</v>
      </c>
      <c r="AK22" s="1" t="s">
        <v>203</v>
      </c>
      <c r="AL22" s="1" t="s">
        <v>202</v>
      </c>
      <c r="AM22" s="1" t="s">
        <v>64</v>
      </c>
      <c r="AN22" s="1" t="s">
        <v>64</v>
      </c>
      <c r="AO22" s="1" t="s">
        <v>64</v>
      </c>
      <c r="AP22" s="1" t="s">
        <v>64</v>
      </c>
      <c r="AQ22" s="1">
        <v>1</v>
      </c>
      <c r="AR22" s="1" t="s">
        <v>178</v>
      </c>
      <c r="AS22" s="1" t="s">
        <v>64</v>
      </c>
      <c r="AT22" s="1" t="s">
        <v>64</v>
      </c>
      <c r="AU22" s="1" t="s">
        <v>64</v>
      </c>
      <c r="AV22" s="1" t="s">
        <v>64</v>
      </c>
      <c r="AW22" s="1" t="s">
        <v>238</v>
      </c>
      <c r="AX22" s="1" t="s">
        <v>64</v>
      </c>
      <c r="AY22" s="1" t="s">
        <v>64</v>
      </c>
      <c r="AZ22" s="1" t="s">
        <v>64</v>
      </c>
      <c r="BA22" s="1" t="s">
        <v>64</v>
      </c>
      <c r="BB22" s="1">
        <v>1</v>
      </c>
      <c r="BC22" s="1">
        <v>0</v>
      </c>
      <c r="BD22" s="1">
        <v>0</v>
      </c>
      <c r="BE22" s="1">
        <v>0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</row>
    <row r="23" spans="2:84" x14ac:dyDescent="0.25">
      <c r="B23" s="42">
        <v>0</v>
      </c>
      <c r="C23" s="1">
        <v>0</v>
      </c>
      <c r="D23" s="1">
        <v>1</v>
      </c>
      <c r="E23" s="16">
        <v>0</v>
      </c>
      <c r="F23" s="42" t="s">
        <v>72</v>
      </c>
      <c r="G23" s="1" t="s">
        <v>72</v>
      </c>
      <c r="H23" s="1" t="s">
        <v>72</v>
      </c>
      <c r="I23" s="16" t="s">
        <v>72</v>
      </c>
      <c r="J23" s="42" t="s">
        <v>84</v>
      </c>
      <c r="K23" s="1" t="s">
        <v>84</v>
      </c>
      <c r="L23" s="1" t="s">
        <v>84</v>
      </c>
      <c r="M23" s="1" t="s">
        <v>84</v>
      </c>
      <c r="N23" s="1">
        <v>1</v>
      </c>
      <c r="O23" s="1">
        <v>0</v>
      </c>
      <c r="P23" s="1">
        <v>1</v>
      </c>
      <c r="Q23" s="16">
        <v>1</v>
      </c>
      <c r="S23" s="1" t="s">
        <v>226</v>
      </c>
      <c r="T23" s="1" t="s">
        <v>228</v>
      </c>
      <c r="U23" s="1" t="s">
        <v>65</v>
      </c>
      <c r="V23" s="1" t="s">
        <v>66</v>
      </c>
      <c r="W23" s="1" t="s">
        <v>64</v>
      </c>
      <c r="AA23" s="1">
        <v>1</v>
      </c>
      <c r="AB23" s="1" t="s">
        <v>178</v>
      </c>
      <c r="AC23" s="1">
        <v>1</v>
      </c>
      <c r="AD23" s="1" t="s">
        <v>179</v>
      </c>
      <c r="AE23" s="1" t="s">
        <v>64</v>
      </c>
      <c r="AF23" s="1" t="s">
        <v>64</v>
      </c>
      <c r="AG23" s="1" t="s">
        <v>64</v>
      </c>
      <c r="AH23" s="1" t="s">
        <v>64</v>
      </c>
      <c r="AI23" s="1" t="s">
        <v>64</v>
      </c>
      <c r="AJ23" s="1" t="s">
        <v>204</v>
      </c>
      <c r="AK23" s="1" t="s">
        <v>203</v>
      </c>
      <c r="AL23" s="1" t="s">
        <v>202</v>
      </c>
      <c r="AM23" s="1" t="s">
        <v>64</v>
      </c>
      <c r="AN23" s="1" t="s">
        <v>64</v>
      </c>
      <c r="AO23" s="1" t="s">
        <v>64</v>
      </c>
      <c r="AP23" s="1" t="s">
        <v>64</v>
      </c>
      <c r="AQ23" s="1">
        <v>1</v>
      </c>
      <c r="AR23" s="1" t="s">
        <v>178</v>
      </c>
      <c r="AS23" s="1" t="s">
        <v>64</v>
      </c>
      <c r="AT23" s="1" t="s">
        <v>64</v>
      </c>
      <c r="AU23" s="1" t="s">
        <v>64</v>
      </c>
      <c r="AV23" s="1" t="s">
        <v>64</v>
      </c>
      <c r="AW23" s="1" t="s">
        <v>238</v>
      </c>
      <c r="AX23" s="1" t="s">
        <v>64</v>
      </c>
      <c r="AY23" s="1" t="s">
        <v>64</v>
      </c>
      <c r="AZ23" s="1" t="s">
        <v>64</v>
      </c>
      <c r="BA23" s="1" t="s">
        <v>64</v>
      </c>
      <c r="BB23" s="1">
        <v>1</v>
      </c>
      <c r="BC23" s="1">
        <v>0</v>
      </c>
      <c r="BD23" s="1">
        <v>0</v>
      </c>
      <c r="BE23" s="1">
        <v>1</v>
      </c>
      <c r="BF23" s="1">
        <v>0</v>
      </c>
      <c r="BG23" s="1">
        <v>1</v>
      </c>
      <c r="BH23" s="1">
        <v>1</v>
      </c>
      <c r="BI23" s="1">
        <v>1</v>
      </c>
      <c r="BJ23" s="1">
        <v>1</v>
      </c>
    </row>
    <row r="24" spans="2:84" x14ac:dyDescent="0.25">
      <c r="B24" s="42">
        <v>0</v>
      </c>
      <c r="C24" s="1">
        <v>0</v>
      </c>
      <c r="D24" s="1">
        <v>1</v>
      </c>
      <c r="E24" s="16">
        <v>0</v>
      </c>
      <c r="F24" s="42" t="s">
        <v>72</v>
      </c>
      <c r="G24" s="1" t="s">
        <v>72</v>
      </c>
      <c r="H24" s="1" t="s">
        <v>72</v>
      </c>
      <c r="I24" s="16" t="s">
        <v>72</v>
      </c>
      <c r="J24" s="42" t="s">
        <v>84</v>
      </c>
      <c r="K24" s="1" t="s">
        <v>84</v>
      </c>
      <c r="L24" s="1" t="s">
        <v>84</v>
      </c>
      <c r="M24" s="1" t="s">
        <v>84</v>
      </c>
      <c r="N24" s="1">
        <v>1</v>
      </c>
      <c r="O24" s="1">
        <v>1</v>
      </c>
      <c r="P24" s="1">
        <v>0</v>
      </c>
      <c r="Q24" s="16">
        <v>0</v>
      </c>
      <c r="S24" s="1" t="s">
        <v>227</v>
      </c>
      <c r="T24" s="1" t="s">
        <v>229</v>
      </c>
      <c r="U24" s="1" t="s">
        <v>65</v>
      </c>
      <c r="V24" s="1" t="s">
        <v>66</v>
      </c>
      <c r="W24" s="1" t="s">
        <v>64</v>
      </c>
      <c r="AA24" s="1">
        <v>1</v>
      </c>
      <c r="AB24" s="1" t="s">
        <v>178</v>
      </c>
      <c r="AC24" s="1">
        <v>1</v>
      </c>
      <c r="AD24" s="1" t="s">
        <v>179</v>
      </c>
      <c r="AE24" s="1" t="s">
        <v>64</v>
      </c>
      <c r="AF24" s="1" t="s">
        <v>64</v>
      </c>
      <c r="AG24" s="1" t="s">
        <v>64</v>
      </c>
      <c r="AH24" s="1" t="s">
        <v>64</v>
      </c>
      <c r="AI24" s="1" t="s">
        <v>64</v>
      </c>
      <c r="AJ24" s="1" t="s">
        <v>204</v>
      </c>
      <c r="AK24" s="1" t="s">
        <v>203</v>
      </c>
      <c r="AL24" s="1" t="s">
        <v>202</v>
      </c>
      <c r="AM24" s="1" t="s">
        <v>64</v>
      </c>
      <c r="AN24" s="1" t="s">
        <v>64</v>
      </c>
      <c r="AO24" s="1" t="s">
        <v>64</v>
      </c>
      <c r="AP24" s="1" t="s">
        <v>64</v>
      </c>
      <c r="AQ24" s="1">
        <v>1</v>
      </c>
      <c r="AR24" s="1" t="s">
        <v>178</v>
      </c>
      <c r="AS24" s="1" t="s">
        <v>64</v>
      </c>
      <c r="AT24" s="1" t="s">
        <v>64</v>
      </c>
      <c r="AU24" s="1" t="s">
        <v>64</v>
      </c>
      <c r="AV24" s="1" t="s">
        <v>64</v>
      </c>
      <c r="AW24" s="1" t="s">
        <v>238</v>
      </c>
      <c r="AX24" s="1" t="s">
        <v>64</v>
      </c>
      <c r="AY24" s="1" t="s">
        <v>64</v>
      </c>
      <c r="AZ24" s="1" t="s">
        <v>64</v>
      </c>
      <c r="BA24" s="1" t="s">
        <v>64</v>
      </c>
      <c r="BB24" s="1">
        <v>1</v>
      </c>
      <c r="BC24" s="1">
        <v>0</v>
      </c>
      <c r="BD24" s="1">
        <v>0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</row>
    <row r="25" spans="2:84" x14ac:dyDescent="0.25">
      <c r="B25" s="42">
        <v>0</v>
      </c>
      <c r="C25" s="1">
        <v>0</v>
      </c>
      <c r="D25" s="1">
        <v>1</v>
      </c>
      <c r="E25" s="16">
        <v>0</v>
      </c>
      <c r="F25" s="42" t="s">
        <v>72</v>
      </c>
      <c r="G25" s="1" t="s">
        <v>72</v>
      </c>
      <c r="H25" s="1" t="s">
        <v>72</v>
      </c>
      <c r="I25" s="16" t="s">
        <v>72</v>
      </c>
      <c r="J25" s="42" t="s">
        <v>84</v>
      </c>
      <c r="K25" s="1" t="s">
        <v>84</v>
      </c>
      <c r="L25" s="1" t="s">
        <v>84</v>
      </c>
      <c r="M25" s="1" t="s">
        <v>84</v>
      </c>
      <c r="N25" s="1">
        <v>1</v>
      </c>
      <c r="O25" s="1">
        <v>1</v>
      </c>
      <c r="P25" s="1">
        <v>0</v>
      </c>
      <c r="Q25" s="16">
        <v>1</v>
      </c>
      <c r="S25" s="1" t="s">
        <v>12</v>
      </c>
      <c r="T25" s="1" t="s">
        <v>12</v>
      </c>
      <c r="U25" s="1" t="s">
        <v>65</v>
      </c>
      <c r="V25" s="1" t="s">
        <v>66</v>
      </c>
      <c r="W25" s="1" t="s">
        <v>64</v>
      </c>
      <c r="AA25" s="1">
        <v>1</v>
      </c>
      <c r="AB25" s="1" t="s">
        <v>178</v>
      </c>
      <c r="AC25" s="1">
        <v>1</v>
      </c>
      <c r="AD25" s="1" t="s">
        <v>179</v>
      </c>
      <c r="AE25" s="1" t="s">
        <v>64</v>
      </c>
      <c r="AF25" s="1" t="s">
        <v>64</v>
      </c>
      <c r="AG25" s="1" t="s">
        <v>64</v>
      </c>
      <c r="AH25" s="1" t="s">
        <v>64</v>
      </c>
      <c r="AI25" s="1" t="s">
        <v>64</v>
      </c>
      <c r="AJ25" s="1" t="s">
        <v>204</v>
      </c>
      <c r="AK25" s="1" t="s">
        <v>203</v>
      </c>
      <c r="AL25" s="1" t="s">
        <v>202</v>
      </c>
      <c r="AM25" s="1" t="s">
        <v>64</v>
      </c>
      <c r="AN25" s="1" t="s">
        <v>64</v>
      </c>
      <c r="AO25" s="1" t="s">
        <v>64</v>
      </c>
      <c r="AP25" s="1" t="s">
        <v>64</v>
      </c>
      <c r="AQ25" s="1">
        <v>1</v>
      </c>
      <c r="AR25" s="1" t="s">
        <v>178</v>
      </c>
      <c r="AS25" s="1" t="s">
        <v>64</v>
      </c>
      <c r="AT25" s="1" t="s">
        <v>64</v>
      </c>
      <c r="AU25" s="1" t="s">
        <v>64</v>
      </c>
      <c r="AV25" s="1" t="s">
        <v>64</v>
      </c>
      <c r="AW25" s="1" t="s">
        <v>238</v>
      </c>
      <c r="AX25" s="1" t="s">
        <v>64</v>
      </c>
      <c r="AY25" s="1" t="s">
        <v>64</v>
      </c>
      <c r="AZ25" s="1" t="s">
        <v>64</v>
      </c>
      <c r="BA25" s="1" t="s">
        <v>64</v>
      </c>
      <c r="BB25" s="1">
        <v>1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1</v>
      </c>
      <c r="BI25" s="1">
        <v>0</v>
      </c>
      <c r="BJ25" s="1">
        <v>1</v>
      </c>
    </row>
    <row r="26" spans="2:84" x14ac:dyDescent="0.25">
      <c r="B26" s="42">
        <v>0</v>
      </c>
      <c r="C26" s="1">
        <v>0</v>
      </c>
      <c r="D26" s="1">
        <v>1</v>
      </c>
      <c r="E26" s="16">
        <v>0</v>
      </c>
      <c r="F26" s="42" t="s">
        <v>72</v>
      </c>
      <c r="G26" s="1" t="s">
        <v>72</v>
      </c>
      <c r="H26" s="1" t="s">
        <v>72</v>
      </c>
      <c r="I26" s="16" t="s">
        <v>72</v>
      </c>
      <c r="J26" s="42" t="s">
        <v>84</v>
      </c>
      <c r="K26" s="1" t="s">
        <v>84</v>
      </c>
      <c r="L26" s="1" t="s">
        <v>84</v>
      </c>
      <c r="M26" s="1" t="s">
        <v>84</v>
      </c>
      <c r="N26" s="1">
        <v>1</v>
      </c>
      <c r="O26" s="1">
        <v>1</v>
      </c>
      <c r="P26" s="1">
        <v>1</v>
      </c>
      <c r="Q26" s="16">
        <v>0</v>
      </c>
      <c r="S26" s="1" t="s">
        <v>13</v>
      </c>
      <c r="T26" s="1" t="s">
        <v>13</v>
      </c>
      <c r="U26" s="1" t="s">
        <v>65</v>
      </c>
      <c r="V26" s="1" t="s">
        <v>66</v>
      </c>
      <c r="W26" s="1" t="s">
        <v>64</v>
      </c>
      <c r="AA26" s="1">
        <v>1</v>
      </c>
      <c r="AB26" s="1" t="s">
        <v>178</v>
      </c>
      <c r="AC26" s="1">
        <v>1</v>
      </c>
      <c r="AD26" s="1" t="s">
        <v>179</v>
      </c>
      <c r="AE26" s="1" t="s">
        <v>64</v>
      </c>
      <c r="AF26" s="1" t="s">
        <v>64</v>
      </c>
      <c r="AG26" s="1" t="s">
        <v>64</v>
      </c>
      <c r="AH26" s="1" t="s">
        <v>64</v>
      </c>
      <c r="AI26" s="1" t="s">
        <v>64</v>
      </c>
      <c r="AJ26" s="1" t="s">
        <v>204</v>
      </c>
      <c r="AK26" s="1" t="s">
        <v>203</v>
      </c>
      <c r="AL26" s="1" t="s">
        <v>202</v>
      </c>
      <c r="AM26" s="1" t="s">
        <v>64</v>
      </c>
      <c r="AN26" s="1" t="s">
        <v>64</v>
      </c>
      <c r="AO26" s="1" t="s">
        <v>64</v>
      </c>
      <c r="AP26" s="1" t="s">
        <v>64</v>
      </c>
      <c r="AQ26" s="1">
        <v>1</v>
      </c>
      <c r="AR26" s="1" t="s">
        <v>178</v>
      </c>
      <c r="AS26" s="1" t="s">
        <v>64</v>
      </c>
      <c r="AT26" s="1" t="s">
        <v>64</v>
      </c>
      <c r="AU26" s="1" t="s">
        <v>64</v>
      </c>
      <c r="AV26" s="1" t="s">
        <v>64</v>
      </c>
      <c r="AW26" s="1" t="s">
        <v>238</v>
      </c>
      <c r="AX26" s="1" t="s">
        <v>64</v>
      </c>
      <c r="AY26" s="1" t="s">
        <v>64</v>
      </c>
      <c r="AZ26" s="1" t="s">
        <v>64</v>
      </c>
      <c r="BA26" s="1" t="s">
        <v>64</v>
      </c>
      <c r="BB26" s="1">
        <v>1</v>
      </c>
      <c r="BC26" s="1">
        <v>0</v>
      </c>
      <c r="BD26" s="1">
        <v>1</v>
      </c>
      <c r="BE26" s="1">
        <v>0</v>
      </c>
      <c r="BF26" s="1">
        <v>1</v>
      </c>
      <c r="BG26" s="1">
        <v>0</v>
      </c>
      <c r="BH26" s="1">
        <v>1</v>
      </c>
      <c r="BI26" s="1">
        <v>0</v>
      </c>
      <c r="BJ26" s="1">
        <v>1</v>
      </c>
    </row>
    <row r="27" spans="2:84" x14ac:dyDescent="0.25">
      <c r="B27" s="42">
        <v>0</v>
      </c>
      <c r="C27" s="1">
        <v>0</v>
      </c>
      <c r="D27" s="1">
        <v>1</v>
      </c>
      <c r="E27" s="16">
        <v>0</v>
      </c>
      <c r="F27" s="42" t="s">
        <v>72</v>
      </c>
      <c r="G27" s="1" t="s">
        <v>72</v>
      </c>
      <c r="H27" s="1" t="s">
        <v>72</v>
      </c>
      <c r="I27" s="16" t="s">
        <v>72</v>
      </c>
      <c r="J27" s="42" t="s">
        <v>84</v>
      </c>
      <c r="K27" s="1" t="s">
        <v>84</v>
      </c>
      <c r="L27" s="1" t="s">
        <v>84</v>
      </c>
      <c r="M27" s="1" t="s">
        <v>84</v>
      </c>
      <c r="N27" s="1">
        <v>1</v>
      </c>
      <c r="O27" s="1">
        <v>1</v>
      </c>
      <c r="P27" s="1">
        <v>1</v>
      </c>
      <c r="Q27" s="16">
        <v>1</v>
      </c>
      <c r="S27" s="1" t="s">
        <v>14</v>
      </c>
      <c r="T27" s="1" t="s">
        <v>14</v>
      </c>
      <c r="U27" s="1" t="s">
        <v>65</v>
      </c>
      <c r="V27" s="1" t="s">
        <v>66</v>
      </c>
      <c r="W27" s="1" t="s">
        <v>64</v>
      </c>
      <c r="AA27" s="1">
        <v>1</v>
      </c>
      <c r="AB27" s="1" t="s">
        <v>178</v>
      </c>
      <c r="AC27" s="1">
        <v>1</v>
      </c>
      <c r="AD27" s="1" t="s">
        <v>179</v>
      </c>
      <c r="AE27" s="1" t="s">
        <v>64</v>
      </c>
      <c r="AF27" s="1" t="s">
        <v>64</v>
      </c>
      <c r="AG27" s="1" t="s">
        <v>64</v>
      </c>
      <c r="AH27" s="1" t="s">
        <v>64</v>
      </c>
      <c r="AI27" s="1" t="s">
        <v>64</v>
      </c>
      <c r="AJ27" s="1" t="s">
        <v>204</v>
      </c>
      <c r="AK27" s="1" t="s">
        <v>203</v>
      </c>
      <c r="AL27" s="1" t="s">
        <v>202</v>
      </c>
      <c r="AM27" s="1" t="s">
        <v>64</v>
      </c>
      <c r="AN27" s="1" t="s">
        <v>64</v>
      </c>
      <c r="AO27" s="1" t="s">
        <v>64</v>
      </c>
      <c r="AP27" s="1" t="s">
        <v>64</v>
      </c>
      <c r="AQ27" s="1">
        <v>1</v>
      </c>
      <c r="AR27" s="1" t="s">
        <v>178</v>
      </c>
      <c r="AS27" s="1" t="s">
        <v>64</v>
      </c>
      <c r="AT27" s="1" t="s">
        <v>64</v>
      </c>
      <c r="AU27" s="1" t="s">
        <v>64</v>
      </c>
      <c r="AV27" s="1" t="s">
        <v>64</v>
      </c>
      <c r="AW27" s="1" t="s">
        <v>238</v>
      </c>
      <c r="AX27" s="1" t="s">
        <v>64</v>
      </c>
      <c r="AY27" s="1" t="s">
        <v>64</v>
      </c>
      <c r="AZ27" s="1" t="s">
        <v>64</v>
      </c>
      <c r="BA27" s="1" t="s">
        <v>64</v>
      </c>
      <c r="BB27" s="1">
        <v>1</v>
      </c>
      <c r="BC27" s="1">
        <v>0</v>
      </c>
      <c r="BD27" s="1">
        <v>1</v>
      </c>
      <c r="BE27" s="1">
        <v>1</v>
      </c>
      <c r="BF27" s="1">
        <v>0</v>
      </c>
      <c r="BG27" s="1">
        <v>0</v>
      </c>
      <c r="BH27" s="1">
        <v>1</v>
      </c>
      <c r="BI27" s="1">
        <v>0</v>
      </c>
      <c r="BJ27" s="1">
        <v>1</v>
      </c>
    </row>
    <row r="28" spans="2:84" x14ac:dyDescent="0.25">
      <c r="B28" s="42">
        <v>0</v>
      </c>
      <c r="C28" s="1">
        <v>1</v>
      </c>
      <c r="D28" s="1">
        <v>0</v>
      </c>
      <c r="E28" s="16">
        <v>0</v>
      </c>
      <c r="F28" s="42" t="s">
        <v>161</v>
      </c>
      <c r="G28" s="1" t="s">
        <v>161</v>
      </c>
      <c r="H28" s="1" t="s">
        <v>161</v>
      </c>
      <c r="I28" s="16" t="s">
        <v>161</v>
      </c>
      <c r="J28" s="42" t="s">
        <v>161</v>
      </c>
      <c r="K28" s="1" t="s">
        <v>161</v>
      </c>
      <c r="L28" s="1" t="s">
        <v>161</v>
      </c>
      <c r="M28" s="1" t="s">
        <v>161</v>
      </c>
      <c r="N28" s="1" t="s">
        <v>161</v>
      </c>
      <c r="O28" s="1" t="s">
        <v>161</v>
      </c>
      <c r="P28" s="1" t="s">
        <v>161</v>
      </c>
      <c r="Q28" s="16" t="s">
        <v>161</v>
      </c>
      <c r="S28" s="1" t="s">
        <v>68</v>
      </c>
      <c r="T28" s="1" t="s">
        <v>70</v>
      </c>
      <c r="U28" s="1" t="s">
        <v>151</v>
      </c>
      <c r="W28" s="1" t="s">
        <v>64</v>
      </c>
      <c r="AA28" s="1" t="s">
        <v>64</v>
      </c>
      <c r="AB28" s="1" t="s">
        <v>64</v>
      </c>
      <c r="AC28" s="1" t="s">
        <v>64</v>
      </c>
      <c r="AD28" s="1" t="s">
        <v>64</v>
      </c>
      <c r="AE28" s="1" t="s">
        <v>64</v>
      </c>
      <c r="AF28" s="1" t="s">
        <v>64</v>
      </c>
      <c r="AG28" s="1" t="s">
        <v>64</v>
      </c>
      <c r="AH28" s="1" t="s">
        <v>64</v>
      </c>
      <c r="AI28" s="1" t="s">
        <v>64</v>
      </c>
      <c r="AJ28" s="1" t="s">
        <v>64</v>
      </c>
      <c r="AK28" s="1" t="s">
        <v>64</v>
      </c>
      <c r="AL28" s="1" t="s">
        <v>64</v>
      </c>
      <c r="AM28" s="1" t="s">
        <v>64</v>
      </c>
      <c r="AN28" s="1" t="s">
        <v>64</v>
      </c>
      <c r="AO28" s="1" t="s">
        <v>64</v>
      </c>
      <c r="AP28" s="1" t="s">
        <v>64</v>
      </c>
      <c r="AQ28" s="1" t="s">
        <v>64</v>
      </c>
      <c r="AR28" s="1" t="s">
        <v>64</v>
      </c>
      <c r="AS28" s="1" t="s">
        <v>64</v>
      </c>
      <c r="AT28" s="1" t="s">
        <v>64</v>
      </c>
      <c r="AU28" s="1" t="s">
        <v>64</v>
      </c>
      <c r="AV28" s="1" t="s">
        <v>303</v>
      </c>
      <c r="AW28" s="1" t="s">
        <v>214</v>
      </c>
      <c r="AX28" s="1" t="s">
        <v>64</v>
      </c>
      <c r="AY28" s="1" t="s">
        <v>64</v>
      </c>
      <c r="AZ28" s="1" t="s">
        <v>64</v>
      </c>
      <c r="BA28" s="1" t="s">
        <v>64</v>
      </c>
      <c r="BB28" s="1" t="s">
        <v>64</v>
      </c>
      <c r="BC28" s="1" t="s">
        <v>64</v>
      </c>
      <c r="BD28" s="1" t="s">
        <v>64</v>
      </c>
      <c r="BE28" s="1" t="s">
        <v>64</v>
      </c>
      <c r="BF28" s="1" t="s">
        <v>64</v>
      </c>
      <c r="BG28" s="1" t="s">
        <v>64</v>
      </c>
      <c r="BH28" s="1" t="s">
        <v>64</v>
      </c>
      <c r="BI28" s="1" t="s">
        <v>64</v>
      </c>
      <c r="BJ28" s="1" t="s">
        <v>64</v>
      </c>
    </row>
    <row r="29" spans="2:84" x14ac:dyDescent="0.25">
      <c r="B29" s="42">
        <v>0</v>
      </c>
      <c r="C29" s="1">
        <v>1</v>
      </c>
      <c r="D29" s="1">
        <v>0</v>
      </c>
      <c r="E29" s="16">
        <v>1</v>
      </c>
      <c r="F29" s="42" t="s">
        <v>161</v>
      </c>
      <c r="G29" s="1" t="s">
        <v>161</v>
      </c>
      <c r="H29" s="1" t="s">
        <v>161</v>
      </c>
      <c r="I29" s="16" t="s">
        <v>161</v>
      </c>
      <c r="J29" s="42" t="s">
        <v>161</v>
      </c>
      <c r="K29" s="1" t="s">
        <v>161</v>
      </c>
      <c r="L29" s="1" t="s">
        <v>161</v>
      </c>
      <c r="M29" s="1" t="s">
        <v>161</v>
      </c>
      <c r="N29" s="1" t="s">
        <v>161</v>
      </c>
      <c r="O29" s="1" t="s">
        <v>161</v>
      </c>
      <c r="P29" s="1" t="s">
        <v>161</v>
      </c>
      <c r="Q29" s="16" t="s">
        <v>161</v>
      </c>
      <c r="S29" s="1" t="s">
        <v>82</v>
      </c>
      <c r="T29" s="1" t="s">
        <v>83</v>
      </c>
      <c r="U29" s="1" t="s">
        <v>151</v>
      </c>
      <c r="W29" s="1" t="s">
        <v>64</v>
      </c>
      <c r="X29" s="1" t="s">
        <v>237</v>
      </c>
      <c r="AA29" s="1" t="s">
        <v>64</v>
      </c>
      <c r="AB29" s="1" t="s">
        <v>64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64</v>
      </c>
      <c r="AM29" s="1" t="s">
        <v>64</v>
      </c>
      <c r="AN29" s="1" t="s">
        <v>203</v>
      </c>
      <c r="AO29" s="1" t="s">
        <v>302</v>
      </c>
      <c r="AP29" s="1">
        <v>1</v>
      </c>
      <c r="AQ29" s="1" t="s">
        <v>64</v>
      </c>
      <c r="AR29" s="1" t="s">
        <v>64</v>
      </c>
      <c r="AS29" s="1">
        <v>1</v>
      </c>
      <c r="AT29" s="1">
        <v>1</v>
      </c>
      <c r="AU29" s="1" t="s">
        <v>64</v>
      </c>
      <c r="AV29" s="1" t="s">
        <v>303</v>
      </c>
      <c r="AW29" s="1" t="s">
        <v>214</v>
      </c>
      <c r="AX29" s="1" t="s">
        <v>64</v>
      </c>
      <c r="AY29" s="1" t="s">
        <v>244</v>
      </c>
      <c r="AZ29" s="1" t="s">
        <v>64</v>
      </c>
      <c r="BA29" s="1" t="s">
        <v>64</v>
      </c>
      <c r="BB29" s="1" t="s">
        <v>64</v>
      </c>
      <c r="BC29" s="1" t="s">
        <v>64</v>
      </c>
      <c r="BD29" s="1" t="s">
        <v>64</v>
      </c>
      <c r="BE29" s="1" t="s">
        <v>64</v>
      </c>
      <c r="BF29" s="1" t="s">
        <v>64</v>
      </c>
      <c r="BG29" s="1" t="s">
        <v>64</v>
      </c>
      <c r="BH29" s="1" t="s">
        <v>64</v>
      </c>
      <c r="BI29" s="1" t="s">
        <v>64</v>
      </c>
      <c r="BJ29" s="1" t="s">
        <v>64</v>
      </c>
    </row>
    <row r="30" spans="2:84" x14ac:dyDescent="0.25">
      <c r="B30" s="42">
        <v>0</v>
      </c>
      <c r="C30" s="1">
        <v>1</v>
      </c>
      <c r="D30" s="1">
        <v>1</v>
      </c>
      <c r="E30" s="16">
        <v>0</v>
      </c>
      <c r="F30" s="42">
        <v>0</v>
      </c>
      <c r="G30" s="1">
        <v>0</v>
      </c>
      <c r="H30" s="1">
        <v>0</v>
      </c>
      <c r="I30" s="16">
        <v>0</v>
      </c>
      <c r="J30" s="42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6">
        <v>0</v>
      </c>
      <c r="S30" s="1" t="s">
        <v>94</v>
      </c>
      <c r="T30" s="1" t="s">
        <v>95</v>
      </c>
      <c r="U30" s="1" t="s">
        <v>64</v>
      </c>
      <c r="V30" s="1" t="s">
        <v>64</v>
      </c>
      <c r="W30" s="1" t="s">
        <v>64</v>
      </c>
      <c r="X30" s="1" t="s">
        <v>237</v>
      </c>
      <c r="AA30" s="1" t="s">
        <v>64</v>
      </c>
      <c r="AB30" s="1" t="s">
        <v>64</v>
      </c>
      <c r="AC30" s="1" t="s">
        <v>64</v>
      </c>
      <c r="AD30" s="1" t="s">
        <v>64</v>
      </c>
      <c r="AE30" s="1" t="s">
        <v>64</v>
      </c>
      <c r="AF30" s="1" t="s">
        <v>64</v>
      </c>
      <c r="AG30" s="1">
        <v>1</v>
      </c>
      <c r="AH30" s="1" t="s">
        <v>64</v>
      </c>
      <c r="AI30" s="1" t="s">
        <v>64</v>
      </c>
      <c r="AJ30" s="1" t="s">
        <v>64</v>
      </c>
      <c r="AK30" s="1" t="s">
        <v>64</v>
      </c>
      <c r="AL30" s="1" t="s">
        <v>64</v>
      </c>
      <c r="AM30" s="1" t="s">
        <v>203</v>
      </c>
      <c r="AN30" s="1" t="s">
        <v>64</v>
      </c>
      <c r="AO30" s="1" t="s">
        <v>64</v>
      </c>
      <c r="AP30" s="1" t="s">
        <v>64</v>
      </c>
      <c r="AQ30" s="1" t="s">
        <v>64</v>
      </c>
      <c r="AR30" s="1" t="s">
        <v>64</v>
      </c>
      <c r="AS30" s="1" t="s">
        <v>64</v>
      </c>
      <c r="AT30" s="1">
        <v>1</v>
      </c>
      <c r="AU30" s="1" t="s">
        <v>64</v>
      </c>
      <c r="AV30" s="1" t="s">
        <v>303</v>
      </c>
      <c r="AW30" s="1" t="s">
        <v>291</v>
      </c>
      <c r="AX30" s="1" t="s">
        <v>64</v>
      </c>
      <c r="AY30" s="1" t="s">
        <v>243</v>
      </c>
      <c r="AZ30" s="1" t="s">
        <v>64</v>
      </c>
      <c r="BA30" s="1" t="s">
        <v>64</v>
      </c>
      <c r="BB30" s="1" t="s">
        <v>64</v>
      </c>
      <c r="BC30" s="1" t="s">
        <v>64</v>
      </c>
      <c r="BD30" s="1" t="s">
        <v>64</v>
      </c>
      <c r="BE30" s="1" t="s">
        <v>64</v>
      </c>
      <c r="BF30" s="1" t="s">
        <v>64</v>
      </c>
      <c r="BG30" s="1" t="s">
        <v>64</v>
      </c>
      <c r="BH30" s="1" t="s">
        <v>64</v>
      </c>
      <c r="BI30" s="1" t="s">
        <v>64</v>
      </c>
      <c r="BJ30" s="1" t="s">
        <v>64</v>
      </c>
    </row>
    <row r="31" spans="2:84" x14ac:dyDescent="0.25">
      <c r="B31" s="42">
        <v>0</v>
      </c>
      <c r="C31" s="1">
        <v>1</v>
      </c>
      <c r="D31" s="1">
        <v>1</v>
      </c>
      <c r="E31" s="16">
        <v>0</v>
      </c>
      <c r="F31" s="42">
        <v>0</v>
      </c>
      <c r="G31" s="1">
        <v>0</v>
      </c>
      <c r="H31" s="1">
        <v>0</v>
      </c>
      <c r="I31" s="16">
        <v>0</v>
      </c>
      <c r="J31" s="42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6">
        <v>1</v>
      </c>
      <c r="S31" s="1" t="s">
        <v>604</v>
      </c>
      <c r="T31" s="1" t="s">
        <v>605</v>
      </c>
      <c r="U31" s="1" t="s">
        <v>64</v>
      </c>
      <c r="V31" s="1" t="s">
        <v>64</v>
      </c>
      <c r="W31" s="1" t="s">
        <v>64</v>
      </c>
      <c r="X31" s="1" t="s">
        <v>237</v>
      </c>
      <c r="AA31" s="1" t="s">
        <v>64</v>
      </c>
      <c r="AB31" s="1" t="s">
        <v>64</v>
      </c>
      <c r="AC31" s="1" t="s">
        <v>64</v>
      </c>
      <c r="AD31" s="1" t="s">
        <v>64</v>
      </c>
      <c r="AE31" s="1" t="s">
        <v>64</v>
      </c>
      <c r="AF31" s="1" t="s">
        <v>64</v>
      </c>
      <c r="AG31" s="1">
        <v>1</v>
      </c>
      <c r="AH31" s="1" t="s">
        <v>64</v>
      </c>
      <c r="AI31" s="1" t="s">
        <v>64</v>
      </c>
      <c r="AJ31" s="1" t="s">
        <v>64</v>
      </c>
      <c r="AK31" s="1" t="s">
        <v>64</v>
      </c>
      <c r="AL31" s="1" t="s">
        <v>64</v>
      </c>
      <c r="AM31" s="1" t="s">
        <v>203</v>
      </c>
      <c r="AN31" s="1" t="s">
        <v>64</v>
      </c>
      <c r="AO31" s="1" t="s">
        <v>64</v>
      </c>
      <c r="AP31" s="1" t="s">
        <v>64</v>
      </c>
      <c r="AQ31" s="1" t="s">
        <v>64</v>
      </c>
      <c r="AR31" s="1" t="s">
        <v>64</v>
      </c>
      <c r="AS31" s="1" t="s">
        <v>64</v>
      </c>
      <c r="AT31" s="1">
        <v>1</v>
      </c>
      <c r="AU31" s="1" t="s">
        <v>64</v>
      </c>
      <c r="AV31" s="1" t="s">
        <v>303</v>
      </c>
      <c r="AW31" s="1" t="s">
        <v>291</v>
      </c>
      <c r="AX31" s="1" t="s">
        <v>64</v>
      </c>
      <c r="AY31" s="1" t="s">
        <v>243</v>
      </c>
      <c r="AZ31" s="1" t="s">
        <v>64</v>
      </c>
      <c r="BA31" s="1" t="s">
        <v>64</v>
      </c>
      <c r="BB31" s="1" t="s">
        <v>64</v>
      </c>
      <c r="BC31" s="1" t="s">
        <v>64</v>
      </c>
      <c r="BD31" s="1" t="s">
        <v>64</v>
      </c>
      <c r="BE31" s="1" t="s">
        <v>64</v>
      </c>
      <c r="BF31" s="1" t="s">
        <v>64</v>
      </c>
      <c r="BG31" s="1" t="s">
        <v>64</v>
      </c>
      <c r="BH31" s="1" t="s">
        <v>64</v>
      </c>
      <c r="BI31" s="1" t="s">
        <v>64</v>
      </c>
      <c r="BJ31" s="1" t="s">
        <v>64</v>
      </c>
    </row>
    <row r="32" spans="2:84" x14ac:dyDescent="0.25">
      <c r="B32" s="42">
        <v>0</v>
      </c>
      <c r="C32" s="1">
        <v>1</v>
      </c>
      <c r="D32" s="1">
        <v>1</v>
      </c>
      <c r="E32" s="16">
        <v>0</v>
      </c>
      <c r="F32" s="42">
        <v>0</v>
      </c>
      <c r="G32" s="1">
        <v>0</v>
      </c>
      <c r="H32" s="1">
        <v>1</v>
      </c>
      <c r="I32" s="16">
        <v>0</v>
      </c>
      <c r="J32" s="42" t="s">
        <v>154</v>
      </c>
      <c r="K32" s="1" t="s">
        <v>154</v>
      </c>
      <c r="L32" s="1" t="s">
        <v>154</v>
      </c>
      <c r="M32" s="1" t="s">
        <v>154</v>
      </c>
      <c r="N32" s="1" t="s">
        <v>154</v>
      </c>
      <c r="O32" s="1" t="s">
        <v>154</v>
      </c>
      <c r="P32" s="1" t="s">
        <v>154</v>
      </c>
      <c r="Q32" s="16" t="s">
        <v>154</v>
      </c>
      <c r="S32" s="1" t="s">
        <v>100</v>
      </c>
      <c r="T32" s="1" t="s">
        <v>101</v>
      </c>
      <c r="U32" s="1" t="s">
        <v>152</v>
      </c>
      <c r="W32" s="1" t="s">
        <v>64</v>
      </c>
      <c r="AA32" s="1" t="s">
        <v>64</v>
      </c>
      <c r="AB32" s="1" t="s">
        <v>64</v>
      </c>
      <c r="AC32" s="1" t="s">
        <v>64</v>
      </c>
      <c r="AD32" s="1" t="s">
        <v>64</v>
      </c>
      <c r="AE32" s="1" t="s">
        <v>64</v>
      </c>
      <c r="AF32" s="1" t="s">
        <v>64</v>
      </c>
      <c r="AG32" s="1" t="s">
        <v>64</v>
      </c>
      <c r="AH32" s="1" t="s">
        <v>64</v>
      </c>
      <c r="AI32" s="1" t="s">
        <v>64</v>
      </c>
      <c r="AJ32" s="1" t="s">
        <v>64</v>
      </c>
      <c r="AK32" s="1" t="s">
        <v>64</v>
      </c>
      <c r="AL32" s="1" t="s">
        <v>64</v>
      </c>
      <c r="AM32" s="1" t="s">
        <v>64</v>
      </c>
      <c r="AN32" s="1" t="s">
        <v>64</v>
      </c>
      <c r="AO32" s="1" t="s">
        <v>64</v>
      </c>
      <c r="AP32" s="1" t="s">
        <v>64</v>
      </c>
      <c r="AQ32" s="1" t="s">
        <v>64</v>
      </c>
      <c r="AR32" s="1" t="s">
        <v>64</v>
      </c>
      <c r="AS32" s="1" t="s">
        <v>64</v>
      </c>
      <c r="AT32" s="1" t="s">
        <v>64</v>
      </c>
      <c r="AU32" s="1">
        <v>1</v>
      </c>
      <c r="AV32" s="1" t="s">
        <v>64</v>
      </c>
      <c r="AW32" s="1" t="s">
        <v>241</v>
      </c>
      <c r="AX32" s="1" t="s">
        <v>64</v>
      </c>
      <c r="AY32" s="1" t="s">
        <v>64</v>
      </c>
      <c r="AZ32" s="1" t="s">
        <v>64</v>
      </c>
      <c r="BA32" s="1" t="s">
        <v>64</v>
      </c>
      <c r="BB32" s="1" t="s">
        <v>64</v>
      </c>
      <c r="BC32" s="1" t="s">
        <v>64</v>
      </c>
      <c r="BD32" s="1" t="s">
        <v>64</v>
      </c>
      <c r="BE32" s="1" t="s">
        <v>64</v>
      </c>
      <c r="BF32" s="1" t="s">
        <v>64</v>
      </c>
      <c r="BG32" s="1" t="s">
        <v>64</v>
      </c>
      <c r="BH32" s="1" t="s">
        <v>64</v>
      </c>
      <c r="BI32" s="1" t="s">
        <v>64</v>
      </c>
      <c r="BJ32" s="1" t="s">
        <v>64</v>
      </c>
      <c r="BQ32" s="54"/>
      <c r="BR32" s="54"/>
      <c r="BS32" s="54"/>
      <c r="BT32" s="54"/>
      <c r="CC32" s="33"/>
      <c r="CD32" s="33"/>
      <c r="CE32" s="33"/>
      <c r="CF32" s="33"/>
    </row>
    <row r="33" spans="2:68" x14ac:dyDescent="0.25">
      <c r="B33" s="42">
        <v>0</v>
      </c>
      <c r="C33" s="1">
        <v>1</v>
      </c>
      <c r="D33" s="1">
        <v>1</v>
      </c>
      <c r="E33" s="16">
        <v>0</v>
      </c>
      <c r="F33" s="42">
        <v>0</v>
      </c>
      <c r="G33" s="1">
        <v>0</v>
      </c>
      <c r="H33" s="1">
        <v>1</v>
      </c>
      <c r="I33" s="16">
        <v>1</v>
      </c>
      <c r="J33" s="42" t="s">
        <v>154</v>
      </c>
      <c r="K33" s="1" t="s">
        <v>154</v>
      </c>
      <c r="L33" s="1" t="s">
        <v>154</v>
      </c>
      <c r="M33" s="1" t="s">
        <v>154</v>
      </c>
      <c r="N33" s="1" t="s">
        <v>154</v>
      </c>
      <c r="O33" s="1" t="s">
        <v>154</v>
      </c>
      <c r="P33" s="1" t="s">
        <v>154</v>
      </c>
      <c r="Q33" s="16" t="s">
        <v>154</v>
      </c>
      <c r="S33" s="1" t="s">
        <v>98</v>
      </c>
      <c r="T33" s="1" t="s">
        <v>99</v>
      </c>
      <c r="U33" s="1" t="s">
        <v>152</v>
      </c>
      <c r="W33" s="1" t="s">
        <v>64</v>
      </c>
      <c r="X33" s="1" t="s">
        <v>237</v>
      </c>
      <c r="AA33" s="1" t="s">
        <v>64</v>
      </c>
      <c r="AB33" s="1" t="s">
        <v>64</v>
      </c>
      <c r="AC33" s="1" t="s">
        <v>64</v>
      </c>
      <c r="AD33" s="1" t="s">
        <v>64</v>
      </c>
      <c r="AE33" s="1" t="s">
        <v>64</v>
      </c>
      <c r="AF33" s="1" t="s">
        <v>64</v>
      </c>
      <c r="AG33" s="1" t="s">
        <v>64</v>
      </c>
      <c r="AH33" s="1" t="s">
        <v>64</v>
      </c>
      <c r="AI33" s="1" t="s">
        <v>64</v>
      </c>
      <c r="AJ33" s="1" t="s">
        <v>64</v>
      </c>
      <c r="AK33" s="1" t="s">
        <v>64</v>
      </c>
      <c r="AL33" s="1" t="s">
        <v>64</v>
      </c>
      <c r="AM33" s="1" t="s">
        <v>64</v>
      </c>
      <c r="AN33" s="1" t="s">
        <v>203</v>
      </c>
      <c r="AO33" s="1" t="s">
        <v>302</v>
      </c>
      <c r="AP33" s="1">
        <v>1</v>
      </c>
      <c r="AQ33" s="1" t="s">
        <v>64</v>
      </c>
      <c r="AR33" s="1" t="s">
        <v>64</v>
      </c>
      <c r="AS33" s="1">
        <v>1</v>
      </c>
      <c r="AT33" s="1">
        <v>1</v>
      </c>
      <c r="AU33" s="1">
        <v>1</v>
      </c>
      <c r="AV33" s="1" t="s">
        <v>64</v>
      </c>
      <c r="AW33" s="1" t="s">
        <v>241</v>
      </c>
      <c r="AX33" s="1" t="s">
        <v>64</v>
      </c>
      <c r="AY33" s="1" t="s">
        <v>244</v>
      </c>
      <c r="AZ33" s="1" t="s">
        <v>64</v>
      </c>
      <c r="BA33" s="1" t="s">
        <v>64</v>
      </c>
      <c r="BB33" s="1" t="s">
        <v>64</v>
      </c>
      <c r="BC33" s="1" t="s">
        <v>64</v>
      </c>
      <c r="BD33" s="1" t="s">
        <v>64</v>
      </c>
      <c r="BE33" s="1" t="s">
        <v>64</v>
      </c>
      <c r="BF33" s="1" t="s">
        <v>64</v>
      </c>
      <c r="BG33" s="1" t="s">
        <v>64</v>
      </c>
      <c r="BH33" s="1" t="s">
        <v>64</v>
      </c>
      <c r="BI33" s="1" t="s">
        <v>64</v>
      </c>
      <c r="BJ33" s="1" t="s">
        <v>64</v>
      </c>
    </row>
    <row r="34" spans="2:68" x14ac:dyDescent="0.25">
      <c r="B34" s="42">
        <v>0</v>
      </c>
      <c r="C34" s="1">
        <v>1</v>
      </c>
      <c r="D34" s="1">
        <v>1</v>
      </c>
      <c r="E34" s="16">
        <v>1</v>
      </c>
      <c r="F34" s="42">
        <v>0</v>
      </c>
      <c r="G34" s="1">
        <v>0</v>
      </c>
      <c r="H34" s="1">
        <v>0</v>
      </c>
      <c r="I34" s="16">
        <v>0</v>
      </c>
      <c r="J34" s="42" t="s">
        <v>154</v>
      </c>
      <c r="K34" s="1" t="s">
        <v>154</v>
      </c>
      <c r="L34" s="1" t="s">
        <v>154</v>
      </c>
      <c r="M34" s="1" t="s">
        <v>154</v>
      </c>
      <c r="N34" s="1" t="s">
        <v>154</v>
      </c>
      <c r="O34" s="1" t="s">
        <v>154</v>
      </c>
      <c r="P34" s="1" t="s">
        <v>154</v>
      </c>
      <c r="Q34" s="16" t="s">
        <v>154</v>
      </c>
      <c r="S34" s="1" t="s">
        <v>594</v>
      </c>
      <c r="T34" s="1" t="s">
        <v>135</v>
      </c>
      <c r="U34" s="1" t="s">
        <v>152</v>
      </c>
      <c r="W34" s="1" t="s">
        <v>64</v>
      </c>
      <c r="X34" s="1" t="s">
        <v>119</v>
      </c>
      <c r="AA34" s="1" t="s">
        <v>64</v>
      </c>
      <c r="AB34" s="1" t="s">
        <v>64</v>
      </c>
      <c r="AC34" s="1" t="s">
        <v>64</v>
      </c>
      <c r="AD34" s="1" t="s">
        <v>64</v>
      </c>
      <c r="AE34" s="1" t="s">
        <v>64</v>
      </c>
      <c r="AF34" s="1" t="s">
        <v>64</v>
      </c>
      <c r="AG34" s="1" t="s">
        <v>64</v>
      </c>
      <c r="AH34" s="1" t="s">
        <v>64</v>
      </c>
      <c r="AI34" s="1" t="s">
        <v>64</v>
      </c>
      <c r="AJ34" s="1" t="s">
        <v>64</v>
      </c>
      <c r="AK34" s="1" t="s">
        <v>64</v>
      </c>
      <c r="AL34" s="1" t="s">
        <v>64</v>
      </c>
      <c r="AM34" s="1" t="s">
        <v>64</v>
      </c>
      <c r="AN34" s="1" t="s">
        <v>64</v>
      </c>
      <c r="AO34" s="1" t="s">
        <v>64</v>
      </c>
      <c r="AP34" s="1" t="s">
        <v>64</v>
      </c>
      <c r="AQ34" s="1" t="s">
        <v>64</v>
      </c>
      <c r="AR34" s="1" t="s">
        <v>64</v>
      </c>
      <c r="AS34" s="1" t="s">
        <v>64</v>
      </c>
      <c r="AT34" s="1" t="s">
        <v>64</v>
      </c>
      <c r="AU34" s="1">
        <v>1</v>
      </c>
      <c r="AV34" s="1" t="s">
        <v>64</v>
      </c>
      <c r="AW34" s="1" t="s">
        <v>241</v>
      </c>
      <c r="AX34" s="1" t="s">
        <v>64</v>
      </c>
      <c r="AY34" s="1" t="s">
        <v>64</v>
      </c>
      <c r="AZ34" s="1" t="s">
        <v>64</v>
      </c>
      <c r="BA34" s="1" t="s">
        <v>64</v>
      </c>
      <c r="BB34" s="1" t="s">
        <v>64</v>
      </c>
      <c r="BC34" s="1" t="s">
        <v>64</v>
      </c>
      <c r="BD34" s="1" t="s">
        <v>64</v>
      </c>
      <c r="BE34" s="1" t="s">
        <v>64</v>
      </c>
      <c r="BF34" s="1" t="s">
        <v>64</v>
      </c>
      <c r="BG34" s="1" t="s">
        <v>64</v>
      </c>
      <c r="BH34" s="1" t="s">
        <v>64</v>
      </c>
      <c r="BI34" s="1" t="s">
        <v>64</v>
      </c>
      <c r="BJ34" s="1" t="s">
        <v>64</v>
      </c>
    </row>
    <row r="35" spans="2:68" x14ac:dyDescent="0.25">
      <c r="B35" s="42">
        <v>0</v>
      </c>
      <c r="C35" s="1">
        <v>1</v>
      </c>
      <c r="D35" s="1">
        <v>1</v>
      </c>
      <c r="E35" s="16">
        <v>1</v>
      </c>
      <c r="F35" s="42">
        <v>0</v>
      </c>
      <c r="G35" s="1">
        <v>0</v>
      </c>
      <c r="H35" s="1">
        <v>0</v>
      </c>
      <c r="I35" s="16">
        <v>1</v>
      </c>
      <c r="J35" s="42" t="s">
        <v>154</v>
      </c>
      <c r="K35" s="1" t="s">
        <v>154</v>
      </c>
      <c r="L35" s="1" t="s">
        <v>154</v>
      </c>
      <c r="M35" s="1" t="s">
        <v>154</v>
      </c>
      <c r="N35" s="1" t="s">
        <v>154</v>
      </c>
      <c r="O35" s="1" t="s">
        <v>154</v>
      </c>
      <c r="P35" s="1" t="s">
        <v>154</v>
      </c>
      <c r="Q35" s="16" t="s">
        <v>154</v>
      </c>
      <c r="S35" s="1" t="s">
        <v>188</v>
      </c>
      <c r="T35" s="1" t="s">
        <v>134</v>
      </c>
      <c r="U35" s="1" t="s">
        <v>152</v>
      </c>
      <c r="W35" s="1" t="s">
        <v>64</v>
      </c>
      <c r="X35" s="1" t="s">
        <v>120</v>
      </c>
      <c r="AA35" s="1" t="s">
        <v>64</v>
      </c>
      <c r="AB35" s="1" t="s">
        <v>64</v>
      </c>
      <c r="AC35" s="1" t="s">
        <v>64</v>
      </c>
      <c r="AD35" s="1" t="s">
        <v>64</v>
      </c>
      <c r="AE35" s="1" t="s">
        <v>64</v>
      </c>
      <c r="AF35" s="1" t="s">
        <v>64</v>
      </c>
      <c r="AG35" s="1" t="s">
        <v>64</v>
      </c>
      <c r="AH35" s="1" t="s">
        <v>64</v>
      </c>
      <c r="AI35" s="1" t="s">
        <v>64</v>
      </c>
      <c r="AJ35" s="1" t="s">
        <v>64</v>
      </c>
      <c r="AK35" s="1" t="s">
        <v>64</v>
      </c>
      <c r="AL35" s="1" t="s">
        <v>64</v>
      </c>
      <c r="AM35" s="1" t="s">
        <v>64</v>
      </c>
      <c r="AN35" s="1" t="s">
        <v>64</v>
      </c>
      <c r="AO35" s="1" t="s">
        <v>64</v>
      </c>
      <c r="AP35" s="1" t="s">
        <v>64</v>
      </c>
      <c r="AQ35" s="1" t="s">
        <v>64</v>
      </c>
      <c r="AR35" s="1" t="s">
        <v>64</v>
      </c>
      <c r="AS35" s="1" t="s">
        <v>64</v>
      </c>
      <c r="AT35" s="1" t="s">
        <v>64</v>
      </c>
      <c r="AU35" s="1">
        <v>1</v>
      </c>
      <c r="AV35" s="1" t="s">
        <v>64</v>
      </c>
      <c r="AW35" s="1" t="s">
        <v>241</v>
      </c>
      <c r="AX35" s="1" t="s">
        <v>64</v>
      </c>
      <c r="AY35" s="1" t="s">
        <v>64</v>
      </c>
      <c r="AZ35" s="1" t="s">
        <v>64</v>
      </c>
      <c r="BA35" s="1" t="s">
        <v>64</v>
      </c>
      <c r="BB35" s="1" t="s">
        <v>64</v>
      </c>
      <c r="BC35" s="1" t="s">
        <v>64</v>
      </c>
      <c r="BD35" s="1" t="s">
        <v>64</v>
      </c>
      <c r="BE35" s="1" t="s">
        <v>64</v>
      </c>
      <c r="BF35" s="1" t="s">
        <v>64</v>
      </c>
      <c r="BG35" s="1" t="s">
        <v>64</v>
      </c>
      <c r="BH35" s="1" t="s">
        <v>64</v>
      </c>
      <c r="BI35" s="1" t="s">
        <v>64</v>
      </c>
      <c r="BJ35" s="1" t="s">
        <v>64</v>
      </c>
    </row>
    <row r="36" spans="2:68" x14ac:dyDescent="0.25">
      <c r="B36" s="42">
        <v>0</v>
      </c>
      <c r="C36" s="1">
        <v>1</v>
      </c>
      <c r="D36" s="1">
        <v>1</v>
      </c>
      <c r="E36" s="16">
        <v>1</v>
      </c>
      <c r="F36" s="42">
        <v>0</v>
      </c>
      <c r="G36" s="1">
        <v>0</v>
      </c>
      <c r="H36" s="1">
        <v>1</v>
      </c>
      <c r="I36" s="16">
        <v>0</v>
      </c>
      <c r="J36" s="42" t="s">
        <v>154</v>
      </c>
      <c r="K36" s="1" t="s">
        <v>154</v>
      </c>
      <c r="L36" s="1" t="s">
        <v>154</v>
      </c>
      <c r="M36" s="1" t="s">
        <v>154</v>
      </c>
      <c r="N36" s="1" t="s">
        <v>154</v>
      </c>
      <c r="O36" s="1" t="s">
        <v>154</v>
      </c>
      <c r="P36" s="1" t="s">
        <v>154</v>
      </c>
      <c r="Q36" s="16" t="s">
        <v>154</v>
      </c>
      <c r="S36" s="1" t="s">
        <v>189</v>
      </c>
      <c r="T36" s="1" t="s">
        <v>138</v>
      </c>
      <c r="U36" s="1" t="s">
        <v>152</v>
      </c>
      <c r="W36" s="1" t="s">
        <v>64</v>
      </c>
      <c r="X36" s="1" t="s">
        <v>117</v>
      </c>
      <c r="AA36" s="1" t="s">
        <v>64</v>
      </c>
      <c r="AB36" s="1" t="s">
        <v>64</v>
      </c>
      <c r="AC36" s="1" t="s">
        <v>64</v>
      </c>
      <c r="AD36" s="1" t="s">
        <v>64</v>
      </c>
      <c r="AE36" s="1" t="s">
        <v>64</v>
      </c>
      <c r="AF36" s="1" t="s">
        <v>64</v>
      </c>
      <c r="AG36" s="1" t="s">
        <v>64</v>
      </c>
      <c r="AH36" s="1" t="s">
        <v>64</v>
      </c>
      <c r="AI36" s="1" t="s">
        <v>64</v>
      </c>
      <c r="AJ36" s="1" t="s">
        <v>64</v>
      </c>
      <c r="AK36" s="1" t="s">
        <v>64</v>
      </c>
      <c r="AL36" s="1" t="s">
        <v>64</v>
      </c>
      <c r="AM36" s="1" t="s">
        <v>64</v>
      </c>
      <c r="AN36" s="1" t="s">
        <v>64</v>
      </c>
      <c r="AO36" s="1" t="s">
        <v>64</v>
      </c>
      <c r="AP36" s="1" t="s">
        <v>64</v>
      </c>
      <c r="AQ36" s="1" t="s">
        <v>64</v>
      </c>
      <c r="AR36" s="1" t="s">
        <v>64</v>
      </c>
      <c r="AS36" s="1" t="s">
        <v>64</v>
      </c>
      <c r="AT36" s="1" t="s">
        <v>64</v>
      </c>
      <c r="AU36" s="1">
        <v>1</v>
      </c>
      <c r="AV36" s="1" t="s">
        <v>64</v>
      </c>
      <c r="AW36" s="1" t="s">
        <v>241</v>
      </c>
      <c r="AX36" s="1" t="s">
        <v>64</v>
      </c>
      <c r="AY36" s="1" t="s">
        <v>64</v>
      </c>
      <c r="AZ36" s="1" t="s">
        <v>64</v>
      </c>
      <c r="BA36" s="1" t="s">
        <v>64</v>
      </c>
      <c r="BB36" s="1" t="s">
        <v>64</v>
      </c>
      <c r="BC36" s="1" t="s">
        <v>64</v>
      </c>
      <c r="BD36" s="1" t="s">
        <v>64</v>
      </c>
      <c r="BE36" s="1" t="s">
        <v>64</v>
      </c>
      <c r="BF36" s="1" t="s">
        <v>64</v>
      </c>
      <c r="BG36" s="1" t="s">
        <v>64</v>
      </c>
      <c r="BH36" s="1" t="s">
        <v>64</v>
      </c>
      <c r="BI36" s="1" t="s">
        <v>64</v>
      </c>
      <c r="BJ36" s="1" t="s">
        <v>64</v>
      </c>
    </row>
    <row r="37" spans="2:68" x14ac:dyDescent="0.25">
      <c r="B37" s="42">
        <v>0</v>
      </c>
      <c r="C37" s="1">
        <v>1</v>
      </c>
      <c r="D37" s="1">
        <v>1</v>
      </c>
      <c r="E37" s="16">
        <v>1</v>
      </c>
      <c r="F37" s="42">
        <v>0</v>
      </c>
      <c r="G37" s="1">
        <v>0</v>
      </c>
      <c r="H37" s="1">
        <v>1</v>
      </c>
      <c r="I37" s="16">
        <v>0</v>
      </c>
      <c r="J37" s="42" t="s">
        <v>154</v>
      </c>
      <c r="K37" s="1" t="s">
        <v>154</v>
      </c>
      <c r="L37" s="1" t="s">
        <v>154</v>
      </c>
      <c r="M37" s="1" t="s">
        <v>154</v>
      </c>
      <c r="N37" s="1" t="s">
        <v>154</v>
      </c>
      <c r="O37" s="1" t="s">
        <v>154</v>
      </c>
      <c r="P37" s="1" t="s">
        <v>154</v>
      </c>
      <c r="Q37" s="16" t="s">
        <v>154</v>
      </c>
      <c r="S37" s="1" t="s">
        <v>190</v>
      </c>
      <c r="T37" s="1" t="s">
        <v>139</v>
      </c>
      <c r="U37" s="1" t="s">
        <v>152</v>
      </c>
      <c r="W37" s="1" t="s">
        <v>64</v>
      </c>
      <c r="X37" s="1" t="s">
        <v>125</v>
      </c>
      <c r="AA37" s="1" t="s">
        <v>64</v>
      </c>
      <c r="AB37" s="1" t="s">
        <v>64</v>
      </c>
      <c r="AC37" s="1" t="s">
        <v>64</v>
      </c>
      <c r="AD37" s="1" t="s">
        <v>64</v>
      </c>
      <c r="AE37" s="1" t="s">
        <v>64</v>
      </c>
      <c r="AF37" s="1" t="s">
        <v>64</v>
      </c>
      <c r="AG37" s="1" t="s">
        <v>64</v>
      </c>
      <c r="AH37" s="1" t="s">
        <v>64</v>
      </c>
      <c r="AI37" s="1" t="s">
        <v>64</v>
      </c>
      <c r="AJ37" s="1" t="s">
        <v>64</v>
      </c>
      <c r="AK37" s="1" t="s">
        <v>64</v>
      </c>
      <c r="AL37" s="1" t="s">
        <v>64</v>
      </c>
      <c r="AM37" s="1" t="s">
        <v>64</v>
      </c>
      <c r="AN37" s="1" t="s">
        <v>64</v>
      </c>
      <c r="AO37" s="1" t="s">
        <v>64</v>
      </c>
      <c r="AP37" s="1" t="s">
        <v>64</v>
      </c>
      <c r="AQ37" s="1" t="s">
        <v>64</v>
      </c>
      <c r="AR37" s="1" t="s">
        <v>64</v>
      </c>
      <c r="AS37" s="1" t="s">
        <v>64</v>
      </c>
      <c r="AT37" s="1" t="s">
        <v>64</v>
      </c>
      <c r="AU37" s="1">
        <v>1</v>
      </c>
      <c r="AV37" s="1" t="s">
        <v>64</v>
      </c>
      <c r="AW37" s="1" t="s">
        <v>241</v>
      </c>
      <c r="AX37" s="1" t="s">
        <v>64</v>
      </c>
      <c r="AY37" s="1" t="s">
        <v>64</v>
      </c>
      <c r="AZ37" s="1" t="s">
        <v>64</v>
      </c>
      <c r="BA37" s="1" t="s">
        <v>64</v>
      </c>
      <c r="BB37" s="1" t="s">
        <v>64</v>
      </c>
      <c r="BC37" s="1" t="s">
        <v>64</v>
      </c>
      <c r="BD37" s="1" t="s">
        <v>64</v>
      </c>
      <c r="BE37" s="1" t="s">
        <v>64</v>
      </c>
      <c r="BF37" s="1" t="s">
        <v>64</v>
      </c>
      <c r="BG37" s="1" t="s">
        <v>64</v>
      </c>
      <c r="BH37" s="1" t="s">
        <v>64</v>
      </c>
      <c r="BI37" s="1" t="s">
        <v>64</v>
      </c>
      <c r="BJ37" s="1" t="s">
        <v>64</v>
      </c>
    </row>
    <row r="38" spans="2:68" x14ac:dyDescent="0.25">
      <c r="B38" s="42">
        <v>0</v>
      </c>
      <c r="C38" s="1">
        <v>1</v>
      </c>
      <c r="D38" s="1">
        <v>1</v>
      </c>
      <c r="E38" s="16">
        <v>1</v>
      </c>
      <c r="F38" s="42">
        <v>0</v>
      </c>
      <c r="G38" s="1">
        <v>0</v>
      </c>
      <c r="H38" s="1">
        <v>1</v>
      </c>
      <c r="I38" s="16">
        <v>1</v>
      </c>
      <c r="J38" s="42" t="s">
        <v>154</v>
      </c>
      <c r="K38" s="1" t="s">
        <v>154</v>
      </c>
      <c r="L38" s="1" t="s">
        <v>154</v>
      </c>
      <c r="M38" s="1" t="s">
        <v>154</v>
      </c>
      <c r="N38" s="1" t="s">
        <v>154</v>
      </c>
      <c r="O38" s="1" t="s">
        <v>154</v>
      </c>
      <c r="P38" s="1" t="s">
        <v>154</v>
      </c>
      <c r="Q38" s="16" t="s">
        <v>154</v>
      </c>
      <c r="S38" s="1" t="s">
        <v>191</v>
      </c>
      <c r="T38" s="1" t="s">
        <v>136</v>
      </c>
      <c r="U38" s="1" t="s">
        <v>152</v>
      </c>
      <c r="W38" s="1" t="s">
        <v>64</v>
      </c>
      <c r="X38" s="1" t="s">
        <v>118</v>
      </c>
      <c r="AA38" s="1" t="s">
        <v>64</v>
      </c>
      <c r="AB38" s="1" t="s">
        <v>64</v>
      </c>
      <c r="AC38" s="1" t="s">
        <v>64</v>
      </c>
      <c r="AD38" s="1" t="s">
        <v>64</v>
      </c>
      <c r="AE38" s="1" t="s">
        <v>64</v>
      </c>
      <c r="AF38" s="1" t="s">
        <v>64</v>
      </c>
      <c r="AG38" s="1" t="s">
        <v>64</v>
      </c>
      <c r="AH38" s="1" t="s">
        <v>64</v>
      </c>
      <c r="AI38" s="1" t="s">
        <v>64</v>
      </c>
      <c r="AJ38" s="1" t="s">
        <v>64</v>
      </c>
      <c r="AK38" s="1" t="s">
        <v>64</v>
      </c>
      <c r="AL38" s="1" t="s">
        <v>64</v>
      </c>
      <c r="AM38" s="1" t="s">
        <v>64</v>
      </c>
      <c r="AN38" s="1" t="s">
        <v>64</v>
      </c>
      <c r="AO38" s="1" t="s">
        <v>64</v>
      </c>
      <c r="AP38" s="1" t="s">
        <v>64</v>
      </c>
      <c r="AQ38" s="1" t="s">
        <v>64</v>
      </c>
      <c r="AR38" s="1" t="s">
        <v>64</v>
      </c>
      <c r="AS38" s="1" t="s">
        <v>64</v>
      </c>
      <c r="AT38" s="1" t="s">
        <v>64</v>
      </c>
      <c r="AU38" s="1">
        <v>1</v>
      </c>
      <c r="AV38" s="1" t="s">
        <v>64</v>
      </c>
      <c r="AW38" s="1" t="s">
        <v>241</v>
      </c>
      <c r="AX38" s="1" t="s">
        <v>64</v>
      </c>
      <c r="AY38" s="1" t="s">
        <v>64</v>
      </c>
      <c r="AZ38" s="1" t="s">
        <v>64</v>
      </c>
      <c r="BA38" s="1" t="s">
        <v>64</v>
      </c>
      <c r="BB38" s="1" t="s">
        <v>64</v>
      </c>
      <c r="BC38" s="1" t="s">
        <v>64</v>
      </c>
      <c r="BD38" s="1" t="s">
        <v>64</v>
      </c>
      <c r="BE38" s="1" t="s">
        <v>64</v>
      </c>
      <c r="BF38" s="1" t="s">
        <v>64</v>
      </c>
      <c r="BG38" s="1" t="s">
        <v>64</v>
      </c>
      <c r="BH38" s="1" t="s">
        <v>64</v>
      </c>
      <c r="BI38" s="1" t="s">
        <v>64</v>
      </c>
      <c r="BJ38" s="1" t="s">
        <v>64</v>
      </c>
    </row>
    <row r="39" spans="2:68" x14ac:dyDescent="0.25">
      <c r="B39" s="42">
        <v>0</v>
      </c>
      <c r="C39" s="1">
        <v>1</v>
      </c>
      <c r="D39" s="1">
        <v>1</v>
      </c>
      <c r="E39" s="16">
        <v>1</v>
      </c>
      <c r="F39" s="42">
        <v>0</v>
      </c>
      <c r="G39" s="1">
        <v>0</v>
      </c>
      <c r="H39" s="1">
        <v>1</v>
      </c>
      <c r="I39" s="16">
        <v>1</v>
      </c>
      <c r="J39" s="42" t="s">
        <v>154</v>
      </c>
      <c r="K39" s="1" t="s">
        <v>154</v>
      </c>
      <c r="L39" s="1" t="s">
        <v>154</v>
      </c>
      <c r="M39" s="1" t="s">
        <v>154</v>
      </c>
      <c r="N39" s="1" t="s">
        <v>154</v>
      </c>
      <c r="O39" s="1" t="s">
        <v>154</v>
      </c>
      <c r="P39" s="1" t="s">
        <v>154</v>
      </c>
      <c r="Q39" s="16" t="s">
        <v>154</v>
      </c>
      <c r="S39" s="1" t="s">
        <v>192</v>
      </c>
      <c r="T39" s="1" t="s">
        <v>137</v>
      </c>
      <c r="U39" s="1" t="s">
        <v>152</v>
      </c>
      <c r="W39" s="1" t="s">
        <v>64</v>
      </c>
      <c r="X39" s="1" t="s">
        <v>124</v>
      </c>
      <c r="AA39" s="1" t="s">
        <v>64</v>
      </c>
      <c r="AB39" s="1" t="s">
        <v>64</v>
      </c>
      <c r="AC39" s="1" t="s">
        <v>64</v>
      </c>
      <c r="AD39" s="1" t="s">
        <v>64</v>
      </c>
      <c r="AE39" s="1" t="s">
        <v>64</v>
      </c>
      <c r="AF39" s="1" t="s">
        <v>64</v>
      </c>
      <c r="AG39" s="1" t="s">
        <v>64</v>
      </c>
      <c r="AH39" s="1" t="s">
        <v>64</v>
      </c>
      <c r="AI39" s="1" t="s">
        <v>64</v>
      </c>
      <c r="AJ39" s="1" t="s">
        <v>64</v>
      </c>
      <c r="AK39" s="1" t="s">
        <v>64</v>
      </c>
      <c r="AL39" s="1" t="s">
        <v>64</v>
      </c>
      <c r="AM39" s="1" t="s">
        <v>64</v>
      </c>
      <c r="AN39" s="1" t="s">
        <v>64</v>
      </c>
      <c r="AO39" s="1" t="s">
        <v>64</v>
      </c>
      <c r="AP39" s="1" t="s">
        <v>64</v>
      </c>
      <c r="AQ39" s="1" t="s">
        <v>64</v>
      </c>
      <c r="AR39" s="1" t="s">
        <v>64</v>
      </c>
      <c r="AS39" s="1" t="s">
        <v>64</v>
      </c>
      <c r="AT39" s="1" t="s">
        <v>64</v>
      </c>
      <c r="AU39" s="1">
        <v>1</v>
      </c>
      <c r="AV39" s="1" t="s">
        <v>64</v>
      </c>
      <c r="AW39" s="1" t="s">
        <v>241</v>
      </c>
      <c r="AX39" s="1" t="s">
        <v>64</v>
      </c>
      <c r="AY39" s="1" t="s">
        <v>64</v>
      </c>
      <c r="AZ39" s="1" t="s">
        <v>64</v>
      </c>
      <c r="BA39" s="1" t="s">
        <v>64</v>
      </c>
      <c r="BB39" s="1" t="s">
        <v>64</v>
      </c>
      <c r="BC39" s="1" t="s">
        <v>64</v>
      </c>
      <c r="BD39" s="1" t="s">
        <v>64</v>
      </c>
      <c r="BE39" s="1" t="s">
        <v>64</v>
      </c>
      <c r="BF39" s="1" t="s">
        <v>64</v>
      </c>
      <c r="BG39" s="1" t="s">
        <v>64</v>
      </c>
      <c r="BH39" s="1" t="s">
        <v>64</v>
      </c>
      <c r="BI39" s="1" t="s">
        <v>64</v>
      </c>
      <c r="BJ39" s="1" t="s">
        <v>64</v>
      </c>
    </row>
    <row r="40" spans="2:68" x14ac:dyDescent="0.25">
      <c r="B40" s="42">
        <v>0</v>
      </c>
      <c r="C40" s="1">
        <v>1</v>
      </c>
      <c r="D40" s="1">
        <v>1</v>
      </c>
      <c r="E40" s="16">
        <v>1</v>
      </c>
      <c r="F40" s="42">
        <v>0</v>
      </c>
      <c r="G40" s="1">
        <v>1</v>
      </c>
      <c r="H40" s="1">
        <v>0</v>
      </c>
      <c r="I40" s="16">
        <v>0</v>
      </c>
      <c r="J40" s="42" t="s">
        <v>154</v>
      </c>
      <c r="K40" s="1" t="s">
        <v>154</v>
      </c>
      <c r="L40" s="1" t="s">
        <v>154</v>
      </c>
      <c r="M40" s="1" t="s">
        <v>154</v>
      </c>
      <c r="N40" s="1" t="s">
        <v>154</v>
      </c>
      <c r="O40" s="1" t="s">
        <v>154</v>
      </c>
      <c r="P40" s="1" t="s">
        <v>154</v>
      </c>
      <c r="Q40" s="16" t="s">
        <v>154</v>
      </c>
      <c r="S40" s="1" t="s">
        <v>193</v>
      </c>
      <c r="T40" s="1" t="s">
        <v>140</v>
      </c>
      <c r="U40" s="1" t="s">
        <v>152</v>
      </c>
      <c r="W40" s="1" t="s">
        <v>64</v>
      </c>
      <c r="X40" s="1" t="s">
        <v>121</v>
      </c>
      <c r="AA40" s="1" t="s">
        <v>64</v>
      </c>
      <c r="AB40" s="1" t="s">
        <v>64</v>
      </c>
      <c r="AC40" s="1" t="s">
        <v>64</v>
      </c>
      <c r="AD40" s="1" t="s">
        <v>64</v>
      </c>
      <c r="AE40" s="1" t="s">
        <v>64</v>
      </c>
      <c r="AF40" s="1" t="s">
        <v>64</v>
      </c>
      <c r="AG40" s="1" t="s">
        <v>64</v>
      </c>
      <c r="AH40" s="1" t="s">
        <v>64</v>
      </c>
      <c r="AI40" s="1" t="s">
        <v>64</v>
      </c>
      <c r="AJ40" s="1" t="s">
        <v>64</v>
      </c>
      <c r="AK40" s="1" t="s">
        <v>64</v>
      </c>
      <c r="AL40" s="1" t="s">
        <v>64</v>
      </c>
      <c r="AM40" s="1" t="s">
        <v>64</v>
      </c>
      <c r="AN40" s="1" t="s">
        <v>64</v>
      </c>
      <c r="AO40" s="1" t="s">
        <v>64</v>
      </c>
      <c r="AP40" s="1" t="s">
        <v>64</v>
      </c>
      <c r="AQ40" s="1" t="s">
        <v>64</v>
      </c>
      <c r="AR40" s="1" t="s">
        <v>64</v>
      </c>
      <c r="AS40" s="1" t="s">
        <v>64</v>
      </c>
      <c r="AT40" s="1" t="s">
        <v>64</v>
      </c>
      <c r="AU40" s="1">
        <v>1</v>
      </c>
      <c r="AV40" s="1" t="s">
        <v>64</v>
      </c>
      <c r="AW40" s="1" t="s">
        <v>241</v>
      </c>
      <c r="AX40" s="1" t="s">
        <v>64</v>
      </c>
      <c r="AY40" s="1" t="s">
        <v>64</v>
      </c>
      <c r="AZ40" s="1" t="s">
        <v>64</v>
      </c>
      <c r="BA40" s="1" t="s">
        <v>64</v>
      </c>
      <c r="BB40" s="1" t="s">
        <v>64</v>
      </c>
      <c r="BC40" s="1" t="s">
        <v>64</v>
      </c>
      <c r="BD40" s="1" t="s">
        <v>64</v>
      </c>
      <c r="BE40" s="1" t="s">
        <v>64</v>
      </c>
      <c r="BF40" s="1" t="s">
        <v>64</v>
      </c>
      <c r="BG40" s="1" t="s">
        <v>64</v>
      </c>
      <c r="BH40" s="1" t="s">
        <v>64</v>
      </c>
      <c r="BI40" s="1" t="s">
        <v>64</v>
      </c>
      <c r="BJ40" s="1" t="s">
        <v>64</v>
      </c>
    </row>
    <row r="41" spans="2:68" x14ac:dyDescent="0.25">
      <c r="B41" s="42">
        <v>0</v>
      </c>
      <c r="C41" s="1">
        <v>1</v>
      </c>
      <c r="D41" s="1">
        <v>1</v>
      </c>
      <c r="E41" s="16">
        <v>1</v>
      </c>
      <c r="F41" s="42">
        <v>0</v>
      </c>
      <c r="G41" s="1">
        <v>1</v>
      </c>
      <c r="H41" s="1">
        <v>0</v>
      </c>
      <c r="I41" s="16">
        <v>1</v>
      </c>
      <c r="J41" s="42" t="s">
        <v>154</v>
      </c>
      <c r="K41" s="1" t="s">
        <v>154</v>
      </c>
      <c r="L41" s="1" t="s">
        <v>154</v>
      </c>
      <c r="M41" s="1" t="s">
        <v>154</v>
      </c>
      <c r="N41" s="1" t="s">
        <v>154</v>
      </c>
      <c r="O41" s="1" t="s">
        <v>154</v>
      </c>
      <c r="P41" s="1" t="s">
        <v>154</v>
      </c>
      <c r="Q41" s="16" t="s">
        <v>154</v>
      </c>
      <c r="S41" s="1" t="s">
        <v>187</v>
      </c>
      <c r="T41" s="1" t="s">
        <v>6</v>
      </c>
      <c r="U41" s="1" t="s">
        <v>152</v>
      </c>
      <c r="W41" s="1" t="s">
        <v>64</v>
      </c>
      <c r="X41" s="1" t="s">
        <v>122</v>
      </c>
      <c r="AA41" s="1" t="s">
        <v>64</v>
      </c>
      <c r="AB41" s="1" t="s">
        <v>64</v>
      </c>
      <c r="AC41" s="1" t="s">
        <v>64</v>
      </c>
      <c r="AD41" s="1" t="s">
        <v>64</v>
      </c>
      <c r="AE41" s="1" t="s">
        <v>64</v>
      </c>
      <c r="AF41" s="1" t="s">
        <v>64</v>
      </c>
      <c r="AG41" s="1" t="s">
        <v>64</v>
      </c>
      <c r="AH41" s="1" t="s">
        <v>64</v>
      </c>
      <c r="AI41" s="1" t="s">
        <v>64</v>
      </c>
      <c r="AJ41" s="1" t="s">
        <v>64</v>
      </c>
      <c r="AK41" s="1" t="s">
        <v>64</v>
      </c>
      <c r="AL41" s="1" t="s">
        <v>64</v>
      </c>
      <c r="AM41" s="1" t="s">
        <v>64</v>
      </c>
      <c r="AN41" s="1" t="s">
        <v>64</v>
      </c>
      <c r="AO41" s="1" t="s">
        <v>64</v>
      </c>
      <c r="AP41" s="1" t="s">
        <v>64</v>
      </c>
      <c r="AQ41" s="1" t="s">
        <v>64</v>
      </c>
      <c r="AR41" s="1" t="s">
        <v>64</v>
      </c>
      <c r="AS41" s="1" t="s">
        <v>64</v>
      </c>
      <c r="AT41" s="1" t="s">
        <v>64</v>
      </c>
      <c r="AU41" s="1">
        <v>1</v>
      </c>
      <c r="AV41" s="1" t="s">
        <v>64</v>
      </c>
      <c r="AW41" s="1" t="s">
        <v>241</v>
      </c>
      <c r="AX41" s="1" t="s">
        <v>64</v>
      </c>
      <c r="AY41" s="1" t="s">
        <v>64</v>
      </c>
      <c r="AZ41" s="1" t="s">
        <v>64</v>
      </c>
      <c r="BA41" s="1" t="s">
        <v>64</v>
      </c>
      <c r="BB41" s="1" t="s">
        <v>64</v>
      </c>
      <c r="BC41" s="1" t="s">
        <v>64</v>
      </c>
      <c r="BD41" s="1" t="s">
        <v>64</v>
      </c>
      <c r="BE41" s="1" t="s">
        <v>64</v>
      </c>
      <c r="BF41" s="1" t="s">
        <v>64</v>
      </c>
      <c r="BG41" s="1" t="s">
        <v>64</v>
      </c>
      <c r="BH41" s="1" t="s">
        <v>64</v>
      </c>
      <c r="BI41" s="1" t="s">
        <v>64</v>
      </c>
      <c r="BJ41" s="1" t="s">
        <v>64</v>
      </c>
    </row>
    <row r="42" spans="2:68" x14ac:dyDescent="0.25">
      <c r="B42" s="42">
        <v>0</v>
      </c>
      <c r="C42" s="1">
        <v>1</v>
      </c>
      <c r="D42" s="1">
        <v>1</v>
      </c>
      <c r="E42" s="16">
        <v>1</v>
      </c>
      <c r="F42" s="42">
        <v>0</v>
      </c>
      <c r="G42" s="1">
        <v>1</v>
      </c>
      <c r="H42" s="1">
        <v>1</v>
      </c>
      <c r="I42" s="16">
        <v>0</v>
      </c>
      <c r="J42" s="42" t="s">
        <v>154</v>
      </c>
      <c r="K42" s="1" t="s">
        <v>154</v>
      </c>
      <c r="L42" s="1" t="s">
        <v>154</v>
      </c>
      <c r="M42" s="1" t="s">
        <v>154</v>
      </c>
      <c r="N42" s="1" t="s">
        <v>154</v>
      </c>
      <c r="O42" s="1" t="s">
        <v>154</v>
      </c>
      <c r="P42" s="1" t="s">
        <v>154</v>
      </c>
      <c r="Q42" s="16" t="s">
        <v>154</v>
      </c>
      <c r="S42" s="1" t="s">
        <v>194</v>
      </c>
      <c r="T42" s="1" t="s">
        <v>141</v>
      </c>
      <c r="U42" s="1" t="s">
        <v>152</v>
      </c>
      <c r="W42" s="1" t="s">
        <v>64</v>
      </c>
      <c r="X42" s="1" t="s">
        <v>127</v>
      </c>
      <c r="AA42" s="1" t="s">
        <v>64</v>
      </c>
      <c r="AB42" s="1" t="s">
        <v>64</v>
      </c>
      <c r="AC42" s="1" t="s">
        <v>64</v>
      </c>
      <c r="AD42" s="1" t="s">
        <v>64</v>
      </c>
      <c r="AE42" s="1" t="s">
        <v>64</v>
      </c>
      <c r="AF42" s="1" t="s">
        <v>64</v>
      </c>
      <c r="AG42" s="1" t="s">
        <v>64</v>
      </c>
      <c r="AH42" s="1" t="s">
        <v>64</v>
      </c>
      <c r="AI42" s="1" t="s">
        <v>64</v>
      </c>
      <c r="AJ42" s="1" t="s">
        <v>64</v>
      </c>
      <c r="AK42" s="1" t="s">
        <v>64</v>
      </c>
      <c r="AL42" s="1" t="s">
        <v>64</v>
      </c>
      <c r="AM42" s="1" t="s">
        <v>64</v>
      </c>
      <c r="AN42" s="1" t="s">
        <v>64</v>
      </c>
      <c r="AO42" s="1" t="s">
        <v>64</v>
      </c>
      <c r="AP42" s="1" t="s">
        <v>64</v>
      </c>
      <c r="AQ42" s="1" t="s">
        <v>64</v>
      </c>
      <c r="AR42" s="1" t="s">
        <v>64</v>
      </c>
      <c r="AS42" s="1" t="s">
        <v>64</v>
      </c>
      <c r="AT42" s="1" t="s">
        <v>64</v>
      </c>
      <c r="AU42" s="1">
        <v>1</v>
      </c>
      <c r="AV42" s="1" t="s">
        <v>64</v>
      </c>
      <c r="AW42" s="1" t="s">
        <v>241</v>
      </c>
      <c r="AX42" s="1" t="s">
        <v>64</v>
      </c>
      <c r="AY42" s="1" t="s">
        <v>64</v>
      </c>
      <c r="AZ42" s="1" t="s">
        <v>64</v>
      </c>
      <c r="BA42" s="1" t="s">
        <v>64</v>
      </c>
      <c r="BB42" s="1" t="s">
        <v>64</v>
      </c>
      <c r="BC42" s="1" t="s">
        <v>64</v>
      </c>
      <c r="BD42" s="1" t="s">
        <v>64</v>
      </c>
      <c r="BE42" s="1" t="s">
        <v>64</v>
      </c>
      <c r="BF42" s="1" t="s">
        <v>64</v>
      </c>
      <c r="BG42" s="1" t="s">
        <v>64</v>
      </c>
      <c r="BH42" s="1" t="s">
        <v>64</v>
      </c>
      <c r="BI42" s="1" t="s">
        <v>64</v>
      </c>
      <c r="BJ42" s="1" t="s">
        <v>64</v>
      </c>
    </row>
    <row r="43" spans="2:68" x14ac:dyDescent="0.25">
      <c r="B43" s="42">
        <v>0</v>
      </c>
      <c r="C43" s="1">
        <v>1</v>
      </c>
      <c r="D43" s="1">
        <v>1</v>
      </c>
      <c r="E43" s="16">
        <v>1</v>
      </c>
      <c r="F43" s="42">
        <v>0</v>
      </c>
      <c r="G43" s="1">
        <v>1</v>
      </c>
      <c r="H43" s="1">
        <v>1</v>
      </c>
      <c r="I43" s="16">
        <v>1</v>
      </c>
      <c r="J43" s="42" t="s">
        <v>154</v>
      </c>
      <c r="K43" s="1" t="s">
        <v>154</v>
      </c>
      <c r="L43" s="1" t="s">
        <v>154</v>
      </c>
      <c r="M43" s="1" t="s">
        <v>154</v>
      </c>
      <c r="N43" s="1" t="s">
        <v>154</v>
      </c>
      <c r="O43" s="1" t="s">
        <v>154</v>
      </c>
      <c r="P43" s="1" t="s">
        <v>154</v>
      </c>
      <c r="Q43" s="16" t="s">
        <v>154</v>
      </c>
      <c r="S43" s="1" t="s">
        <v>195</v>
      </c>
      <c r="T43" s="1" t="s">
        <v>4</v>
      </c>
      <c r="U43" s="1" t="s">
        <v>152</v>
      </c>
      <c r="W43" s="1" t="s">
        <v>64</v>
      </c>
      <c r="X43" s="1" t="s">
        <v>126</v>
      </c>
      <c r="AA43" s="1" t="s">
        <v>64</v>
      </c>
      <c r="AB43" s="1" t="s">
        <v>64</v>
      </c>
      <c r="AC43" s="1" t="s">
        <v>64</v>
      </c>
      <c r="AD43" s="1" t="s">
        <v>64</v>
      </c>
      <c r="AE43" s="1" t="s">
        <v>64</v>
      </c>
      <c r="AF43" s="1" t="s">
        <v>64</v>
      </c>
      <c r="AG43" s="1" t="s">
        <v>64</v>
      </c>
      <c r="AH43" s="1" t="s">
        <v>64</v>
      </c>
      <c r="AI43" s="1" t="s">
        <v>64</v>
      </c>
      <c r="AJ43" s="1" t="s">
        <v>64</v>
      </c>
      <c r="AK43" s="1" t="s">
        <v>64</v>
      </c>
      <c r="AL43" s="1" t="s">
        <v>64</v>
      </c>
      <c r="AM43" s="1" t="s">
        <v>64</v>
      </c>
      <c r="AN43" s="1" t="s">
        <v>64</v>
      </c>
      <c r="AO43" s="1" t="s">
        <v>64</v>
      </c>
      <c r="AP43" s="1" t="s">
        <v>64</v>
      </c>
      <c r="AQ43" s="1" t="s">
        <v>64</v>
      </c>
      <c r="AR43" s="1" t="s">
        <v>64</v>
      </c>
      <c r="AS43" s="1" t="s">
        <v>64</v>
      </c>
      <c r="AT43" s="1" t="s">
        <v>64</v>
      </c>
      <c r="AU43" s="1">
        <v>1</v>
      </c>
      <c r="AV43" s="1" t="s">
        <v>64</v>
      </c>
      <c r="AW43" s="1" t="s">
        <v>241</v>
      </c>
      <c r="AX43" s="1" t="s">
        <v>64</v>
      </c>
      <c r="AY43" s="1" t="s">
        <v>64</v>
      </c>
      <c r="AZ43" s="1" t="s">
        <v>64</v>
      </c>
      <c r="BA43" s="1" t="s">
        <v>64</v>
      </c>
      <c r="BB43" s="1" t="s">
        <v>64</v>
      </c>
      <c r="BC43" s="1" t="s">
        <v>64</v>
      </c>
      <c r="BD43" s="1" t="s">
        <v>64</v>
      </c>
      <c r="BE43" s="1" t="s">
        <v>64</v>
      </c>
      <c r="BF43" s="1" t="s">
        <v>64</v>
      </c>
      <c r="BG43" s="1" t="s">
        <v>64</v>
      </c>
      <c r="BH43" s="1" t="s">
        <v>64</v>
      </c>
      <c r="BI43" s="1" t="s">
        <v>64</v>
      </c>
      <c r="BJ43" s="1" t="s">
        <v>64</v>
      </c>
    </row>
    <row r="44" spans="2:68" x14ac:dyDescent="0.25">
      <c r="B44" s="42">
        <v>0</v>
      </c>
      <c r="C44" s="1">
        <v>1</v>
      </c>
      <c r="D44" s="1">
        <v>1</v>
      </c>
      <c r="E44" s="16">
        <v>1</v>
      </c>
      <c r="F44" s="42">
        <v>1</v>
      </c>
      <c r="G44" s="1">
        <v>0</v>
      </c>
      <c r="H44" s="1">
        <v>0</v>
      </c>
      <c r="I44" s="16">
        <v>0</v>
      </c>
      <c r="J44" s="42" t="s">
        <v>154</v>
      </c>
      <c r="K44" s="1" t="s">
        <v>154</v>
      </c>
      <c r="L44" s="1" t="s">
        <v>154</v>
      </c>
      <c r="M44" s="1" t="s">
        <v>154</v>
      </c>
      <c r="N44" s="1" t="s">
        <v>154</v>
      </c>
      <c r="O44" s="1" t="s">
        <v>154</v>
      </c>
      <c r="P44" s="1" t="s">
        <v>154</v>
      </c>
      <c r="Q44" s="16" t="s">
        <v>154</v>
      </c>
      <c r="S44" s="1" t="s">
        <v>196</v>
      </c>
      <c r="T44" s="1" t="s">
        <v>143</v>
      </c>
      <c r="U44" s="1" t="s">
        <v>152</v>
      </c>
      <c r="W44" s="1" t="s">
        <v>64</v>
      </c>
      <c r="X44" s="1" t="s">
        <v>129</v>
      </c>
      <c r="AA44" s="1" t="s">
        <v>64</v>
      </c>
      <c r="AB44" s="1" t="s">
        <v>64</v>
      </c>
      <c r="AC44" s="1" t="s">
        <v>64</v>
      </c>
      <c r="AD44" s="1" t="s">
        <v>64</v>
      </c>
      <c r="AE44" s="1" t="s">
        <v>64</v>
      </c>
      <c r="AF44" s="1" t="s">
        <v>64</v>
      </c>
      <c r="AG44" s="1" t="s">
        <v>64</v>
      </c>
      <c r="AH44" s="1" t="s">
        <v>64</v>
      </c>
      <c r="AI44" s="1" t="s">
        <v>64</v>
      </c>
      <c r="AJ44" s="1" t="s">
        <v>64</v>
      </c>
      <c r="AK44" s="1" t="s">
        <v>64</v>
      </c>
      <c r="AL44" s="1" t="s">
        <v>64</v>
      </c>
      <c r="AM44" s="1" t="s">
        <v>64</v>
      </c>
      <c r="AN44" s="1" t="s">
        <v>64</v>
      </c>
      <c r="AO44" s="1" t="s">
        <v>64</v>
      </c>
      <c r="AP44" s="1" t="s">
        <v>64</v>
      </c>
      <c r="AQ44" s="1" t="s">
        <v>64</v>
      </c>
      <c r="AR44" s="1" t="s">
        <v>64</v>
      </c>
      <c r="AS44" s="1" t="s">
        <v>64</v>
      </c>
      <c r="AT44" s="1" t="s">
        <v>64</v>
      </c>
      <c r="AU44" s="1">
        <v>1</v>
      </c>
      <c r="AV44" s="1" t="s">
        <v>64</v>
      </c>
      <c r="AW44" s="1" t="s">
        <v>241</v>
      </c>
      <c r="AX44" s="1" t="s">
        <v>64</v>
      </c>
      <c r="AY44" s="1" t="s">
        <v>64</v>
      </c>
      <c r="AZ44" s="1" t="s">
        <v>64</v>
      </c>
      <c r="BA44" s="1" t="s">
        <v>64</v>
      </c>
      <c r="BB44" s="1" t="s">
        <v>64</v>
      </c>
      <c r="BC44" s="1" t="s">
        <v>64</v>
      </c>
      <c r="BD44" s="1" t="s">
        <v>64</v>
      </c>
      <c r="BE44" s="1" t="s">
        <v>64</v>
      </c>
      <c r="BF44" s="1" t="s">
        <v>64</v>
      </c>
      <c r="BG44" s="1" t="s">
        <v>64</v>
      </c>
      <c r="BH44" s="1" t="s">
        <v>64</v>
      </c>
      <c r="BI44" s="1" t="s">
        <v>64</v>
      </c>
      <c r="BJ44" s="1" t="s">
        <v>64</v>
      </c>
    </row>
    <row r="45" spans="2:68" x14ac:dyDescent="0.25">
      <c r="B45" s="42">
        <v>0</v>
      </c>
      <c r="C45" s="1">
        <v>1</v>
      </c>
      <c r="D45" s="1">
        <v>1</v>
      </c>
      <c r="E45" s="16">
        <v>1</v>
      </c>
      <c r="F45" s="42">
        <v>1</v>
      </c>
      <c r="G45" s="1">
        <v>0</v>
      </c>
      <c r="H45" s="1">
        <v>0</v>
      </c>
      <c r="I45" s="16">
        <v>1</v>
      </c>
      <c r="J45" s="42" t="s">
        <v>154</v>
      </c>
      <c r="K45" s="1" t="s">
        <v>154</v>
      </c>
      <c r="L45" s="1" t="s">
        <v>154</v>
      </c>
      <c r="M45" s="1" t="s">
        <v>154</v>
      </c>
      <c r="N45" s="1" t="s">
        <v>154</v>
      </c>
      <c r="O45" s="1" t="s">
        <v>154</v>
      </c>
      <c r="P45" s="1" t="s">
        <v>154</v>
      </c>
      <c r="Q45" s="16" t="s">
        <v>154</v>
      </c>
      <c r="S45" s="1" t="s">
        <v>197</v>
      </c>
      <c r="T45" s="1" t="s">
        <v>142</v>
      </c>
      <c r="U45" s="1" t="s">
        <v>152</v>
      </c>
      <c r="W45" s="1" t="s">
        <v>64</v>
      </c>
      <c r="X45" s="1" t="s">
        <v>128</v>
      </c>
      <c r="AA45" s="1" t="s">
        <v>64</v>
      </c>
      <c r="AB45" s="1" t="s">
        <v>64</v>
      </c>
      <c r="AC45" s="1" t="s">
        <v>64</v>
      </c>
      <c r="AD45" s="1" t="s">
        <v>64</v>
      </c>
      <c r="AE45" s="1" t="s">
        <v>64</v>
      </c>
      <c r="AF45" s="1" t="s">
        <v>64</v>
      </c>
      <c r="AG45" s="1" t="s">
        <v>64</v>
      </c>
      <c r="AH45" s="1" t="s">
        <v>64</v>
      </c>
      <c r="AI45" s="1" t="s">
        <v>64</v>
      </c>
      <c r="AJ45" s="1" t="s">
        <v>64</v>
      </c>
      <c r="AK45" s="1" t="s">
        <v>64</v>
      </c>
      <c r="AL45" s="1" t="s">
        <v>64</v>
      </c>
      <c r="AM45" s="1" t="s">
        <v>64</v>
      </c>
      <c r="AN45" s="1" t="s">
        <v>64</v>
      </c>
      <c r="AO45" s="1" t="s">
        <v>64</v>
      </c>
      <c r="AP45" s="1" t="s">
        <v>64</v>
      </c>
      <c r="AQ45" s="1" t="s">
        <v>64</v>
      </c>
      <c r="AR45" s="1" t="s">
        <v>64</v>
      </c>
      <c r="AS45" s="1" t="s">
        <v>64</v>
      </c>
      <c r="AT45" s="1" t="s">
        <v>64</v>
      </c>
      <c r="AU45" s="1">
        <v>1</v>
      </c>
      <c r="AV45" s="1" t="s">
        <v>64</v>
      </c>
      <c r="AW45" s="1" t="s">
        <v>241</v>
      </c>
      <c r="AX45" s="1" t="s">
        <v>64</v>
      </c>
      <c r="AY45" s="1" t="s">
        <v>64</v>
      </c>
      <c r="AZ45" s="1" t="s">
        <v>64</v>
      </c>
      <c r="BA45" s="1" t="s">
        <v>64</v>
      </c>
      <c r="BB45" s="1" t="s">
        <v>64</v>
      </c>
      <c r="BC45" s="1" t="s">
        <v>64</v>
      </c>
      <c r="BD45" s="1" t="s">
        <v>64</v>
      </c>
      <c r="BE45" s="1" t="s">
        <v>64</v>
      </c>
      <c r="BF45" s="1" t="s">
        <v>64</v>
      </c>
      <c r="BG45" s="1" t="s">
        <v>64</v>
      </c>
      <c r="BH45" s="1" t="s">
        <v>64</v>
      </c>
      <c r="BI45" s="1" t="s">
        <v>64</v>
      </c>
      <c r="BJ45" s="1" t="s">
        <v>64</v>
      </c>
    </row>
    <row r="46" spans="2:68" x14ac:dyDescent="0.25">
      <c r="B46" s="42">
        <v>0</v>
      </c>
      <c r="C46" s="1">
        <v>1</v>
      </c>
      <c r="D46" s="1">
        <v>1</v>
      </c>
      <c r="E46" s="16">
        <v>1</v>
      </c>
      <c r="F46" s="42">
        <v>1</v>
      </c>
      <c r="G46" s="1">
        <v>0</v>
      </c>
      <c r="H46" s="1">
        <v>1</v>
      </c>
      <c r="I46" s="16">
        <v>0</v>
      </c>
      <c r="J46" s="42" t="s">
        <v>154</v>
      </c>
      <c r="K46" s="1" t="s">
        <v>154</v>
      </c>
      <c r="L46" s="1" t="s">
        <v>154</v>
      </c>
      <c r="M46" s="1" t="s">
        <v>154</v>
      </c>
      <c r="N46" s="1" t="s">
        <v>154</v>
      </c>
      <c r="O46" s="1" t="s">
        <v>154</v>
      </c>
      <c r="P46" s="1" t="s">
        <v>154</v>
      </c>
      <c r="Q46" s="16" t="s">
        <v>154</v>
      </c>
      <c r="S46" s="1" t="s">
        <v>198</v>
      </c>
      <c r="T46" s="1" t="s">
        <v>145</v>
      </c>
      <c r="U46" s="1" t="s">
        <v>152</v>
      </c>
      <c r="W46" s="1" t="s">
        <v>64</v>
      </c>
      <c r="X46" s="1" t="s">
        <v>131</v>
      </c>
      <c r="AA46" s="1" t="s">
        <v>64</v>
      </c>
      <c r="AB46" s="1" t="s">
        <v>64</v>
      </c>
      <c r="AC46" s="1" t="s">
        <v>64</v>
      </c>
      <c r="AD46" s="1" t="s">
        <v>64</v>
      </c>
      <c r="AE46" s="1" t="s">
        <v>64</v>
      </c>
      <c r="AF46" s="1" t="s">
        <v>64</v>
      </c>
      <c r="AG46" s="1" t="s">
        <v>64</v>
      </c>
      <c r="AH46" s="1" t="s">
        <v>64</v>
      </c>
      <c r="AI46" s="1" t="s">
        <v>64</v>
      </c>
      <c r="AJ46" s="1" t="s">
        <v>64</v>
      </c>
      <c r="AK46" s="1" t="s">
        <v>64</v>
      </c>
      <c r="AL46" s="1" t="s">
        <v>64</v>
      </c>
      <c r="AM46" s="1" t="s">
        <v>64</v>
      </c>
      <c r="AN46" s="1" t="s">
        <v>64</v>
      </c>
      <c r="AO46" s="1" t="s">
        <v>64</v>
      </c>
      <c r="AP46" s="1" t="s">
        <v>64</v>
      </c>
      <c r="AQ46" s="1" t="s">
        <v>64</v>
      </c>
      <c r="AR46" s="1" t="s">
        <v>64</v>
      </c>
      <c r="AS46" s="1" t="s">
        <v>64</v>
      </c>
      <c r="AT46" s="1" t="s">
        <v>64</v>
      </c>
      <c r="AU46" s="1">
        <v>1</v>
      </c>
      <c r="AV46" s="1" t="s">
        <v>64</v>
      </c>
      <c r="AW46" s="1" t="s">
        <v>241</v>
      </c>
      <c r="AX46" s="1" t="s">
        <v>64</v>
      </c>
      <c r="AY46" s="1" t="s">
        <v>64</v>
      </c>
      <c r="AZ46" s="1" t="s">
        <v>64</v>
      </c>
      <c r="BA46" s="1" t="s">
        <v>64</v>
      </c>
      <c r="BB46" s="1" t="s">
        <v>64</v>
      </c>
      <c r="BC46" s="1" t="s">
        <v>64</v>
      </c>
      <c r="BD46" s="1" t="s">
        <v>64</v>
      </c>
      <c r="BE46" s="1" t="s">
        <v>64</v>
      </c>
      <c r="BF46" s="1" t="s">
        <v>64</v>
      </c>
      <c r="BG46" s="1" t="s">
        <v>64</v>
      </c>
      <c r="BH46" s="1" t="s">
        <v>64</v>
      </c>
      <c r="BI46" s="1" t="s">
        <v>64</v>
      </c>
      <c r="BJ46" s="1" t="s">
        <v>64</v>
      </c>
    </row>
    <row r="47" spans="2:68" x14ac:dyDescent="0.25">
      <c r="B47" s="42">
        <v>0</v>
      </c>
      <c r="C47" s="1">
        <v>1</v>
      </c>
      <c r="D47" s="1">
        <v>1</v>
      </c>
      <c r="E47" s="16">
        <v>1</v>
      </c>
      <c r="F47" s="42">
        <v>1</v>
      </c>
      <c r="G47" s="1">
        <v>0</v>
      </c>
      <c r="H47" s="1">
        <v>1</v>
      </c>
      <c r="I47" s="16">
        <v>1</v>
      </c>
      <c r="J47" s="42" t="s">
        <v>154</v>
      </c>
      <c r="K47" s="1" t="s">
        <v>154</v>
      </c>
      <c r="L47" s="1" t="s">
        <v>154</v>
      </c>
      <c r="M47" s="1" t="s">
        <v>154</v>
      </c>
      <c r="N47" s="1" t="s">
        <v>154</v>
      </c>
      <c r="O47" s="1" t="s">
        <v>154</v>
      </c>
      <c r="P47" s="1" t="s">
        <v>154</v>
      </c>
      <c r="Q47" s="16" t="s">
        <v>154</v>
      </c>
      <c r="S47" s="1" t="s">
        <v>199</v>
      </c>
      <c r="T47" s="1" t="s">
        <v>144</v>
      </c>
      <c r="U47" s="1" t="s">
        <v>152</v>
      </c>
      <c r="W47" s="1" t="s">
        <v>64</v>
      </c>
      <c r="X47" s="1" t="s">
        <v>130</v>
      </c>
      <c r="AA47" s="1" t="s">
        <v>64</v>
      </c>
      <c r="AB47" s="1" t="s">
        <v>64</v>
      </c>
      <c r="AC47" s="1" t="s">
        <v>64</v>
      </c>
      <c r="AD47" s="1" t="s">
        <v>64</v>
      </c>
      <c r="AE47" s="1" t="s">
        <v>64</v>
      </c>
      <c r="AF47" s="1" t="s">
        <v>64</v>
      </c>
      <c r="AG47" s="1" t="s">
        <v>64</v>
      </c>
      <c r="AH47" s="1" t="s">
        <v>64</v>
      </c>
      <c r="AI47" s="1" t="s">
        <v>64</v>
      </c>
      <c r="AJ47" s="1" t="s">
        <v>64</v>
      </c>
      <c r="AK47" s="1" t="s">
        <v>64</v>
      </c>
      <c r="AL47" s="1" t="s">
        <v>64</v>
      </c>
      <c r="AM47" s="1" t="s">
        <v>64</v>
      </c>
      <c r="AN47" s="1" t="s">
        <v>64</v>
      </c>
      <c r="AO47" s="1" t="s">
        <v>64</v>
      </c>
      <c r="AP47" s="1" t="s">
        <v>64</v>
      </c>
      <c r="AQ47" s="1" t="s">
        <v>64</v>
      </c>
      <c r="AR47" s="1" t="s">
        <v>64</v>
      </c>
      <c r="AS47" s="1" t="s">
        <v>64</v>
      </c>
      <c r="AT47" s="1" t="s">
        <v>64</v>
      </c>
      <c r="AU47" s="1">
        <v>1</v>
      </c>
      <c r="AV47" s="1" t="s">
        <v>64</v>
      </c>
      <c r="AW47" s="1" t="s">
        <v>241</v>
      </c>
      <c r="AX47" s="1" t="s">
        <v>64</v>
      </c>
      <c r="AY47" s="1" t="s">
        <v>64</v>
      </c>
      <c r="AZ47" s="1" t="s">
        <v>64</v>
      </c>
      <c r="BA47" s="1" t="s">
        <v>64</v>
      </c>
      <c r="BB47" s="1" t="s">
        <v>64</v>
      </c>
      <c r="BC47" s="1" t="s">
        <v>64</v>
      </c>
      <c r="BD47" s="1" t="s">
        <v>64</v>
      </c>
      <c r="BE47" s="1" t="s">
        <v>64</v>
      </c>
      <c r="BF47" s="1" t="s">
        <v>64</v>
      </c>
      <c r="BG47" s="1" t="s">
        <v>64</v>
      </c>
      <c r="BH47" s="1" t="s">
        <v>64</v>
      </c>
      <c r="BI47" s="1" t="s">
        <v>64</v>
      </c>
      <c r="BJ47" s="1" t="s">
        <v>64</v>
      </c>
    </row>
    <row r="48" spans="2:68" x14ac:dyDescent="0.25">
      <c r="B48" s="42">
        <v>0</v>
      </c>
      <c r="C48" s="1">
        <v>1</v>
      </c>
      <c r="D48" s="1">
        <v>1</v>
      </c>
      <c r="E48" s="16">
        <v>1</v>
      </c>
      <c r="F48" s="42">
        <v>1</v>
      </c>
      <c r="G48" s="1">
        <v>1</v>
      </c>
      <c r="H48" s="1">
        <v>0</v>
      </c>
      <c r="I48" s="16">
        <v>0</v>
      </c>
      <c r="J48" s="42" t="s">
        <v>154</v>
      </c>
      <c r="K48" s="1" t="s">
        <v>154</v>
      </c>
      <c r="L48" s="1" t="s">
        <v>154</v>
      </c>
      <c r="M48" s="1" t="s">
        <v>154</v>
      </c>
      <c r="N48" s="1" t="s">
        <v>154</v>
      </c>
      <c r="O48" s="1" t="s">
        <v>154</v>
      </c>
      <c r="P48" s="1" t="s">
        <v>154</v>
      </c>
      <c r="Q48" s="16" t="s">
        <v>154</v>
      </c>
      <c r="S48" s="1" t="s">
        <v>200</v>
      </c>
      <c r="T48" s="1" t="s">
        <v>147</v>
      </c>
      <c r="U48" s="1" t="s">
        <v>152</v>
      </c>
      <c r="W48" s="1" t="s">
        <v>64</v>
      </c>
      <c r="X48" s="1" t="s">
        <v>133</v>
      </c>
      <c r="AA48" s="1" t="s">
        <v>64</v>
      </c>
      <c r="AB48" s="1" t="s">
        <v>64</v>
      </c>
      <c r="AC48" s="1" t="s">
        <v>64</v>
      </c>
      <c r="AD48" s="1" t="s">
        <v>64</v>
      </c>
      <c r="AE48" s="1" t="s">
        <v>64</v>
      </c>
      <c r="AF48" s="1" t="s">
        <v>64</v>
      </c>
      <c r="AG48" s="1" t="s">
        <v>64</v>
      </c>
      <c r="AH48" s="1" t="s">
        <v>64</v>
      </c>
      <c r="AI48" s="1" t="s">
        <v>64</v>
      </c>
      <c r="AJ48" s="1" t="s">
        <v>64</v>
      </c>
      <c r="AK48" s="1" t="s">
        <v>64</v>
      </c>
      <c r="AL48" s="1" t="s">
        <v>64</v>
      </c>
      <c r="AM48" s="1" t="s">
        <v>64</v>
      </c>
      <c r="AN48" s="1" t="s">
        <v>64</v>
      </c>
      <c r="AO48" s="1" t="s">
        <v>64</v>
      </c>
      <c r="AP48" s="1" t="s">
        <v>64</v>
      </c>
      <c r="AQ48" s="1" t="s">
        <v>64</v>
      </c>
      <c r="AR48" s="1" t="s">
        <v>64</v>
      </c>
      <c r="AS48" s="1" t="s">
        <v>64</v>
      </c>
      <c r="AT48" s="1" t="s">
        <v>64</v>
      </c>
      <c r="AU48" s="1">
        <v>1</v>
      </c>
      <c r="AV48" s="1" t="s">
        <v>64</v>
      </c>
      <c r="AW48" s="1" t="s">
        <v>241</v>
      </c>
      <c r="AX48" s="1" t="s">
        <v>64</v>
      </c>
      <c r="AY48" s="1" t="s">
        <v>64</v>
      </c>
      <c r="AZ48" s="1" t="s">
        <v>64</v>
      </c>
      <c r="BA48" s="1" t="s">
        <v>64</v>
      </c>
      <c r="BB48" s="1" t="s">
        <v>64</v>
      </c>
      <c r="BC48" s="1" t="s">
        <v>64</v>
      </c>
      <c r="BD48" s="1" t="s">
        <v>64</v>
      </c>
      <c r="BE48" s="1" t="s">
        <v>64</v>
      </c>
      <c r="BF48" s="1" t="s">
        <v>64</v>
      </c>
      <c r="BG48" s="1" t="s">
        <v>64</v>
      </c>
      <c r="BH48" s="1" t="s">
        <v>64</v>
      </c>
      <c r="BI48" s="1" t="s">
        <v>64</v>
      </c>
      <c r="BJ48" s="1" t="s">
        <v>64</v>
      </c>
      <c r="BK48" s="12"/>
      <c r="BL48" s="12"/>
      <c r="BM48" s="12"/>
      <c r="BN48" s="12"/>
      <c r="BP48" s="12"/>
    </row>
    <row r="49" spans="2:68" x14ac:dyDescent="0.25">
      <c r="B49" s="42">
        <v>0</v>
      </c>
      <c r="C49" s="1">
        <v>1</v>
      </c>
      <c r="D49" s="1">
        <v>1</v>
      </c>
      <c r="E49" s="16">
        <v>1</v>
      </c>
      <c r="F49" s="42">
        <v>1</v>
      </c>
      <c r="G49" s="1">
        <v>1</v>
      </c>
      <c r="H49" s="1">
        <v>0</v>
      </c>
      <c r="I49" s="16">
        <v>1</v>
      </c>
      <c r="J49" s="42" t="s">
        <v>154</v>
      </c>
      <c r="K49" s="1" t="s">
        <v>154</v>
      </c>
      <c r="L49" s="1" t="s">
        <v>154</v>
      </c>
      <c r="M49" s="1" t="s">
        <v>154</v>
      </c>
      <c r="N49" s="1" t="s">
        <v>154</v>
      </c>
      <c r="O49" s="1" t="s">
        <v>154</v>
      </c>
      <c r="P49" s="1" t="s">
        <v>154</v>
      </c>
      <c r="Q49" s="16" t="s">
        <v>154</v>
      </c>
      <c r="S49" s="1" t="s">
        <v>201</v>
      </c>
      <c r="T49" s="1" t="s">
        <v>146</v>
      </c>
      <c r="U49" s="1" t="s">
        <v>152</v>
      </c>
      <c r="W49" s="1" t="s">
        <v>64</v>
      </c>
      <c r="X49" s="1" t="s">
        <v>132</v>
      </c>
      <c r="AA49" s="1" t="s">
        <v>64</v>
      </c>
      <c r="AB49" s="1" t="s">
        <v>64</v>
      </c>
      <c r="AC49" s="1" t="s">
        <v>64</v>
      </c>
      <c r="AD49" s="1" t="s">
        <v>64</v>
      </c>
      <c r="AE49" s="1" t="s">
        <v>64</v>
      </c>
      <c r="AF49" s="1" t="s">
        <v>64</v>
      </c>
      <c r="AG49" s="1" t="s">
        <v>64</v>
      </c>
      <c r="AH49" s="1" t="s">
        <v>64</v>
      </c>
      <c r="AI49" s="1" t="s">
        <v>64</v>
      </c>
      <c r="AJ49" s="1" t="s">
        <v>64</v>
      </c>
      <c r="AK49" s="1" t="s">
        <v>64</v>
      </c>
      <c r="AL49" s="1" t="s">
        <v>64</v>
      </c>
      <c r="AM49" s="1" t="s">
        <v>64</v>
      </c>
      <c r="AN49" s="1" t="s">
        <v>64</v>
      </c>
      <c r="AO49" s="1" t="s">
        <v>64</v>
      </c>
      <c r="AP49" s="1" t="s">
        <v>64</v>
      </c>
      <c r="AQ49" s="1" t="s">
        <v>64</v>
      </c>
      <c r="AR49" s="1" t="s">
        <v>64</v>
      </c>
      <c r="AS49" s="1" t="s">
        <v>64</v>
      </c>
      <c r="AT49" s="1" t="s">
        <v>64</v>
      </c>
      <c r="AU49" s="1">
        <v>1</v>
      </c>
      <c r="AV49" s="1" t="s">
        <v>64</v>
      </c>
      <c r="AW49" s="1" t="s">
        <v>241</v>
      </c>
      <c r="AX49" s="1" t="s">
        <v>64</v>
      </c>
      <c r="AY49" s="1" t="s">
        <v>64</v>
      </c>
      <c r="AZ49" s="1" t="s">
        <v>64</v>
      </c>
      <c r="BA49" s="1" t="s">
        <v>64</v>
      </c>
      <c r="BB49" s="1" t="s">
        <v>64</v>
      </c>
      <c r="BC49" s="1" t="s">
        <v>64</v>
      </c>
      <c r="BD49" s="1" t="s">
        <v>64</v>
      </c>
      <c r="BE49" s="1" t="s">
        <v>64</v>
      </c>
      <c r="BF49" s="1" t="s">
        <v>64</v>
      </c>
      <c r="BG49" s="1" t="s">
        <v>64</v>
      </c>
      <c r="BH49" s="1" t="s">
        <v>64</v>
      </c>
      <c r="BI49" s="1" t="s">
        <v>64</v>
      </c>
      <c r="BJ49" s="1" t="s">
        <v>64</v>
      </c>
      <c r="BK49" s="12"/>
      <c r="BL49" s="12"/>
      <c r="BM49" s="12"/>
      <c r="BN49" s="12"/>
      <c r="BP49" s="12"/>
    </row>
    <row r="50" spans="2:68" x14ac:dyDescent="0.25">
      <c r="B50" s="42">
        <v>1</v>
      </c>
      <c r="C50" s="1">
        <v>0</v>
      </c>
      <c r="D50" s="1">
        <v>0</v>
      </c>
      <c r="E50" s="16">
        <v>0</v>
      </c>
      <c r="F50" s="42" t="s">
        <v>72</v>
      </c>
      <c r="G50" s="1" t="s">
        <v>72</v>
      </c>
      <c r="H50" s="1" t="s">
        <v>72</v>
      </c>
      <c r="I50" s="16" t="s">
        <v>72</v>
      </c>
      <c r="J50" s="42" t="s">
        <v>71</v>
      </c>
      <c r="K50" s="1" t="s">
        <v>71</v>
      </c>
      <c r="L50" s="1" t="s">
        <v>71</v>
      </c>
      <c r="M50" s="1" t="s">
        <v>71</v>
      </c>
      <c r="N50" s="1" t="s">
        <v>71</v>
      </c>
      <c r="O50" s="1" t="s">
        <v>71</v>
      </c>
      <c r="P50" s="1" t="s">
        <v>71</v>
      </c>
      <c r="Q50" s="16" t="s">
        <v>71</v>
      </c>
      <c r="S50" s="1" t="s">
        <v>58</v>
      </c>
      <c r="T50" s="1" t="s">
        <v>59</v>
      </c>
      <c r="U50" s="1" t="s">
        <v>65</v>
      </c>
      <c r="V50" s="1" t="s">
        <v>153</v>
      </c>
      <c r="W50" s="1" t="s">
        <v>64</v>
      </c>
      <c r="AA50" s="1" t="s">
        <v>64</v>
      </c>
      <c r="AB50" s="1" t="s">
        <v>64</v>
      </c>
      <c r="AC50" s="1" t="s">
        <v>64</v>
      </c>
      <c r="AD50" s="1" t="s">
        <v>64</v>
      </c>
      <c r="AE50" s="1" t="s">
        <v>64</v>
      </c>
      <c r="AF50" s="1" t="s">
        <v>64</v>
      </c>
      <c r="AG50" s="1" t="s">
        <v>64</v>
      </c>
      <c r="AH50" s="1" t="s">
        <v>64</v>
      </c>
      <c r="AI50" s="1" t="s">
        <v>64</v>
      </c>
      <c r="AJ50" s="1" t="s">
        <v>64</v>
      </c>
      <c r="AK50" s="1" t="s">
        <v>64</v>
      </c>
      <c r="AL50" s="1">
        <v>11</v>
      </c>
      <c r="AM50" s="1" t="s">
        <v>64</v>
      </c>
      <c r="AN50" s="1" t="s">
        <v>64</v>
      </c>
      <c r="AO50" s="1" t="s">
        <v>64</v>
      </c>
      <c r="AP50" s="1" t="s">
        <v>64</v>
      </c>
      <c r="AQ50" s="1">
        <v>1</v>
      </c>
      <c r="AR50" s="1" t="s">
        <v>178</v>
      </c>
      <c r="AS50" s="1" t="s">
        <v>64</v>
      </c>
      <c r="AT50" s="1" t="s">
        <v>64</v>
      </c>
      <c r="AU50" s="1" t="s">
        <v>64</v>
      </c>
      <c r="AV50" s="1" t="s">
        <v>64</v>
      </c>
      <c r="AW50" s="1" t="s">
        <v>238</v>
      </c>
      <c r="AX50" s="1" t="s">
        <v>64</v>
      </c>
      <c r="AY50" s="1" t="s">
        <v>64</v>
      </c>
      <c r="AZ50" s="1" t="s">
        <v>64</v>
      </c>
      <c r="BA50" s="1" t="s">
        <v>64</v>
      </c>
      <c r="BB50" s="1" t="s">
        <v>64</v>
      </c>
      <c r="BC50" s="1" t="s">
        <v>64</v>
      </c>
      <c r="BD50" s="1" t="s">
        <v>64</v>
      </c>
      <c r="BE50" s="1" t="s">
        <v>64</v>
      </c>
      <c r="BF50" s="1" t="s">
        <v>64</v>
      </c>
      <c r="BG50" s="1" t="s">
        <v>64</v>
      </c>
      <c r="BH50" s="1" t="s">
        <v>64</v>
      </c>
      <c r="BI50" s="1" t="s">
        <v>64</v>
      </c>
      <c r="BJ50" s="1" t="s">
        <v>64</v>
      </c>
    </row>
    <row r="51" spans="2:68" x14ac:dyDescent="0.25">
      <c r="B51" s="42">
        <v>1</v>
      </c>
      <c r="C51" s="1">
        <v>0</v>
      </c>
      <c r="D51" s="1">
        <v>0</v>
      </c>
      <c r="E51" s="16">
        <v>1</v>
      </c>
      <c r="F51" s="42" t="s">
        <v>84</v>
      </c>
      <c r="G51" s="1" t="s">
        <v>84</v>
      </c>
      <c r="H51" s="1" t="s">
        <v>84</v>
      </c>
      <c r="I51" s="16" t="s">
        <v>84</v>
      </c>
      <c r="J51" s="42" t="s">
        <v>71</v>
      </c>
      <c r="K51" s="1" t="s">
        <v>71</v>
      </c>
      <c r="L51" s="1" t="s">
        <v>71</v>
      </c>
      <c r="M51" s="1" t="s">
        <v>71</v>
      </c>
      <c r="N51" s="1" t="s">
        <v>71</v>
      </c>
      <c r="O51" s="1" t="s">
        <v>71</v>
      </c>
      <c r="P51" s="1" t="s">
        <v>71</v>
      </c>
      <c r="Q51" s="16" t="s">
        <v>71</v>
      </c>
      <c r="S51" s="1" t="s">
        <v>81</v>
      </c>
      <c r="T51" s="1" t="s">
        <v>573</v>
      </c>
      <c r="U51" s="1" t="s">
        <v>66</v>
      </c>
      <c r="V51" s="1" t="s">
        <v>153</v>
      </c>
      <c r="W51" s="1" t="s">
        <v>64</v>
      </c>
      <c r="AA51" s="1">
        <v>1</v>
      </c>
      <c r="AB51" s="1" t="s">
        <v>179</v>
      </c>
      <c r="AC51" s="1" t="s">
        <v>64</v>
      </c>
      <c r="AD51" s="1" t="s">
        <v>64</v>
      </c>
      <c r="AE51" s="1" t="s">
        <v>64</v>
      </c>
      <c r="AF51" s="1" t="s">
        <v>64</v>
      </c>
      <c r="AG51" s="1" t="s">
        <v>64</v>
      </c>
      <c r="AH51" s="1" t="s">
        <v>64</v>
      </c>
      <c r="AI51" s="1" t="s">
        <v>64</v>
      </c>
      <c r="AJ51" s="1" t="s">
        <v>204</v>
      </c>
      <c r="AK51" s="1" t="s">
        <v>204</v>
      </c>
      <c r="AL51" s="1" t="s">
        <v>64</v>
      </c>
      <c r="AM51" s="1" t="s">
        <v>64</v>
      </c>
      <c r="AN51" s="1" t="s">
        <v>64</v>
      </c>
      <c r="AO51" s="1" t="s">
        <v>64</v>
      </c>
      <c r="AP51" s="1" t="s">
        <v>64</v>
      </c>
      <c r="AQ51" s="1" t="s">
        <v>64</v>
      </c>
      <c r="AR51" s="1" t="s">
        <v>64</v>
      </c>
      <c r="AS51" s="1" t="s">
        <v>64</v>
      </c>
      <c r="AT51" s="1" t="s">
        <v>64</v>
      </c>
      <c r="AU51" s="1" t="s">
        <v>64</v>
      </c>
      <c r="AV51" s="1" t="s">
        <v>64</v>
      </c>
      <c r="AW51" s="1" t="s">
        <v>238</v>
      </c>
      <c r="AX51" s="1" t="s">
        <v>64</v>
      </c>
      <c r="AY51" s="1" t="s">
        <v>64</v>
      </c>
      <c r="AZ51" s="1" t="s">
        <v>64</v>
      </c>
      <c r="BA51" s="1" t="s">
        <v>64</v>
      </c>
      <c r="BB51" s="1">
        <v>1</v>
      </c>
      <c r="BC51" s="1">
        <v>0</v>
      </c>
      <c r="BD51" s="1">
        <v>0</v>
      </c>
      <c r="BE51" s="1">
        <v>0</v>
      </c>
      <c r="BF51" s="1">
        <v>1</v>
      </c>
      <c r="BG51" s="1">
        <v>1</v>
      </c>
      <c r="BH51" s="1">
        <v>1</v>
      </c>
      <c r="BI51" s="1">
        <v>1</v>
      </c>
      <c r="BJ51" s="1">
        <v>1</v>
      </c>
    </row>
    <row r="52" spans="2:68" x14ac:dyDescent="0.25">
      <c r="B52" s="42">
        <v>1</v>
      </c>
      <c r="C52" s="1">
        <v>0</v>
      </c>
      <c r="D52" s="1">
        <v>1</v>
      </c>
      <c r="E52" s="16">
        <v>0</v>
      </c>
      <c r="F52" s="42" t="s">
        <v>72</v>
      </c>
      <c r="G52" s="1" t="s">
        <v>72</v>
      </c>
      <c r="H52" s="1" t="s">
        <v>72</v>
      </c>
      <c r="I52" s="16" t="s">
        <v>72</v>
      </c>
      <c r="J52" s="42" t="s">
        <v>71</v>
      </c>
      <c r="K52" s="1" t="s">
        <v>71</v>
      </c>
      <c r="L52" s="1" t="s">
        <v>71</v>
      </c>
      <c r="M52" s="1" t="s">
        <v>71</v>
      </c>
      <c r="N52" s="1" t="s">
        <v>71</v>
      </c>
      <c r="O52" s="1" t="s">
        <v>71</v>
      </c>
      <c r="P52" s="1" t="s">
        <v>71</v>
      </c>
      <c r="Q52" s="16" t="s">
        <v>71</v>
      </c>
      <c r="S52" s="1" t="s">
        <v>186</v>
      </c>
      <c r="T52" s="1" t="s">
        <v>75</v>
      </c>
      <c r="U52" s="1" t="s">
        <v>65</v>
      </c>
      <c r="V52" s="1" t="s">
        <v>153</v>
      </c>
      <c r="W52" s="1" t="s">
        <v>64</v>
      </c>
      <c r="AA52" s="1">
        <v>1</v>
      </c>
      <c r="AB52" s="1" t="s">
        <v>178</v>
      </c>
      <c r="AC52" s="1" t="s">
        <v>64</v>
      </c>
      <c r="AD52" s="1" t="s">
        <v>64</v>
      </c>
      <c r="AE52" s="1" t="s">
        <v>64</v>
      </c>
      <c r="AF52" s="1" t="s">
        <v>64</v>
      </c>
      <c r="AG52" s="1" t="s">
        <v>64</v>
      </c>
      <c r="AH52" s="1" t="s">
        <v>64</v>
      </c>
      <c r="AI52" s="1" t="s">
        <v>64</v>
      </c>
      <c r="AJ52" s="1" t="s">
        <v>204</v>
      </c>
      <c r="AK52" s="1" t="s">
        <v>204</v>
      </c>
      <c r="AL52" s="1" t="s">
        <v>202</v>
      </c>
      <c r="AM52" s="1" t="s">
        <v>64</v>
      </c>
      <c r="AN52" s="1" t="s">
        <v>64</v>
      </c>
      <c r="AO52" s="1" t="s">
        <v>64</v>
      </c>
      <c r="AP52" s="1" t="s">
        <v>64</v>
      </c>
      <c r="AQ52" s="1">
        <v>1</v>
      </c>
      <c r="AR52" s="1" t="s">
        <v>178</v>
      </c>
      <c r="AS52" s="1" t="s">
        <v>64</v>
      </c>
      <c r="AT52" s="1" t="s">
        <v>64</v>
      </c>
      <c r="AU52" s="1" t="s">
        <v>64</v>
      </c>
      <c r="AV52" s="1" t="s">
        <v>64</v>
      </c>
      <c r="AW52" s="1" t="s">
        <v>238</v>
      </c>
      <c r="AX52" s="1" t="s">
        <v>64</v>
      </c>
      <c r="AY52" s="1" t="s">
        <v>64</v>
      </c>
      <c r="AZ52" s="1" t="s">
        <v>64</v>
      </c>
      <c r="BA52" s="1" t="s">
        <v>64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1</v>
      </c>
      <c r="BH52" s="1">
        <v>1</v>
      </c>
      <c r="BI52" s="1">
        <v>1</v>
      </c>
      <c r="BJ52" s="1">
        <v>1</v>
      </c>
    </row>
    <row r="53" spans="2:68" x14ac:dyDescent="0.25">
      <c r="B53" s="42">
        <v>1</v>
      </c>
      <c r="C53" s="1">
        <v>0</v>
      </c>
      <c r="D53" s="1">
        <v>1</v>
      </c>
      <c r="E53" s="16">
        <v>1</v>
      </c>
      <c r="F53" s="42" t="s">
        <v>72</v>
      </c>
      <c r="G53" s="1" t="s">
        <v>72</v>
      </c>
      <c r="H53" s="1" t="s">
        <v>72</v>
      </c>
      <c r="I53" s="16" t="s">
        <v>72</v>
      </c>
      <c r="J53" s="42" t="s">
        <v>71</v>
      </c>
      <c r="K53" s="1" t="s">
        <v>71</v>
      </c>
      <c r="L53" s="1" t="s">
        <v>71</v>
      </c>
      <c r="M53" s="1" t="s">
        <v>71</v>
      </c>
      <c r="N53" s="1" t="s">
        <v>71</v>
      </c>
      <c r="O53" s="1" t="s">
        <v>71</v>
      </c>
      <c r="P53" s="1" t="s">
        <v>71</v>
      </c>
      <c r="Q53" s="16" t="s">
        <v>71</v>
      </c>
      <c r="S53" s="1" t="s">
        <v>76</v>
      </c>
      <c r="T53" s="1" t="s">
        <v>77</v>
      </c>
      <c r="U53" s="1" t="s">
        <v>65</v>
      </c>
      <c r="V53" s="1" t="s">
        <v>153</v>
      </c>
      <c r="W53" s="1" t="s">
        <v>64</v>
      </c>
      <c r="AA53" s="1">
        <v>1</v>
      </c>
      <c r="AB53" s="1" t="s">
        <v>178</v>
      </c>
      <c r="AC53" s="1" t="s">
        <v>64</v>
      </c>
      <c r="AD53" s="1" t="s">
        <v>64</v>
      </c>
      <c r="AE53" s="1" t="s">
        <v>64</v>
      </c>
      <c r="AF53" s="1" t="s">
        <v>64</v>
      </c>
      <c r="AG53" s="1" t="s">
        <v>64</v>
      </c>
      <c r="AH53" s="1" t="s">
        <v>64</v>
      </c>
      <c r="AI53" s="1" t="s">
        <v>64</v>
      </c>
      <c r="AJ53" s="1" t="s">
        <v>204</v>
      </c>
      <c r="AK53" s="1" t="s">
        <v>204</v>
      </c>
      <c r="AL53" s="1" t="s">
        <v>202</v>
      </c>
      <c r="AM53" s="1" t="s">
        <v>64</v>
      </c>
      <c r="AN53" s="1" t="s">
        <v>64</v>
      </c>
      <c r="AO53" s="1" t="s">
        <v>64</v>
      </c>
      <c r="AP53" s="1" t="s">
        <v>64</v>
      </c>
      <c r="AQ53" s="1">
        <v>1</v>
      </c>
      <c r="AR53" s="1" t="s">
        <v>178</v>
      </c>
      <c r="AS53" s="1" t="s">
        <v>64</v>
      </c>
      <c r="AT53" s="1" t="s">
        <v>64</v>
      </c>
      <c r="AU53" s="1" t="s">
        <v>64</v>
      </c>
      <c r="AV53" s="1" t="s">
        <v>64</v>
      </c>
      <c r="AW53" s="1" t="s">
        <v>238</v>
      </c>
      <c r="AX53" s="1" t="s">
        <v>64</v>
      </c>
      <c r="AY53" s="1" t="s">
        <v>64</v>
      </c>
      <c r="AZ53" s="1" t="s">
        <v>64</v>
      </c>
      <c r="BA53" s="1" t="s">
        <v>64</v>
      </c>
      <c r="BB53" s="1">
        <v>1</v>
      </c>
      <c r="BC53" s="1">
        <v>0</v>
      </c>
      <c r="BD53" s="1">
        <v>0</v>
      </c>
      <c r="BE53" s="1">
        <v>0</v>
      </c>
      <c r="BF53" s="1">
        <v>1</v>
      </c>
      <c r="BG53" s="1">
        <v>1</v>
      </c>
      <c r="BH53" s="1">
        <v>1</v>
      </c>
      <c r="BI53" s="1">
        <v>1</v>
      </c>
      <c r="BJ53" s="1">
        <v>1</v>
      </c>
    </row>
    <row r="54" spans="2:68" x14ac:dyDescent="0.25">
      <c r="B54" s="42">
        <v>1</v>
      </c>
      <c r="C54" s="1">
        <v>1</v>
      </c>
      <c r="D54" s="1">
        <v>0</v>
      </c>
      <c r="E54" s="16">
        <v>0</v>
      </c>
      <c r="F54" s="42" t="s">
        <v>72</v>
      </c>
      <c r="G54" s="1" t="s">
        <v>72</v>
      </c>
      <c r="H54" s="1" t="s">
        <v>72</v>
      </c>
      <c r="I54" s="16" t="s">
        <v>72</v>
      </c>
      <c r="J54" s="42" t="s">
        <v>71</v>
      </c>
      <c r="K54" s="1" t="s">
        <v>71</v>
      </c>
      <c r="L54" s="1" t="s">
        <v>71</v>
      </c>
      <c r="M54" s="1" t="s">
        <v>71</v>
      </c>
      <c r="N54" s="1" t="s">
        <v>71</v>
      </c>
      <c r="O54" s="1" t="s">
        <v>71</v>
      </c>
      <c r="P54" s="1" t="s">
        <v>71</v>
      </c>
      <c r="Q54" s="16" t="s">
        <v>71</v>
      </c>
      <c r="S54" s="1" t="s">
        <v>73</v>
      </c>
      <c r="T54" s="1" t="s">
        <v>74</v>
      </c>
      <c r="U54" s="1" t="s">
        <v>65</v>
      </c>
      <c r="V54" s="1" t="s">
        <v>153</v>
      </c>
      <c r="W54" s="1" t="s">
        <v>64</v>
      </c>
      <c r="AA54" s="1">
        <v>1</v>
      </c>
      <c r="AB54" s="1" t="s">
        <v>178</v>
      </c>
      <c r="AC54" s="1" t="s">
        <v>64</v>
      </c>
      <c r="AD54" s="1" t="s">
        <v>64</v>
      </c>
      <c r="AE54" s="1" t="s">
        <v>64</v>
      </c>
      <c r="AF54" s="1" t="s">
        <v>64</v>
      </c>
      <c r="AG54" s="1" t="s">
        <v>64</v>
      </c>
      <c r="AH54" s="1" t="s">
        <v>64</v>
      </c>
      <c r="AI54" s="1" t="s">
        <v>64</v>
      </c>
      <c r="AJ54" s="1" t="s">
        <v>204</v>
      </c>
      <c r="AK54" s="1" t="s">
        <v>204</v>
      </c>
      <c r="AL54" s="1" t="s">
        <v>202</v>
      </c>
      <c r="AM54" s="1" t="s">
        <v>64</v>
      </c>
      <c r="AN54" s="1" t="s">
        <v>64</v>
      </c>
      <c r="AO54" s="1" t="s">
        <v>64</v>
      </c>
      <c r="AP54" s="1" t="s">
        <v>64</v>
      </c>
      <c r="AQ54" s="1">
        <v>1</v>
      </c>
      <c r="AR54" s="1" t="s">
        <v>178</v>
      </c>
      <c r="AS54" s="1" t="s">
        <v>64</v>
      </c>
      <c r="AT54" s="1" t="s">
        <v>64</v>
      </c>
      <c r="AU54" s="1" t="s">
        <v>64</v>
      </c>
      <c r="AV54" s="1" t="s">
        <v>64</v>
      </c>
      <c r="AW54" s="1" t="s">
        <v>238</v>
      </c>
      <c r="AX54" s="1" t="s">
        <v>64</v>
      </c>
      <c r="AY54" s="1" t="s">
        <v>64</v>
      </c>
      <c r="AZ54" s="1" t="s">
        <v>64</v>
      </c>
      <c r="BA54" s="1" t="s">
        <v>64</v>
      </c>
      <c r="BB54" s="1">
        <v>1</v>
      </c>
      <c r="BC54" s="1">
        <v>0</v>
      </c>
      <c r="BD54" s="1">
        <v>1</v>
      </c>
      <c r="BE54" s="1">
        <v>0</v>
      </c>
      <c r="BF54" s="1">
        <v>0</v>
      </c>
      <c r="BG54" s="1">
        <v>0</v>
      </c>
      <c r="BH54" s="1">
        <v>1</v>
      </c>
      <c r="BI54" s="1">
        <v>0</v>
      </c>
      <c r="BJ54" s="1">
        <v>1</v>
      </c>
    </row>
    <row r="55" spans="2:68" x14ac:dyDescent="0.25">
      <c r="B55" s="42">
        <v>1</v>
      </c>
      <c r="C55" s="1">
        <v>1</v>
      </c>
      <c r="D55" s="1">
        <v>0</v>
      </c>
      <c r="E55" s="16">
        <v>1</v>
      </c>
      <c r="F55" s="42" t="s">
        <v>72</v>
      </c>
      <c r="G55" s="1" t="s">
        <v>72</v>
      </c>
      <c r="H55" s="1" t="s">
        <v>72</v>
      </c>
      <c r="I55" s="16" t="s">
        <v>72</v>
      </c>
      <c r="J55" s="42" t="s">
        <v>71</v>
      </c>
      <c r="K55" s="1" t="s">
        <v>71</v>
      </c>
      <c r="L55" s="1" t="s">
        <v>71</v>
      </c>
      <c r="M55" s="1" t="s">
        <v>71</v>
      </c>
      <c r="N55" s="1" t="s">
        <v>71</v>
      </c>
      <c r="O55" s="1" t="s">
        <v>71</v>
      </c>
      <c r="P55" s="1" t="s">
        <v>71</v>
      </c>
      <c r="Q55" s="16" t="s">
        <v>71</v>
      </c>
      <c r="S55" s="1" t="s">
        <v>78</v>
      </c>
      <c r="T55" s="1" t="s">
        <v>79</v>
      </c>
      <c r="U55" s="1" t="s">
        <v>65</v>
      </c>
      <c r="V55" s="1" t="s">
        <v>153</v>
      </c>
      <c r="W55" s="1" t="s">
        <v>64</v>
      </c>
      <c r="AA55" s="1">
        <v>1</v>
      </c>
      <c r="AB55" s="1" t="s">
        <v>178</v>
      </c>
      <c r="AC55" s="1" t="s">
        <v>64</v>
      </c>
      <c r="AD55" s="1" t="s">
        <v>64</v>
      </c>
      <c r="AE55" s="1" t="s">
        <v>64</v>
      </c>
      <c r="AF55" s="1" t="s">
        <v>64</v>
      </c>
      <c r="AG55" s="1" t="s">
        <v>64</v>
      </c>
      <c r="AH55" s="1" t="s">
        <v>64</v>
      </c>
      <c r="AI55" s="1" t="s">
        <v>64</v>
      </c>
      <c r="AJ55" s="1" t="s">
        <v>204</v>
      </c>
      <c r="AK55" s="1" t="s">
        <v>204</v>
      </c>
      <c r="AL55" s="1" t="s">
        <v>202</v>
      </c>
      <c r="AM55" s="1" t="s">
        <v>64</v>
      </c>
      <c r="AN55" s="1" t="s">
        <v>64</v>
      </c>
      <c r="AO55" s="1" t="s">
        <v>64</v>
      </c>
      <c r="AP55" s="1" t="s">
        <v>64</v>
      </c>
      <c r="AQ55" s="1">
        <v>1</v>
      </c>
      <c r="AR55" s="1" t="s">
        <v>178</v>
      </c>
      <c r="AS55" s="1" t="s">
        <v>64</v>
      </c>
      <c r="AT55" s="1" t="s">
        <v>64</v>
      </c>
      <c r="AU55" s="1" t="s">
        <v>64</v>
      </c>
      <c r="AV55" s="1" t="s">
        <v>64</v>
      </c>
      <c r="AW55" s="1" t="s">
        <v>238</v>
      </c>
      <c r="AX55" s="1" t="s">
        <v>64</v>
      </c>
      <c r="AY55" s="1" t="s">
        <v>64</v>
      </c>
      <c r="AZ55" s="1" t="s">
        <v>64</v>
      </c>
      <c r="BA55" s="1" t="s">
        <v>64</v>
      </c>
      <c r="BB55" s="1">
        <v>1</v>
      </c>
      <c r="BC55" s="1">
        <v>0</v>
      </c>
      <c r="BD55" s="1">
        <v>1</v>
      </c>
      <c r="BE55" s="1">
        <v>0</v>
      </c>
      <c r="BF55" s="1">
        <v>1</v>
      </c>
      <c r="BG55" s="1">
        <v>0</v>
      </c>
      <c r="BH55" s="1">
        <v>1</v>
      </c>
      <c r="BI55" s="1">
        <v>0</v>
      </c>
      <c r="BJ55" s="1">
        <v>1</v>
      </c>
    </row>
    <row r="56" spans="2:68" x14ac:dyDescent="0.25">
      <c r="B56" s="42">
        <v>1</v>
      </c>
      <c r="C56" s="1">
        <v>1</v>
      </c>
      <c r="D56" s="1">
        <v>1</v>
      </c>
      <c r="E56" s="16">
        <v>0</v>
      </c>
      <c r="F56" s="42" t="s">
        <v>72</v>
      </c>
      <c r="G56" s="1" t="s">
        <v>72</v>
      </c>
      <c r="H56" s="1" t="s">
        <v>72</v>
      </c>
      <c r="I56" s="16" t="s">
        <v>72</v>
      </c>
      <c r="J56" s="42" t="s">
        <v>71</v>
      </c>
      <c r="K56" s="1" t="s">
        <v>71</v>
      </c>
      <c r="L56" s="1" t="s">
        <v>71</v>
      </c>
      <c r="M56" s="1" t="s">
        <v>71</v>
      </c>
      <c r="N56" s="1" t="s">
        <v>71</v>
      </c>
      <c r="O56" s="1" t="s">
        <v>71</v>
      </c>
      <c r="P56" s="1" t="s">
        <v>71</v>
      </c>
      <c r="Q56" s="16" t="s">
        <v>71</v>
      </c>
      <c r="S56" s="1" t="s">
        <v>149</v>
      </c>
      <c r="T56" s="1" t="s">
        <v>80</v>
      </c>
      <c r="U56" s="1" t="s">
        <v>65</v>
      </c>
      <c r="V56" s="1" t="s">
        <v>153</v>
      </c>
      <c r="W56" s="1" t="s">
        <v>64</v>
      </c>
      <c r="AA56" s="1">
        <v>1</v>
      </c>
      <c r="AB56" s="1" t="s">
        <v>178</v>
      </c>
      <c r="AC56" s="1" t="s">
        <v>64</v>
      </c>
      <c r="AD56" s="1" t="s">
        <v>64</v>
      </c>
      <c r="AE56" s="1" t="s">
        <v>64</v>
      </c>
      <c r="AF56" s="1" t="s">
        <v>64</v>
      </c>
      <c r="AG56" s="1" t="s">
        <v>64</v>
      </c>
      <c r="AH56" s="1" t="s">
        <v>64</v>
      </c>
      <c r="AI56" s="1" t="s">
        <v>64</v>
      </c>
      <c r="AJ56" s="1" t="s">
        <v>204</v>
      </c>
      <c r="AK56" s="1" t="s">
        <v>204</v>
      </c>
      <c r="AL56" s="1" t="s">
        <v>202</v>
      </c>
      <c r="AM56" s="1" t="s">
        <v>64</v>
      </c>
      <c r="AN56" s="1" t="s">
        <v>64</v>
      </c>
      <c r="AO56" s="1" t="s">
        <v>64</v>
      </c>
      <c r="AP56" s="1" t="s">
        <v>64</v>
      </c>
      <c r="AQ56" s="1">
        <v>1</v>
      </c>
      <c r="AR56" s="1" t="s">
        <v>178</v>
      </c>
      <c r="AS56" s="1" t="s">
        <v>64</v>
      </c>
      <c r="AT56" s="1" t="s">
        <v>64</v>
      </c>
      <c r="AU56" s="1" t="s">
        <v>64</v>
      </c>
      <c r="AV56" s="1" t="s">
        <v>64</v>
      </c>
      <c r="AW56" s="1" t="s">
        <v>238</v>
      </c>
      <c r="AX56" s="1" t="s">
        <v>64</v>
      </c>
      <c r="AY56" s="1" t="s">
        <v>64</v>
      </c>
      <c r="AZ56" s="1" t="s">
        <v>64</v>
      </c>
      <c r="BA56" s="1" t="s">
        <v>64</v>
      </c>
      <c r="BB56" s="1">
        <v>1</v>
      </c>
      <c r="BC56" s="1">
        <v>0</v>
      </c>
      <c r="BD56" s="1">
        <v>1</v>
      </c>
      <c r="BE56" s="1">
        <v>1</v>
      </c>
      <c r="BF56" s="1">
        <v>0</v>
      </c>
      <c r="BG56" s="1">
        <v>0</v>
      </c>
      <c r="BH56" s="1">
        <v>1</v>
      </c>
      <c r="BI56" s="1">
        <v>0</v>
      </c>
      <c r="BJ56" s="1">
        <v>1</v>
      </c>
    </row>
    <row r="57" spans="2:68" x14ac:dyDescent="0.25">
      <c r="B57" s="42">
        <v>1</v>
      </c>
      <c r="C57" s="1">
        <v>1</v>
      </c>
      <c r="D57" s="1">
        <v>1</v>
      </c>
      <c r="E57" s="16">
        <v>1</v>
      </c>
      <c r="F57" s="42" t="s">
        <v>84</v>
      </c>
      <c r="G57" s="1" t="s">
        <v>84</v>
      </c>
      <c r="H57" s="1" t="s">
        <v>84</v>
      </c>
      <c r="I57" s="16" t="s">
        <v>84</v>
      </c>
      <c r="J57" s="42">
        <v>0</v>
      </c>
      <c r="K57" s="1" t="s">
        <v>595</v>
      </c>
      <c r="L57" s="1" t="s">
        <v>595</v>
      </c>
      <c r="M57" s="1" t="s">
        <v>595</v>
      </c>
      <c r="N57" s="1">
        <v>0</v>
      </c>
      <c r="O57" s="1">
        <v>0</v>
      </c>
      <c r="P57" s="1">
        <v>0</v>
      </c>
      <c r="Q57" s="16">
        <v>0</v>
      </c>
      <c r="S57" s="1" t="s">
        <v>86</v>
      </c>
      <c r="T57" s="1" t="s">
        <v>105</v>
      </c>
      <c r="U57" s="1" t="s">
        <v>66</v>
      </c>
      <c r="V57" s="1" t="s">
        <v>107</v>
      </c>
      <c r="W57" s="1" t="s">
        <v>64</v>
      </c>
      <c r="AA57" s="1">
        <v>1</v>
      </c>
      <c r="AB57" s="1" t="s">
        <v>179</v>
      </c>
      <c r="AC57" s="1" t="s">
        <v>64</v>
      </c>
      <c r="AD57" s="1" t="s">
        <v>64</v>
      </c>
      <c r="AE57" s="1">
        <v>1</v>
      </c>
      <c r="AF57" s="1" t="s">
        <v>280</v>
      </c>
      <c r="AG57" s="1" t="s">
        <v>64</v>
      </c>
      <c r="AH57" s="1" t="s">
        <v>64</v>
      </c>
      <c r="AI57" s="1" t="s">
        <v>64</v>
      </c>
      <c r="AJ57" s="1" t="s">
        <v>64</v>
      </c>
      <c r="AK57" s="1" t="s">
        <v>64</v>
      </c>
      <c r="AL57" s="1" t="s">
        <v>64</v>
      </c>
      <c r="AM57" s="1" t="s">
        <v>64</v>
      </c>
      <c r="AN57" s="1" t="s">
        <v>202</v>
      </c>
      <c r="AO57" s="1" t="s">
        <v>202</v>
      </c>
      <c r="AP57" s="1" t="s">
        <v>64</v>
      </c>
      <c r="AQ57" s="1" t="s">
        <v>64</v>
      </c>
      <c r="AR57" s="1" t="s">
        <v>64</v>
      </c>
      <c r="AS57" s="1">
        <v>1</v>
      </c>
      <c r="AT57" s="1" t="s">
        <v>64</v>
      </c>
      <c r="AU57" s="1" t="s">
        <v>64</v>
      </c>
      <c r="AV57" s="1" t="s">
        <v>64</v>
      </c>
      <c r="AW57" s="1" t="s">
        <v>238</v>
      </c>
      <c r="AX57" s="1" t="s">
        <v>64</v>
      </c>
      <c r="AY57" s="1" t="s">
        <v>64</v>
      </c>
      <c r="AZ57" s="1" t="s">
        <v>64</v>
      </c>
      <c r="BA57" s="1" t="s">
        <v>64</v>
      </c>
      <c r="BB57" s="1" t="s">
        <v>64</v>
      </c>
      <c r="BC57" s="1" t="s">
        <v>64</v>
      </c>
      <c r="BD57" s="1" t="s">
        <v>64</v>
      </c>
      <c r="BE57" s="1" t="s">
        <v>64</v>
      </c>
      <c r="BF57" s="1" t="s">
        <v>64</v>
      </c>
      <c r="BG57" s="1" t="s">
        <v>64</v>
      </c>
      <c r="BH57" s="1" t="s">
        <v>64</v>
      </c>
      <c r="BI57" s="1" t="s">
        <v>64</v>
      </c>
      <c r="BJ57" s="1" t="s">
        <v>64</v>
      </c>
    </row>
    <row r="58" spans="2:68" x14ac:dyDescent="0.25">
      <c r="B58" s="42">
        <v>1</v>
      </c>
      <c r="C58" s="1">
        <v>1</v>
      </c>
      <c r="D58" s="1">
        <v>1</v>
      </c>
      <c r="E58" s="16">
        <v>1</v>
      </c>
      <c r="F58" s="42" t="s">
        <v>72</v>
      </c>
      <c r="G58" s="1" t="s">
        <v>72</v>
      </c>
      <c r="H58" s="1" t="s">
        <v>72</v>
      </c>
      <c r="I58" s="16" t="s">
        <v>72</v>
      </c>
      <c r="J58" s="42">
        <v>0</v>
      </c>
      <c r="K58" s="1" t="s">
        <v>595</v>
      </c>
      <c r="L58" s="1" t="s">
        <v>595</v>
      </c>
      <c r="M58" s="1" t="s">
        <v>595</v>
      </c>
      <c r="N58" s="1">
        <v>0</v>
      </c>
      <c r="O58" s="1">
        <v>0</v>
      </c>
      <c r="P58" s="1">
        <v>0</v>
      </c>
      <c r="Q58" s="16">
        <v>1</v>
      </c>
      <c r="S58" s="1" t="s">
        <v>88</v>
      </c>
      <c r="T58" s="1" t="s">
        <v>106</v>
      </c>
      <c r="U58" s="1" t="s">
        <v>65</v>
      </c>
      <c r="V58" s="1" t="s">
        <v>107</v>
      </c>
      <c r="W58" s="1" t="s">
        <v>64</v>
      </c>
      <c r="AA58" s="1" t="s">
        <v>64</v>
      </c>
      <c r="AB58" s="1" t="s">
        <v>64</v>
      </c>
      <c r="AC58" s="1" t="s">
        <v>64</v>
      </c>
      <c r="AD58" s="1" t="s">
        <v>64</v>
      </c>
      <c r="AE58" s="1">
        <v>1</v>
      </c>
      <c r="AF58" s="1" t="s">
        <v>280</v>
      </c>
      <c r="AG58" s="1">
        <v>1</v>
      </c>
      <c r="AH58" s="1" t="s">
        <v>64</v>
      </c>
      <c r="AI58" s="1" t="s">
        <v>64</v>
      </c>
      <c r="AJ58" s="1" t="s">
        <v>64</v>
      </c>
      <c r="AK58" s="1" t="s">
        <v>64</v>
      </c>
      <c r="AL58" s="1" t="s">
        <v>204</v>
      </c>
      <c r="AM58" s="1">
        <v>10</v>
      </c>
      <c r="AN58" s="1" t="s">
        <v>64</v>
      </c>
      <c r="AO58" s="1" t="s">
        <v>64</v>
      </c>
      <c r="AP58" s="1" t="s">
        <v>64</v>
      </c>
      <c r="AQ58" s="1">
        <v>1</v>
      </c>
      <c r="AR58" s="1" t="s">
        <v>178</v>
      </c>
      <c r="AS58" s="1" t="s">
        <v>64</v>
      </c>
      <c r="AT58" s="1" t="s">
        <v>64</v>
      </c>
      <c r="AU58" s="1" t="s">
        <v>64</v>
      </c>
      <c r="AV58" s="1" t="s">
        <v>64</v>
      </c>
      <c r="AW58" s="1" t="s">
        <v>238</v>
      </c>
      <c r="AX58" s="1" t="s">
        <v>64</v>
      </c>
      <c r="AY58" s="1" t="s">
        <v>64</v>
      </c>
      <c r="AZ58" s="1" t="s">
        <v>64</v>
      </c>
      <c r="BA58" s="1" t="s">
        <v>64</v>
      </c>
      <c r="BB58" s="1" t="s">
        <v>64</v>
      </c>
      <c r="BC58" s="1" t="s">
        <v>64</v>
      </c>
      <c r="BD58" s="1" t="s">
        <v>64</v>
      </c>
      <c r="BE58" s="1" t="s">
        <v>64</v>
      </c>
      <c r="BF58" s="1" t="s">
        <v>64</v>
      </c>
      <c r="BG58" s="1" t="s">
        <v>64</v>
      </c>
      <c r="BH58" s="1" t="s">
        <v>64</v>
      </c>
      <c r="BI58" s="1" t="s">
        <v>64</v>
      </c>
      <c r="BJ58" s="1" t="s">
        <v>64</v>
      </c>
    </row>
    <row r="59" spans="2:68" x14ac:dyDescent="0.25">
      <c r="B59" s="42">
        <v>1</v>
      </c>
      <c r="C59" s="1">
        <v>1</v>
      </c>
      <c r="D59" s="1">
        <v>1</v>
      </c>
      <c r="E59" s="16">
        <v>1</v>
      </c>
      <c r="F59" s="42" t="s">
        <v>84</v>
      </c>
      <c r="G59" s="1" t="s">
        <v>84</v>
      </c>
      <c r="H59" s="1" t="s">
        <v>84</v>
      </c>
      <c r="I59" s="16" t="s">
        <v>84</v>
      </c>
      <c r="J59" s="42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6">
        <v>0</v>
      </c>
      <c r="R59" s="1" t="s">
        <v>150</v>
      </c>
      <c r="S59" s="1" t="s">
        <v>85</v>
      </c>
      <c r="T59" s="1" t="s">
        <v>89</v>
      </c>
      <c r="U59" s="1" t="s">
        <v>90</v>
      </c>
      <c r="V59" s="1" t="s">
        <v>64</v>
      </c>
      <c r="W59" s="1" t="s">
        <v>150</v>
      </c>
      <c r="X59" s="1" t="s">
        <v>237</v>
      </c>
      <c r="AA59" s="1">
        <v>1</v>
      </c>
      <c r="AB59" s="1" t="s">
        <v>179</v>
      </c>
      <c r="AC59" s="1" t="s">
        <v>64</v>
      </c>
      <c r="AD59" s="1" t="s">
        <v>64</v>
      </c>
      <c r="AE59" s="1" t="s">
        <v>64</v>
      </c>
      <c r="AF59" s="1" t="s">
        <v>64</v>
      </c>
      <c r="AG59" s="1" t="s">
        <v>64</v>
      </c>
      <c r="AH59" s="1" t="s">
        <v>64</v>
      </c>
      <c r="AI59" s="1" t="s">
        <v>64</v>
      </c>
      <c r="AJ59" s="1" t="s">
        <v>64</v>
      </c>
      <c r="AK59" s="1" t="s">
        <v>64</v>
      </c>
      <c r="AL59" s="1" t="s">
        <v>64</v>
      </c>
      <c r="AM59" s="1" t="s">
        <v>64</v>
      </c>
      <c r="AN59" s="1">
        <v>10</v>
      </c>
      <c r="AO59" s="1" t="s">
        <v>202</v>
      </c>
      <c r="AP59" s="1" t="s">
        <v>64</v>
      </c>
      <c r="AQ59" s="1" t="s">
        <v>64</v>
      </c>
      <c r="AR59" s="1" t="s">
        <v>64</v>
      </c>
      <c r="AS59" s="1">
        <v>1</v>
      </c>
      <c r="AT59" s="1" t="s">
        <v>64</v>
      </c>
      <c r="AU59" s="1" t="s">
        <v>64</v>
      </c>
      <c r="AV59" s="1" t="s">
        <v>64</v>
      </c>
      <c r="AW59" s="1" t="s">
        <v>239</v>
      </c>
      <c r="AX59" s="1" t="s">
        <v>64</v>
      </c>
      <c r="AY59" s="1" t="s">
        <v>64</v>
      </c>
      <c r="AZ59" s="1" t="s">
        <v>64</v>
      </c>
      <c r="BA59" s="1" t="s">
        <v>64</v>
      </c>
      <c r="BB59" s="1" t="s">
        <v>64</v>
      </c>
      <c r="BC59" s="1" t="s">
        <v>64</v>
      </c>
      <c r="BD59" s="1" t="s">
        <v>64</v>
      </c>
      <c r="BE59" s="1" t="s">
        <v>64</v>
      </c>
      <c r="BF59" s="1" t="s">
        <v>64</v>
      </c>
      <c r="BG59" s="1" t="s">
        <v>64</v>
      </c>
      <c r="BH59" s="1" t="s">
        <v>64</v>
      </c>
      <c r="BI59" s="1" t="s">
        <v>64</v>
      </c>
      <c r="BJ59" s="1" t="s">
        <v>64</v>
      </c>
    </row>
    <row r="60" spans="2:68" ht="15.75" thickBot="1" x14ac:dyDescent="0.3">
      <c r="B60" s="43">
        <v>1</v>
      </c>
      <c r="C60" s="14">
        <v>1</v>
      </c>
      <c r="D60" s="14">
        <v>1</v>
      </c>
      <c r="E60" s="15">
        <v>1</v>
      </c>
      <c r="F60" s="43" t="s">
        <v>72</v>
      </c>
      <c r="G60" s="14" t="s">
        <v>72</v>
      </c>
      <c r="H60" s="14" t="s">
        <v>72</v>
      </c>
      <c r="I60" s="15" t="s">
        <v>72</v>
      </c>
      <c r="J60" s="43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1</v>
      </c>
      <c r="Q60" s="15">
        <v>1</v>
      </c>
      <c r="R60" s="1" t="s">
        <v>150</v>
      </c>
      <c r="S60" s="1" t="s">
        <v>87</v>
      </c>
      <c r="T60" s="1" t="s">
        <v>221</v>
      </c>
      <c r="U60" s="1" t="s">
        <v>91</v>
      </c>
      <c r="V60" s="1" t="s">
        <v>64</v>
      </c>
      <c r="W60" s="1" t="s">
        <v>150</v>
      </c>
      <c r="X60" s="1" t="s">
        <v>237</v>
      </c>
      <c r="AA60" s="1" t="s">
        <v>64</v>
      </c>
      <c r="AB60" s="1" t="s">
        <v>64</v>
      </c>
      <c r="AC60" s="1" t="s">
        <v>64</v>
      </c>
      <c r="AD60" s="1" t="s">
        <v>64</v>
      </c>
      <c r="AE60" s="1" t="s">
        <v>64</v>
      </c>
      <c r="AF60" s="1" t="s">
        <v>64</v>
      </c>
      <c r="AG60" s="1">
        <v>1</v>
      </c>
      <c r="AH60" s="1" t="s">
        <v>64</v>
      </c>
      <c r="AI60" s="1" t="s">
        <v>64</v>
      </c>
      <c r="AJ60" s="1" t="s">
        <v>64</v>
      </c>
      <c r="AK60" s="1" t="s">
        <v>64</v>
      </c>
      <c r="AL60" s="1">
        <v>10</v>
      </c>
      <c r="AM60" s="1" t="s">
        <v>202</v>
      </c>
      <c r="AN60" s="1" t="s">
        <v>64</v>
      </c>
      <c r="AO60" s="1" t="s">
        <v>64</v>
      </c>
      <c r="AP60" s="1" t="s">
        <v>64</v>
      </c>
      <c r="AQ60" s="1">
        <v>1</v>
      </c>
      <c r="AR60" s="1" t="s">
        <v>178</v>
      </c>
      <c r="AS60" s="1" t="s">
        <v>64</v>
      </c>
      <c r="AT60" s="1" t="s">
        <v>64</v>
      </c>
      <c r="AU60" s="1" t="s">
        <v>64</v>
      </c>
      <c r="AV60" s="1" t="s">
        <v>64</v>
      </c>
      <c r="AW60" s="1" t="s">
        <v>239</v>
      </c>
      <c r="AX60" s="1" t="s">
        <v>64</v>
      </c>
      <c r="AY60" s="1" t="s">
        <v>64</v>
      </c>
      <c r="AZ60" s="1" t="s">
        <v>64</v>
      </c>
      <c r="BA60" s="1" t="s">
        <v>64</v>
      </c>
      <c r="BB60" s="1" t="s">
        <v>64</v>
      </c>
      <c r="BC60" s="1" t="s">
        <v>64</v>
      </c>
      <c r="BD60" s="1" t="s">
        <v>64</v>
      </c>
      <c r="BE60" s="1" t="s">
        <v>64</v>
      </c>
      <c r="BF60" s="1" t="s">
        <v>64</v>
      </c>
      <c r="BG60" s="1" t="s">
        <v>64</v>
      </c>
      <c r="BH60" s="1" t="s">
        <v>64</v>
      </c>
      <c r="BI60" s="1" t="s">
        <v>64</v>
      </c>
      <c r="BJ60" s="1" t="s">
        <v>64</v>
      </c>
    </row>
    <row r="62" spans="2:68" x14ac:dyDescent="0.25">
      <c r="AB62" s="1" t="s">
        <v>215</v>
      </c>
      <c r="AD62" s="1" t="s">
        <v>216</v>
      </c>
      <c r="AF62" s="1" t="s">
        <v>279</v>
      </c>
      <c r="AI62" s="1" t="s">
        <v>216</v>
      </c>
      <c r="AR62" s="1" t="s">
        <v>215</v>
      </c>
    </row>
  </sheetData>
  <mergeCells count="9">
    <mergeCell ref="B2:Q2"/>
    <mergeCell ref="BQ32:BT32"/>
    <mergeCell ref="AT2:AW2"/>
    <mergeCell ref="BB2:BJ2"/>
    <mergeCell ref="AX2:AY2"/>
    <mergeCell ref="AZ2:BA2"/>
    <mergeCell ref="AJ2:AO2"/>
    <mergeCell ref="AH2:AI2"/>
    <mergeCell ref="AA2:AF2"/>
  </mergeCells>
  <conditionalFormatting sqref="B28:E28 B30:E31 B50:Q60">
    <cfRule type="cellIs" dxfId="37" priority="14" operator="equal">
      <formula>"p"</formula>
    </cfRule>
    <cfRule type="cellIs" dxfId="36" priority="15" operator="equal">
      <formula>"i"</formula>
    </cfRule>
    <cfRule type="cellIs" dxfId="35" priority="16" operator="equal">
      <formula>"o"</formula>
    </cfRule>
  </conditionalFormatting>
  <conditionalFormatting sqref="B30:E31">
    <cfRule type="cellIs" dxfId="34" priority="20" operator="equal">
      <formula>"k"</formula>
    </cfRule>
    <cfRule type="cellIs" dxfId="33" priority="17" operator="equal">
      <formula>1</formula>
    </cfRule>
    <cfRule type="cellIs" dxfId="32" priority="18" operator="equal">
      <formula>"r"</formula>
    </cfRule>
    <cfRule type="cellIs" dxfId="31" priority="19" operator="equal">
      <formula>"d"</formula>
    </cfRule>
    <cfRule type="cellIs" dxfId="30" priority="21" operator="equal">
      <formula>"s"</formula>
    </cfRule>
  </conditionalFormatting>
  <conditionalFormatting sqref="B4:Q60">
    <cfRule type="cellIs" dxfId="28" priority="34" operator="equal">
      <formula>"r"</formula>
    </cfRule>
    <cfRule type="cellIs" dxfId="27" priority="35" operator="equal">
      <formula>"d"</formula>
    </cfRule>
    <cfRule type="cellIs" dxfId="26" priority="36" operator="equal">
      <formula>"k"</formula>
    </cfRule>
    <cfRule type="cellIs" dxfId="25" priority="37" operator="equal">
      <formula>"s"</formula>
    </cfRule>
    <cfRule type="cellIs" dxfId="23" priority="8" operator="equal">
      <formula>1</formula>
    </cfRule>
    <cfRule type="cellIs" dxfId="22" priority="9" operator="equal">
      <formula>"r"</formula>
    </cfRule>
    <cfRule type="cellIs" dxfId="21" priority="10" operator="equal">
      <formula>"d"</formula>
    </cfRule>
    <cfRule type="cellIs" dxfId="20" priority="11" operator="equal">
      <formula>"k"</formula>
    </cfRule>
    <cfRule type="cellIs" dxfId="19" priority="12" operator="equal">
      <formula>"s"</formula>
    </cfRule>
    <cfRule type="cellIs" dxfId="18" priority="1" operator="equal">
      <formula>"r"</formula>
    </cfRule>
    <cfRule type="cellIs" dxfId="17" priority="33" operator="equal">
      <formula>1</formula>
    </cfRule>
  </conditionalFormatting>
  <conditionalFormatting sqref="F30:O31">
    <cfRule type="cellIs" dxfId="15" priority="27" operator="equal">
      <formula>"s"</formula>
    </cfRule>
    <cfRule type="cellIs" dxfId="13" priority="23" operator="equal">
      <formula>1</formula>
    </cfRule>
    <cfRule type="cellIs" dxfId="12" priority="24" operator="equal">
      <formula>"r"</formula>
    </cfRule>
    <cfRule type="cellIs" dxfId="11" priority="25" operator="equal">
      <formula>"d"</formula>
    </cfRule>
    <cfRule type="cellIs" dxfId="10" priority="26" operator="equal">
      <formula>"k"</formula>
    </cfRule>
  </conditionalFormatting>
  <conditionalFormatting sqref="F28:Q49 B4:Q27 B29:E49">
    <cfRule type="cellIs" dxfId="9" priority="29" operator="equal">
      <formula>"p"</formula>
    </cfRule>
    <cfRule type="cellIs" dxfId="8" priority="30" operator="equal">
      <formula>"i"</formula>
    </cfRule>
    <cfRule type="cellIs" dxfId="7" priority="31" operator="equal">
      <formula>"o"</formula>
    </cfRule>
  </conditionalFormatting>
  <conditionalFormatting sqref="P30:Q31">
    <cfRule type="cellIs" dxfId="6" priority="2" operator="equal">
      <formula>1</formula>
    </cfRule>
    <cfRule type="cellIs" dxfId="5" priority="3" operator="equal">
      <formula>"r"</formula>
    </cfRule>
    <cfRule type="cellIs" dxfId="4" priority="4" operator="equal">
      <formula>"d"</formula>
    </cfRule>
    <cfRule type="cellIs" dxfId="3" priority="5" operator="equal">
      <formula>"k"</formula>
    </cfRule>
    <cfRule type="cellIs" dxfId="2" priority="6" operator="equal">
      <formula>"s"</formula>
    </cfRule>
  </conditionalFormatting>
  <pageMargins left="0.7" right="0.7" top="0.75" bottom="0.75" header="0.3" footer="0.3"/>
  <pageSetup scale="14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32" operator="beginsWith" id="{1B4A7868-6EB5-419D-B6EA-CB5DB21AE22B}">
            <xm:f>LEFT(B4,LEN("0"))="0"</xm:f>
            <xm:f>"0"</xm:f>
            <x14:dxf>
              <fill>
                <patternFill>
                  <bgColor rgb="FFFF3300"/>
                </patternFill>
              </fill>
            </x14:dxf>
          </x14:cfRule>
          <xm:sqref>B4:Q11</xm:sqref>
        </x14:conditionalFormatting>
        <x14:conditionalFormatting xmlns:xm="http://schemas.microsoft.com/office/excel/2006/main">
          <x14:cfRule type="beginsWith" priority="38" operator="beginsWith" id="{E59C92CE-D0F4-410A-AE4D-EB75FD5B3AB9}">
            <xm:f>LEFT(B4,LEN("0"))="0"</xm:f>
            <xm:f>"0"</xm:f>
            <x14:dxf>
              <fill>
                <patternFill>
                  <bgColor rgb="FFFF3300"/>
                </patternFill>
              </fill>
            </x14:dxf>
          </x14:cfRule>
          <xm:sqref>B4:Q60</xm:sqref>
        </x14:conditionalFormatting>
        <x14:conditionalFormatting xmlns:xm="http://schemas.microsoft.com/office/excel/2006/main">
          <x14:cfRule type="beginsWith" priority="22" operator="beginsWith" id="{2A3FFEB7-EFC1-4917-A30D-A45998E1051F}">
            <xm:f>LEFT(B6,LEN("0"))="0"</xm:f>
            <xm:f>"0"</xm:f>
            <x14:dxf>
              <fill>
                <patternFill>
                  <bgColor rgb="FFFF3300"/>
                </patternFill>
              </fill>
            </x14:dxf>
          </x14:cfRule>
          <xm:sqref>B6:Q60</xm:sqref>
        </x14:conditionalFormatting>
        <x14:conditionalFormatting xmlns:xm="http://schemas.microsoft.com/office/excel/2006/main">
          <x14:cfRule type="beginsWith" priority="28" operator="beginsWith" id="{81187060-F0A4-4CFB-9EDB-922AA7B6F8AD}">
            <xm:f>LEFT(F30,LEN("0"))="0"</xm:f>
            <xm:f>"0"</xm:f>
            <x14:dxf>
              <fill>
                <patternFill>
                  <bgColor rgb="FFFF3300"/>
                </patternFill>
              </fill>
            </x14:dxf>
          </x14:cfRule>
          <xm:sqref>F30:O31</xm:sqref>
        </x14:conditionalFormatting>
        <x14:conditionalFormatting xmlns:xm="http://schemas.microsoft.com/office/excel/2006/main">
          <x14:cfRule type="beginsWith" priority="7" operator="beginsWith" id="{1694EF12-554E-4E5A-BBE7-76E00CCEAD3F}">
            <xm:f>LEFT(P30,LEN("0"))="0"</xm:f>
            <xm:f>"0"</xm:f>
            <x14:dxf>
              <fill>
                <patternFill>
                  <bgColor rgb="FFFF3300"/>
                </patternFill>
              </fill>
            </x14:dxf>
          </x14:cfRule>
          <x14:cfRule type="beginsWith" priority="13" operator="beginsWith" id="{CF2640C0-B03E-473B-A2D0-20C212145BBA}">
            <xm:f>LEFT(P30,LEN("0"))="0"</xm:f>
            <xm:f>"0"</xm:f>
            <x14:dxf>
              <fill>
                <patternFill>
                  <bgColor rgb="FFFF3300"/>
                </patternFill>
              </fill>
            </x14:dxf>
          </x14:cfRule>
          <xm:sqref>P30:Q31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2975F1-C5E3-4C79-A999-2472079877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CPU</vt:lpstr>
      <vt:lpstr>Contoller</vt:lpstr>
      <vt:lpstr>ROM</vt:lpstr>
      <vt:lpstr>Instruction Set</vt:lpstr>
      <vt:lpstr>A999999999</vt:lpstr>
      <vt:lpstr>CurFolder</vt:lpstr>
      <vt:lpstr>XFE1</vt:lpstr>
      <vt:lpstr>XFF1</vt:lpstr>
      <vt:lpstr>XGG1</vt:lpstr>
      <vt:lpstr>XZZ1</vt:lpstr>
      <vt:lpstr>ZZZ1</vt:lpstr>
      <vt:lpstr>ZZZZ1</vt:lpstr>
      <vt:lpstr>ZZZZZ</vt:lpstr>
      <vt:lpstr>ZZZZZ1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Kenan</dc:creator>
  <cp:lastModifiedBy>Kenan Rainer</cp:lastModifiedBy>
  <cp:lastPrinted>2026-01-04T10:25:41Z</cp:lastPrinted>
  <dcterms:created xsi:type="dcterms:W3CDTF">2025-05-04T12:03:56Z</dcterms:created>
  <dcterms:modified xsi:type="dcterms:W3CDTF">2026-01-04T17:28:30Z</dcterms:modified>
</cp:coreProperties>
</file>